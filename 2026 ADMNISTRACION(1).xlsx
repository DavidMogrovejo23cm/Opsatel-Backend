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576" windowHeight="11520" firstSheet="4" activeTab="5"/>
  </bookViews>
  <sheets>
    <sheet name="BALANCE_MAYO_2026" sheetId="1" r:id="rId1"/>
    <sheet name="BAÑOS" sheetId="2" r:id="rId2"/>
    <sheet name="SAYAUSI" sheetId="3" r:id="rId3"/>
    <sheet name="PLATAFORMA" sheetId="4" r:id="rId4"/>
    <sheet name="BALANCE_FEBRERO_2026" sheetId="7" r:id="rId5"/>
    <sheet name="B_FORMATO" sheetId="11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tc={ac7c4b67-c5d6-4dbb-9252-358ce8462506}</author>
  </authors>
  <commentList>
    <comment ref="A1" authorId="0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C.I 0101849339
Cuenta Contrato: 201007152683
</t>
        </r>
      </text>
    </comment>
  </commentList>
</comments>
</file>

<file path=xl/comments2.xml><?xml version="1.0" encoding="utf-8"?>
<comments xmlns="http://schemas.openxmlformats.org/spreadsheetml/2006/main">
  <authors>
    <author>tc={baeaedfb-9f15-42e6-a627-923415b04253}</author>
    <author/>
    <author>tc={5c60bb49-bfd3-49c0-be92-3248d03903d9}</author>
    <author>tc={d53a09a6-2425-4027-8906-08ecd52d0eea}</author>
    <author>tc={0e209863-ac81-4341-b0d1-a13c0e2d7351}</author>
    <author>tc={7ccc7415-165d-4f8e-8cc4-2fef7e759b91}</author>
    <author>tc={15243d33-62cf-4fcc-8784-42e1f3d09a02}</author>
    <author>tc={c37ef833-84d8-40d4-83bd-23de6d721a74}</author>
    <author>tc={2817336a-d4b7-4502-a935-9c37bcefb162}</author>
    <author>tc={d4d2cae1-f6bd-49ff-833e-93fb96eaf891}</author>
    <author>tc={f8d2c287-ab12-4ee2-b39c-946cd12b3ef2}</author>
    <author>tc={aa1162b1-638e-4a52-9164-25b635e4dac9}</author>
    <author>tc={ef82341f-f1f7-4c7c-9c80-61758fab4e0c}</author>
    <author>tc={b352b7c8-bda5-44b8-84cb-a8cf6cd7b58e}</author>
    <author>tc={c95055df-97bb-47ac-abaa-6321fb9d1434}</author>
    <author>tc={a74cb918-7d62-42d3-9e49-1b4c0ffb7cac}</author>
    <author>tc={76d0138a-e274-4b19-9715-770fac2f99eb}</author>
    <author>tc={5cdf1df5-27b7-4153-bb81-63ee330e6b1e}</author>
    <author>tc={6444cf82-0669-4033-87ef-fdde8e7050b9}</author>
    <author>tc={a70144c6-e24f-4614-ae61-4be6996ec558}</author>
    <author>tc={45d5fcf5-9c9d-4cb5-8ae5-74576b853a1e}</author>
    <author>tc={f48d9112-21d2-4cae-98f9-aa6b7f1a6ed7}</author>
    <author>tc={83db93cf-e36b-4022-a638-343ac57c6b37}</author>
    <author>tc={b4c62eb6-4209-43a0-8dff-945c3e1a4149}</author>
    <author>tc={692b55d7-c055-48ce-93e4-957e695643f2}</author>
    <author>tc={cbdc9daf-b792-40f0-8d8d-f68bbcef3253}</author>
    <author>tc={c0dcb208-b3c4-409a-b64a-efb00f204ea7}</author>
    <author>tc={9b9264b9-620f-48c3-aacf-ce0821fab0c8}</author>
    <author>tc={2de255c0-1b8c-4c69-9838-7e3b3cebd642}</author>
    <author>tc={764a64ac-9bde-4b38-8a47-45f4efcd2524}</author>
    <author>tc={c989a231-d0c1-4c82-b49f-daa117be134f}</author>
    <author>tc={b03b8b12-9040-45d1-93ec-64b2f1424a46}</author>
    <author>tc={5aae63f3-25cf-446d-87fe-a460441ffbbf}</author>
    <author>tc={f1c930a0-9674-4e78-afb7-b10c02e8aad9}</author>
    <author>tc={d3a859d8-22af-496e-b200-a4c500ea0b99}</author>
    <author>tc={aead8b80-b833-422c-a54a-2fc70455a4ea}</author>
    <author>tc={b0df9491-b305-4c66-9d50-2b72d4fdf9a0}</author>
    <author>tc={1d980f23-3b04-45a8-ae94-b4780df14907}</author>
    <author>tc={591ff6e9-c02d-480f-adea-0604283956c9}</author>
    <author>tc={1a4a8986-f3a4-4906-9da5-f6b0621faff4}</author>
    <author>tc={af908a06-25f3-475b-bda5-71d5b06d06f4}</author>
    <author>tc={3662d000-8c79-4401-ba05-f7cf87886b69}</author>
    <author>tc={e57920d6-b3b9-4537-8479-bd67964406bd}</author>
    <author>tc={db483123-7a95-48cf-8a74-425abe287517}</author>
    <author>tc={a26dd48f-2edc-4e25-8fd9-c4e30a85330e}</author>
    <author>tc={84d6f34a-dc0f-49f3-80c4-9c0a8bf6f0a8}</author>
    <author>tc={d8bad4e6-44bf-4c4f-9ac8-d09bdd225cc3}</author>
    <author>tc={eacc205a-c95b-43af-9673-f03ead1cfd3c}</author>
    <author>tc={9cb98ba5-02e3-499c-b802-97c4a3a37f2c}</author>
    <author>tc={0876e984-6561-4d6f-a9ec-6a8cf118572b}</author>
    <author>tc={00037c93-ea13-4174-84b6-49051409cce6}</author>
    <author>tc={f25cdf2b-83e9-4cd4-b40f-69eea30a2cb8}</author>
    <author>tc={7df0afa8-0118-414c-9775-d9a28b4ac3c5}</author>
    <author>tc={508599e5-0412-425a-be9a-cb739f624137}</author>
    <author>tc={8c0e3e1c-7ceb-47eb-925e-4e0d37b9006d}</author>
    <author>tc={ddad8bfc-3f27-4ca9-88ec-9d473fb690e2}</author>
    <author>tc={2a89da9c-22e8-468c-9907-325cf7922843}</author>
    <author>tc={047d4e11-12a7-4d04-8f9d-4d7b82a581f3}</author>
    <author>tc={5af2cbfa-4201-4d70-9dca-99d6a411045f}</author>
    <author>tc={605e9d35-97f5-4034-8cb4-82b6077318d6}</author>
    <author>tc={295ebeaa-1874-4470-96e7-089c2edfec65}</author>
    <author>tc={8668aae2-e652-47d6-9ff0-dde275751087}</author>
    <author>tc={ea4ac333-8bfc-41a6-af85-e167955f65fc}</author>
    <author>tc={b8b859e7-1eed-4baa-8578-a2188c534ae6}</author>
    <author>tc={0865a68f-5bdf-4832-b639-dd8409770e87}</author>
    <author>tc={0e1933b8-3a0a-4bf5-afb9-37e65052a916}</author>
    <author>tc={1a466c82-9ad9-4089-8fb7-ea6f8aee8ce3}</author>
    <author>tc={5ed919df-ad6a-459a-81c5-71cb5a9478e1}</author>
    <author>tc={0584ca34-727e-4ab1-91a6-707a234431b7}</author>
    <author>tc={3bd539cd-0bc8-4e96-9c5c-3a4a19f5902e}</author>
    <author>tc={a1151be6-4f07-4376-8592-d35edbb208c4}</author>
    <author>tc={4010384d-cac3-4cd6-8c62-f3863bb7d87c}</author>
    <author>tc={ce5f7cb2-add7-4263-8605-eb103a5045aa}</author>
    <author>tc={57d6ef3a-8440-4d92-a616-6a8a75938903}</author>
    <author>tc={40415364-53a2-4fa6-b673-a2f53d9e6874}</author>
    <author>tc={cdbccb48-ad66-4fb7-b380-639247b05e52}</author>
    <author>tc={523da7d8-06fc-4ebe-878f-7544e3e0f9f4}</author>
    <author>tc={ecfeb643-1206-47cb-b7ab-026e304e3d63}</author>
    <author>tc={e995cb71-a1bb-4ee1-9494-e77c9fcb9fdc}</author>
    <author>tc={ae5b2d8a-7485-43ea-8cc7-661c84624df2}</author>
    <author>tc={a450ccca-0f7d-47f4-bc17-c629e9c259cd}</author>
    <author>tc={8621c6af-c0b9-4f3b-9ecf-ee6cdc9fbad0}</author>
    <author>tc={2c5cd1dd-70e1-486d-8384-cf2c5349016a}</author>
    <author>tc={0ac24401-6e2b-4fe1-be86-65f56799bead}</author>
    <author>tc={9f744d0a-5f68-4606-82e7-838ef63671a6}</author>
    <author>tc={ff6fb6c4-3463-4920-84f5-6ecad01a39a5}</author>
    <author>tc={bcfb28d5-6b2a-4744-b21e-ed3e04b50b8f}</author>
    <author>tc={e7ff695b-b7ec-4e44-8da9-518ecbdeb794}</author>
    <author>tc={6b083aa5-a309-42a0-8e80-2aa876d24ed9}</author>
    <author>tc={82275f8a-08f5-4701-b665-0568077ab4d6}</author>
    <author>tc={7ff70973-3ac0-42a5-89e6-bba7c4a3792b}</author>
    <author>tc={209a1ed2-4ab4-4ada-9861-4ea3364278d7}</author>
    <author>tc={76ee11de-c8d4-4fae-8324-76f41801050e}</author>
    <author>tc={389799ec-6f7e-4053-9677-0cfd328e3cb4}</author>
    <author>tc={de9f1cee-2bc5-468a-a2ec-48cef95b0c80}</author>
    <author>tc={656d9c13-ec22-47e9-bba1-1f85d311b1d0}</author>
    <author>tc={7d387a07-9cdc-4f14-8f04-a936964f1476}</author>
    <author>tc={8f121d84-0c08-4925-a24d-769bfb4e0814}</author>
    <author>tc={46cb5cb1-cf89-4859-afe7-c63c195ed684}</author>
    <author>tc={4d942824-2075-4220-9a40-1fb3713e5b03}</author>
    <author>tc={871f2933-7663-4ee7-a4cd-af8a7a0782ba}</author>
    <author>tc={37a11ff3-0fb4-4ca4-ab6e-2dec60bb1a86}</author>
    <author>tc={c1a31225-b231-49a1-8193-7a21d637ad8d}</author>
    <author>tc={92edca90-a9a1-40b3-98bb-4e1aa57a01b8}</author>
    <author>tc={108a0e6c-5960-45a5-b9b7-59c0836e926f}</author>
    <author>tc={ab97060b-b485-4d72-8f4d-1b01189cb9e9}</author>
    <author>tc={92959afc-2cde-481e-a7bf-4f02898d96bb}</author>
    <author>tc={5554e9d9-fb25-45d2-98f0-78130c242155}</author>
    <author>tc={1230696e-b9a4-4dc1-9cfa-9b22328e3c5a}</author>
    <author>tc={4277899b-ada1-460f-8966-23dc66dd6c87}</author>
    <author>tc={6029bb99-88e1-496e-b624-f9ced6da3708}</author>
    <author>tc={1ef12d26-b324-4a62-9bec-8748ec481295}</author>
    <author>tc={d1a5f6fb-5dc5-4ee8-9401-8797c1bb6cba}</author>
    <author>tc={62aba7e0-0ca4-4828-9995-467d43ab73f4}</author>
    <author>tc={5ee85597-a989-4d0f-a348-28c047980ca1}</author>
    <author>tc={ad2a26a9-02c6-4ea4-b46a-66b476523673}</author>
    <author>tc={2f9e7802-13c0-48b2-a851-35c6d64558ae}</author>
  </authors>
  <commentList>
    <comment ref="AZ5" authorId="0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$15 VISITA TECNICA 1/4/2026
</t>
        </r>
      </text>
    </comment>
    <comment ref="B6" authorId="1">
      <text>
        <r>
          <rPr>
            <sz val="10"/>
            <rFont val="SimSun"/>
            <charset val="134"/>
          </rPr>
          <t>ROSA MACAS_NUEVA DUEÑA DE CONTRATO SE VA ACERCAR CON LA MAMA PARA HACER EL TRAMITE
FIRMADO EL FNIQUITO</t>
        </r>
      </text>
    </comment>
    <comment ref="D8" authorId="2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31/12/2025
FINIQUITO
DEP TEC SOLANO
DEP ADM JOHN
</t>
        </r>
      </text>
    </comment>
    <comment ref="B13" authorId="1">
      <text>
        <r>
          <rPr>
            <sz val="10"/>
            <rFont val="SimSun"/>
            <charset val="134"/>
          </rPr>
          <t>28/1/2025 cancela valores pendientes
29/1/2025: Cliente suspende el servicio mientras se analiza el traslado de domicilio, se le ofrece en su nueva casa.</t>
        </r>
      </text>
    </comment>
    <comment ref="AG13" authorId="3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28/2/2026
</t>
        </r>
      </text>
    </comment>
    <comment ref="M18" authorId="4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TV2026.@
</t>
        </r>
      </text>
    </comment>
    <comment ref="B26" authorId="1">
      <text>
        <r>
          <rPr>
            <sz val="10"/>
            <rFont val="SimSun"/>
            <charset val="134"/>
          </rPr>
          <t xml:space="preserve"> 18/11/2024: Se envía el primer recordatorio de pago
30/1/2025: Se le llamo: No contesta a la línea ni WhatsApp : Se envía un correo con los valores a cancelar.
</t>
        </r>
      </text>
    </comment>
    <comment ref="D26" authorId="5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encuentro contrato, mandar finiquito al whatsapp y correo
SIN PING
</t>
        </r>
      </text>
    </comment>
    <comment ref="S31" authorId="6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1/2        $35
TOTAL $70 
3 roueter mesh
1 Regala empresa
2 $50
2 $20 cableado y mover equipo
</t>
        </r>
      </text>
    </comment>
    <comment ref="D32" authorId="7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encuntro contrato pero ya está vencido, obligar a que venga a finiquitar el contrato
SIN PING
</t>
        </r>
      </text>
    </comment>
    <comment ref="B33" authorId="1">
      <text>
        <r>
          <rPr>
            <sz val="10"/>
            <rFont val="SimSun"/>
            <charset val="134"/>
          </rPr>
          <t xml:space="preserve">15/1/2025: Contesta  a la línea y manifiesta que se acercaría a la oficina pero no vuelve a responder. 30/1/2025: Se envía un correo. </t>
        </r>
      </text>
    </comment>
    <comment ref="AD33" authorId="8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$10 soporte tecnico
</t>
        </r>
      </text>
    </comment>
    <comment ref="D36" authorId="9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encuentro contrato, obligar a finiquitar el contrato
SIN PING
</t>
        </r>
      </text>
    </comment>
    <comment ref="D43" authorId="10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JOHN LISTO ADMIN 10/2/2026
ANDRES LIS DEP TECN 10/2/2026
</t>
        </r>
      </text>
    </comment>
    <comment ref="D47" authorId="11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Contactar para finiquitar el contrato
SIN PING
</t>
        </r>
      </text>
    </comment>
    <comment ref="D50" authorId="12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encuentro contrato
SIN PING
NO APARECE EN DHCP
</t>
        </r>
      </text>
    </comment>
    <comment ref="B53" authorId="1">
      <text>
        <r>
          <rPr>
            <sz val="10"/>
            <rFont val="SimSun"/>
            <charset val="134"/>
          </rPr>
          <t>ROSA MACAS_NUEVA DUEÑA DE CONTRATO SE VA ACERCAR CON LA MAMA PARA HACER EL TRAMITE</t>
        </r>
      </text>
    </comment>
    <comment ref="B58" authorId="13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Centro de cuidado integral para adultos mayores cuatro rios S.A.S
RUC: 0195116016001
Vicente Mideros y dos de agosto
Tel. 0968279022
Email. geriatricocuatrorios@gmail.com
</t>
        </r>
      </text>
    </comment>
    <comment ref="S60" authorId="14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$23 MENSUAL
$15 2/3 REPETIDOR
</t>
        </r>
      </text>
    </comment>
    <comment ref="D61" authorId="15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encuentro contrato
NO HAY PING NO APARECE EN DHCP
</t>
        </r>
      </text>
    </comment>
    <comment ref="AG66" authorId="16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7/3/2026 $140
9/3/2026 $20
</t>
        </r>
      </text>
    </comment>
    <comment ref="P67" authorId="1">
      <text>
        <r>
          <rPr>
            <sz val="10"/>
            <rFont val="SimSun"/>
            <charset val="134"/>
          </rPr>
          <t>METRAJE ADICIONAL
TOTAL $8: CANCELA $8</t>
        </r>
      </text>
    </comment>
    <comment ref="S67" authorId="17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$23 INTERNET
$22.5 2/2 ROUTER
</t>
        </r>
      </text>
    </comment>
    <comment ref="AG67" authorId="18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2/3/2026 $30
</t>
        </r>
      </text>
    </comment>
    <comment ref="D71" authorId="19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 HAY CONTRATO, PERO SOLICITAR A QUE SE ACERQUE A REALIZAR EL FINIQUITO
NO PING
</t>
        </r>
      </text>
    </comment>
    <comment ref="B74" authorId="20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Cambio de nombre de contrato por fallecimiento:
AYORA JAIGUAY LISSETH VIVIANA
</t>
        </r>
      </text>
    </comment>
    <comment ref="P74" authorId="21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Esposo asume el contrato por fallecimiento de esposa, firma los documentos pero no se le pone multa si se retira antes de un año
</t>
        </r>
      </text>
    </comment>
    <comment ref="AZ74" authorId="22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Por fallecimiento
</t>
        </r>
      </text>
    </comment>
    <comment ref="C76" authorId="23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172.16.1.67
</t>
        </r>
      </text>
    </comment>
    <comment ref="S76" authorId="24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cambian de departamento entre sí
$7.6 cliente 303
$7.6 cliente 201
</t>
        </r>
      </text>
    </comment>
    <comment ref="B81" authorId="1">
      <text>
        <r>
          <rPr>
            <sz val="10"/>
            <rFont val="SimSun"/>
            <charset val="134"/>
          </rPr>
          <t xml:space="preserve">22/1/2025: Contesta  a la línea y manifiesta que se acercaría a la oficina ya que se ha cambiado de local junto al anterior donde se han quedado los equipos.
24/1/2025: Se envía mensaje para acordar fecha en la oficina pero no vuelve a responder.
30/1/2025: Se envía un correo. </t>
        </r>
      </text>
    </comment>
    <comment ref="D85" authorId="25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1/4/2026 Se envía el finiquito al correo damaruz99@gmail.com, debe reenviar el documento
</t>
        </r>
      </text>
    </comment>
    <comment ref="D86" authorId="26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6/1/2025 FINIQUITO TECNICO ANDRES
LIMA ADMINISTRATIVO
</t>
        </r>
      </text>
    </comment>
    <comment ref="D96" authorId="27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HAY CONTRATO
SIN PING 
NO EN DHCP
</t>
        </r>
      </text>
    </comment>
    <comment ref="P100" authorId="28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ACTUALIZA CONTRATO MIGRACION GRATIS
</t>
        </r>
      </text>
    </comment>
    <comment ref="AD101" authorId="29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$23 mensual
</t>
        </r>
      </text>
    </comment>
    <comment ref="P102" authorId="30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RENOVACION POR ACTUALIZACION DE EQUIPOS
</t>
        </r>
      </text>
    </comment>
    <comment ref="B103" authorId="1">
      <text>
        <r>
          <rPr>
            <sz val="10"/>
            <rFont val="SimSun"/>
            <charset val="134"/>
          </rPr>
          <t>29/7/2024 CEDE CONTRATO
SIGUA CRIOLLO ALEXANDRA ISABEL 
Considerar FINIQUITO FORZADO, NO RESPONDE
ENVIAR CORREO FINIQUITO</t>
        </r>
      </text>
    </comment>
    <comment ref="D109" authorId="31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 HAY CONTRATO
SIN PING
NO EN DHCP
</t>
        </r>
      </text>
    </comment>
    <comment ref="D113" authorId="32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HAY CONTRATO
SIN PING NO DHCP
</t>
        </r>
      </text>
    </comment>
    <comment ref="D121" authorId="33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HAY CONTRATO
SIN PING 
NO DHCP
</t>
        </r>
      </text>
    </comment>
    <comment ref="D123" authorId="34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 HAY CONTRATO, FORZAR EL CIERRE
SIN PING
YA FINIQUITO TRAMITE LO TIENE JOHN
</t>
        </r>
      </text>
    </comment>
    <comment ref="AP124" authorId="35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$5 licencia
</t>
        </r>
      </text>
    </comment>
    <comment ref="S127" authorId="36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$25 mensual
$22.5 2/2 Traslado
</t>
        </r>
      </text>
    </comment>
    <comment ref="S128" authorId="37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$69 MENSUAL
$14 CONTROL
</t>
        </r>
      </text>
    </comment>
    <comment ref="AO128" authorId="38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$75 controles
</t>
        </r>
      </text>
    </comment>
    <comment ref="D134" authorId="39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FINIQUITO CONTRATO 29/1/2026
REVISADO POR:
DEP ADMIN JOHN
DEP TECNICO SOLANO
</t>
        </r>
      </text>
    </comment>
    <comment ref="S134" authorId="40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FINIQUITO CONTRATO 29/1/2026
</t>
        </r>
      </text>
    </comment>
    <comment ref="B145" authorId="1">
      <text>
        <r>
          <rPr>
            <sz val="10"/>
            <rFont val="SimSun"/>
            <charset val="134"/>
          </rPr>
          <t>Cliente se retira, no cancela los valores. Coordinar con el arrendatario SR. PINTADO</t>
        </r>
      </text>
    </comment>
    <comment ref="D155" authorId="41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PROCESO JURIDICO
13/1/2026 ABG acuerda con el clente que el  17/1/2026 cancelará $60 y entregará los equipos
FINALIZADO 17/1/2026
</t>
        </r>
      </text>
    </comment>
    <comment ref="N158" authorId="42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4 MESES FINIQUITO EN JUNIO
</t>
        </r>
      </text>
    </comment>
    <comment ref="V168" authorId="43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3/2/2026
</t>
        </r>
      </text>
    </comment>
    <comment ref="BL168" authorId="44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2/5/2026 $4 OPSATV
Reply:
	$4 tv add
$5 lic smartOne
</t>
        </r>
      </text>
    </comment>
    <comment ref="D179" authorId="45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12/1/2026 FINIQUITO FORZADO CON DEP JURIDICO
- DEP TECNICO LISTO
- DEP ADMINISTRATIVO LISTO
</t>
        </r>
      </text>
    </comment>
    <comment ref="D181" authorId="46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SIN PING
</t>
        </r>
      </text>
    </comment>
    <comment ref="AY182" authorId="47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ERROR SE GENERO 2
</t>
        </r>
      </text>
    </comment>
    <comment ref="D188" authorId="48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PASO AL DEPARTAMENTO JURIDICO Y SE RECONECTÓ
</t>
        </r>
      </text>
    </comment>
    <comment ref="A190" authorId="49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DEBITO AUTOMATICO JEP
</t>
        </r>
      </text>
    </comment>
    <comment ref="AO190" authorId="50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TRASLADO $45
1/2 $22.5
</t>
        </r>
      </text>
    </comment>
    <comment ref="AT190" authorId="51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1MER PAGO JEP
</t>
        </r>
      </text>
    </comment>
    <comment ref="AZ190" authorId="52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2/2 traslado
</t>
        </r>
      </text>
    </comment>
    <comment ref="D194" authorId="53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FINIQUITO FORZADO DESAPARECE
ADMIN JOHN
TECN ANDRES
</t>
        </r>
      </text>
    </comment>
    <comment ref="D195" authorId="54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FECHA MAXIMA 27/2/2026
ACUERDO $140 SI NO ENTREGA LOS EQUIPOS
$50 Y ENTREGAR EQUIPOS
</t>
        </r>
      </text>
    </comment>
    <comment ref="D202" authorId="55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BOUND 
ENVIAR MENSAJE
</t>
        </r>
      </text>
    </comment>
    <comment ref="W204" authorId="56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PB83399519T
</t>
        </r>
      </text>
    </comment>
    <comment ref="D205" authorId="57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7/3/2026 SOLICITA FINIQUITO VA A PAGAR LOS $150 Y ENTREGA LOS EQUIPOS
8/3/2026  CANCELA $75
16/3/2026 CANCELA $70
</t>
        </r>
      </text>
    </comment>
    <comment ref="AO211" authorId="58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TRASLADO $45
1/2                $22.5
</t>
        </r>
      </text>
    </comment>
    <comment ref="D212" authorId="59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9/3/2026 el 11/3/2026 va a cancelara $90 y que le reconecten el servicio
</t>
        </r>
      </text>
    </comment>
    <comment ref="P212" authorId="60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* 1 IPTV
</t>
        </r>
      </text>
    </comment>
    <comment ref="P213" authorId="61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DAR
* CATV O IPTV 
ADICIONAL $2 UNA CUENTA (SI CONTRATA)
</t>
        </r>
      </text>
    </comment>
    <comment ref="P219" authorId="62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APLICA PROMOCION
$4.5 OCT 
$10.27 NOV
$10.27 DIC
</t>
        </r>
      </text>
    </comment>
    <comment ref="P220" authorId="63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$2.5 SEPT
$10.27 OCT
$10.27 NOV
</t>
        </r>
      </text>
    </comment>
    <comment ref="AG222" authorId="64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18/2/2026
</t>
        </r>
      </text>
    </comment>
    <comment ref="P223" authorId="65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3 Meses a mitad de precio
</t>
        </r>
      </text>
    </comment>
    <comment ref="P224" authorId="66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SIN PROMOCION 
SIN AYUDA JURIDICA
En caso de que el otro servicio siga activo, devolver $15
</t>
        </r>
      </text>
    </comment>
    <comment ref="P225" authorId="67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PREPAGO
SIN AYUDA JURIDICA 
SIN PROMOCION
</t>
        </r>
      </text>
    </comment>
    <comment ref="AZ225" authorId="68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TOTAL $45
1/2 $25
2/2 $20
</t>
        </r>
      </text>
    </comment>
    <comment ref="P226" authorId="69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SIN AYUDA JURIDICA
$10.27 OCTUBRE
$10.27 NOVIEMBRE
$10.27 DICIEMBRE
</t>
        </r>
      </text>
    </comment>
    <comment ref="P227" authorId="70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AYUDA JURIDICA CON ACCESSNET (Paga $41)_ Proceso Finalizado
$0 OCTUBRE
$10.27 NOVIEMBRE
$10.27 DICIEMBRE
$20.54 ENERO
</t>
        </r>
      </text>
    </comment>
    <comment ref="P228" authorId="71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SIN AYUDA JURIDICA
APLICA PROMOCION
OCT $5.15
NOV $10.27
DIC $10.27
EN $10.27
</t>
        </r>
      </text>
    </comment>
    <comment ref="S228" authorId="72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4/3 PROMOCION EXTRA
</t>
        </r>
      </text>
    </comment>
    <comment ref="P229" authorId="73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SIN PROMOCIÓN
OCTUBRE $10.27
NOV $20.54
DIC $20.54
</t>
        </r>
      </text>
    </comment>
    <comment ref="P230" authorId="74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AYUDA JURIDICA ETAPA (En proceso el 27/10/2025)
PLAN ADULTO MAYOR (SIN PROMOCIONES) $12.5
PROCESO FINALIZADO CON AYUDA JURIDICA
CON CATV
</t>
        </r>
      </text>
    </comment>
    <comment ref="P231" authorId="75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APLICA 3 MESES A MITAD DE PRECIO
$12.5 NOV
$12.5 DIC
$12.5 ENE
</t>
        </r>
      </text>
    </comment>
    <comment ref="P237" authorId="76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PLAN PREFERENCIAL 
Los 8 últimos días del mes de Nov se le dieron gratis, pagó cableado ethernet, firestick
</t>
        </r>
      </text>
    </comment>
    <comment ref="P238" authorId="77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se le da promoción
</t>
        </r>
      </text>
    </comment>
    <comment ref="P239" authorId="78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AYUDA JURIDICA ETAPA
CONTRATO ESPOSA: Tapia Montalvan Maria Eugenia
FEB $12.5
MAR $12.5
PROCESO FINALIZADO CON AYUDA JURIDICA
</t>
        </r>
      </text>
    </comment>
    <comment ref="P240" authorId="79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SIN PROMOCION
</t>
        </r>
      </text>
    </comment>
    <comment ref="S240" authorId="80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$20.54 mensual
$10 al momento no se (Puede que sea visita tecnica)
</t>
        </r>
      </text>
    </comment>
    <comment ref="P241" authorId="81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BENEFICIO ADULTO MAYOR
</t>
        </r>
      </text>
    </comment>
    <comment ref="P242" authorId="82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AYUDA JURIDICA ACCESNET EN PROCESO
Se baja la multa por la ARCOTEL ahora debe cancelar $28 aproximadamente (Consultar si el proceso se finalizó el 3/2/2026 )
DIC $0 ACCESSNET
ENE $12.5
FEC $12.5
</t>
        </r>
      </text>
    </comment>
    <comment ref="P243" authorId="83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SIN AYUDA JURIDICA
Ultimos días de Dic gratis
ENER0 $20.54
</t>
        </r>
      </text>
    </comment>
    <comment ref="A244" authorId="84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DEBITO JEP
</t>
        </r>
      </text>
    </comment>
    <comment ref="P244" authorId="85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AYUDA JURIDICA (CELERITY) A SIDO DE ACCESSNET
ENE $0 COBRA CELE
FEB $20.54  OPSATEL
25/2/2026 se llama a cliente indica que en Febrero no le cobran (Procedemos a cobrar NOSOTROS)
</t>
        </r>
      </text>
    </comment>
    <comment ref="S244" authorId="86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$5 LIC PLATAFORMA
</t>
        </r>
      </text>
    </comment>
    <comment ref="A245" authorId="87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DEBITO AUTOMATICO
</t>
        </r>
      </text>
    </comment>
    <comment ref="E245" authorId="88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PASAPORTE
</t>
        </r>
      </text>
    </comment>
    <comment ref="P245" authorId="89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SIN AYUDA JURIDICA
PREPAGO
ENERO $20.54
</t>
        </r>
      </text>
    </comment>
    <comment ref="S245" authorId="90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$20.54    MENSUAL
</t>
        </r>
      </text>
    </comment>
    <comment ref="P246" authorId="91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Sin ayuda jurídica
ENERO GRATIS
PREPAGO
FEBRERO $20.54
</t>
        </r>
      </text>
    </comment>
    <comment ref="P247" authorId="92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$10 MENSUAL (SIN INQUILINO)
$20.54 (CON INQUILINO)
</t>
        </r>
      </text>
    </comment>
    <comment ref="P248" authorId="93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AYUDA JURIDICA - CELERITY
11/2/2026
IPTV GRATIS
MARZO $20.54 + $4 CATV
</t>
        </r>
      </text>
    </comment>
    <comment ref="P249" authorId="94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SIN AYUDA JURIDICA
Ultimos días de Febrero GRATIS
Marzo $20.54
</t>
        </r>
      </text>
    </comment>
    <comment ref="P250" authorId="95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SIN AYUDA JURIDICA
DISCAPACIDAD MITAD DE PRECIO $25 PAGA:
$12.5 MENSUAL
$4      IPTV
$4      CATV
-----------
$20.5 MENSUAL
INICIO
$4.5 Metraje Adicional
$6.5 Prepago
--------------------
$11 total (Al instalar)
</t>
        </r>
      </text>
    </comment>
    <comment ref="P251" authorId="96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Ultimos días de feb GRATIS
MARZO CANCELA  $20.54
</t>
        </r>
      </text>
    </comment>
    <comment ref="P252" authorId="97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SIN AYUDA JURIDICA
SIN PROMOCIONN 
$4 FEBRERO
$20.54 MARZO
</t>
        </r>
      </text>
    </comment>
    <comment ref="P253" authorId="98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SIN PROMOCIONES SIN AYUDA JURIDICA
</t>
        </r>
      </text>
    </comment>
    <comment ref="P254" authorId="99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Ultimos días de Marzo Gratis
Abril $20.54
Mayo $20.54
</t>
        </r>
      </text>
    </comment>
    <comment ref="P255" authorId="100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SIN AYUDA JURIDICA 
SIN PROMOCIONES
</t>
        </r>
      </text>
    </comment>
    <comment ref="P256" authorId="101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SIN AYUDA JURIDICA
SIN PROMOCIONES
</t>
        </r>
      </text>
    </comment>
    <comment ref="P257" authorId="102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SIN AYUDA JURIDICA 
SIN PROMOCIONES
</t>
        </r>
      </text>
    </comment>
    <comment ref="E258" authorId="103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PASAPORTE
</t>
        </r>
      </text>
    </comment>
    <comment ref="P258" authorId="104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SIN AYUDA JURIDICA 
SIN PROMOCIONES
RED MESH
$5.12 Marzo
$10.27 Abril
$10.27 Mayo
$20.54 Junio
</t>
        </r>
      </text>
    </comment>
    <comment ref="AO258" authorId="105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$5.12 PROPORCIONAL AL MES
$40 EQUIPO MESH
</t>
        </r>
      </text>
    </comment>
    <comment ref="P259" authorId="106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SIN AYUDA JURIDICA 
SIN PROMOCIONES
Marzo $8.25
abril $20.54
</t>
        </r>
      </text>
    </comment>
    <comment ref="P260" authorId="107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SIN AYUDA JURIDICA
ULTIMOS DIAS MARZO GRATIS $0
ABRIL                                $20.54
</t>
        </r>
      </text>
    </comment>
    <comment ref="P261" authorId="108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SIN AYUDA JURIDAC
ULTIMOS DIAS DE MARZO GRATIS
Se debe cobrar:
Tercer Deeco $45
Cableado Gratis
Repetidor      $25
ABRIL
</t>
        </r>
      </text>
    </comment>
    <comment ref="P262" authorId="109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Sin ayuda juridica
</t>
        </r>
      </text>
    </comment>
    <comment ref="P263" authorId="110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SIN AYUDA JURIDICA
POSTPAGO
</t>
        </r>
      </text>
    </comment>
    <comment ref="P264" authorId="111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SIN AYUDA JURIDICA
ABRIL ETAPA
MAYO OPSATEL $25
</t>
        </r>
      </text>
    </comment>
    <comment ref="P265" authorId="112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SIN AYUDA JURIDICA
ABRIL $10.27
MAYO $10.27
JUNIO $10.27
</t>
        </r>
      </text>
    </comment>
    <comment ref="P266" authorId="113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SIN PROMOCIONES 
SIN AYUDA JURIDICA
</t>
        </r>
      </text>
    </comment>
    <comment ref="P268" authorId="114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SIN AYUDA JURIDICA 
SIN PROMOCIONES 
CONTRATO POR 1 AÑO
Abril    $8
Mayo  $20.54
Junio  $20.54
</t>
        </r>
      </text>
    </comment>
    <comment ref="P269" authorId="115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DEPARTAMENTO JURIDICO
ACCESSNET 
MAYO
</t>
        </r>
      </text>
    </comment>
    <comment ref="P270" authorId="116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SIN AYUDA JURIDICA
Ultimos días de Abril gratis
plan Preferencial $17.25 (El sr Tiene 3 contratos)
Mayo $20.54
</t>
        </r>
      </text>
    </comment>
  </commentList>
</comments>
</file>

<file path=xl/comments3.xml><?xml version="1.0" encoding="utf-8"?>
<comments xmlns="http://schemas.openxmlformats.org/spreadsheetml/2006/main">
  <authors>
    <author>tc={61a13e77-15f6-427d-8782-0e0aa4a1c52f}</author>
    <author/>
    <author>tc={6333029a-4d3b-4a8d-8e13-8a03c7a795e6}</author>
    <author>tc={77a2c6e2-21bc-4a3a-9df9-8891815f1bf4}</author>
    <author>tc={57c3190c-f692-49ac-9792-05e3dbfcc73d}</author>
    <author>tc={6a96477c-b1c9-4c8e-9005-9a8b002f4f36}</author>
    <author>tc={c361e4b4-0da7-49e0-93ca-8614bb818ed9}</author>
    <author>tc={a807719b-0e53-4dfa-9ddc-d7cc4c31a03b}</author>
    <author>tc={6e56c201-47e4-4c6f-b900-00db7147e7ee}</author>
    <author>tc={44bc5137-5f9e-4458-9639-03c7da5c5b62}</author>
    <author>tc={ab113048-db2c-4e52-9f58-179e052764e4}</author>
    <author>tc={fbb583ea-e8af-44b8-9cca-51c49fa3ccd1}</author>
    <author>tc={80a6eade-08b2-429a-a2bb-0524c5f812be}</author>
    <author>tc={72998b37-011e-4b31-9bdc-f9e195dbb1c7}</author>
    <author>tc={55d4b0c5-93a3-4d82-b86c-8046bfa8ce59}</author>
    <author>tc={80958360-b231-4904-88ae-723d1a121c46}</author>
    <author>tc={3036eb8f-94d8-43f7-9662-dec0f4d39ca5}</author>
    <author>tc={c9755da5-8c41-4948-9c52-c2cffb0926f5}</author>
    <author>tc={4609982b-cfe5-47c7-81cb-1b2d6312b4a9}</author>
    <author>tc={e3130f80-e5c4-4ee0-a6a2-03f10cda0805}</author>
    <author>tc={ca4a69d3-6641-4ad6-9572-141e8cbb4789}</author>
    <author>tc={cceedbdb-3dbf-4692-b736-783498d8e9e1}</author>
    <author>tc={887930db-de98-4341-abc3-9593753c0e2b}</author>
    <author>tc={1ae8d53b-4561-4c86-8df2-c78ccf048ae2}</author>
    <author>tc={2d1c035a-3338-4632-a79e-f3c525004dbf}</author>
    <author>tc={98d6c74e-db5f-4d20-b86d-a2d404d85250}</author>
    <author>tc={17b8fb6e-f142-4e84-b83f-382c54b3212d}</author>
    <author>tc={64e21f7a-6116-45b8-96f9-a309319ef61f}</author>
    <author>tc={b13ceab3-2ac5-42a2-9f6d-6cb070c4da27}</author>
    <author>tc={3ee0fbd0-4754-4cb1-84e2-b3e25e50b31a}</author>
    <author>tc={dbb5fcca-e46e-4617-83ca-de4eb4c1fbf5}</author>
    <author>tc={eaf0b0ce-ff57-4d48-a2d4-b5abd2043f0e}</author>
    <author>tc={bd8a6d8c-a17e-4dad-b63b-858bbf83858b}</author>
    <author>tc={18e97c91-96e1-4a28-a7fb-b3ecdc8e2c0d}</author>
    <author>tc={1449813b-0c34-47ed-afb7-87acea8d843c}</author>
    <author>tc={a52ad470-6d08-497a-a9b9-d8082cb99bee}</author>
    <author>tc={d07429e1-76ca-4399-b371-73fdf4b9d6f3}</author>
    <author>tc={83818274-69d2-4323-a841-d638a78615ef}</author>
    <author>tc={e4e18d5e-305d-40c4-8f8f-65937e44f5bf}</author>
    <author>tc={38e72a8d-8b10-455e-81f2-b29ce5afc783}</author>
    <author>tc={cb5c0e1e-ec9b-4fc4-998d-684ca78c0106}</author>
    <author>tc={935c2d9e-4ebf-43f7-a84f-767c0829f18d}</author>
    <author>tc={d7758b1d-9bf4-4bc4-9bc6-5b47803717ff}</author>
    <author>tc={0576016c-ca7b-45b2-9a0c-d05b533d8273}</author>
    <author>tc={857313d7-c3e2-4241-b68f-d207bfa3690b}</author>
    <author>tc={cffb84bf-bd72-4f48-8655-49d584cd9b30}</author>
    <author>tc={6188b293-0827-4155-802e-eb2d7f13aab0}</author>
    <author>tc={34e4daa4-f79f-48db-ab6c-852829ba626c}</author>
    <author>tc={480a5142-2e86-4629-ac94-e3016e7a5f96}</author>
    <author>tc={c3394640-e59a-4124-94b0-b21c8cc52d0f}</author>
    <author>tc={4bb7c181-f4fc-4b5b-9d9f-a1e1f7e07b7e}</author>
    <author>tc={4c8bfff1-d16b-4cf2-9755-1ee2dd623324}</author>
    <author>tc={14b7374b-a7e3-4b10-ac45-f673be1615a0}</author>
    <author>tc={03fe1b9a-c5b5-469c-a369-ff141c0cd56b}</author>
    <author>tc={d226508a-55b9-4f48-bcab-6c659a785339}</author>
    <author>tc={2ba1c644-9983-4fb4-a227-928d4ed2abec}</author>
    <author>tc={b1f779e7-8432-4461-aebd-258f53aec393}</author>
    <author>tc={5f1f1644-ac13-4a8c-8314-455a89e8740c}</author>
    <author>tc={d3ddc98a-860b-4f9f-aace-8f0103a565f5}</author>
    <author>tc={39dd35e6-1de0-40b8-aa4a-b8f2ec1499ac}</author>
    <author>tc={3856104e-886c-41af-a930-d5a9d93087d0}</author>
    <author>tc={03854925-7216-46cd-af2e-84d84f8a953a}</author>
    <author>tc={c5d2d159-d7fb-45f4-8cfc-d41f43d51e9b}</author>
    <author>tc={514d0d97-4d4a-4d58-945d-dd67d894d3a2}</author>
    <author>tc={b8237d5a-9c17-404a-9bb3-091084acac83}</author>
    <author>tc={1b28f363-eb8f-4ed2-bf89-0c43d5ead81f}</author>
    <author>tc={7caebd42-16ba-4db1-8ee1-19b4be29a398}</author>
    <author>tc={51e31952-66b2-4cfd-833c-00aba72693ea}</author>
    <author>tc={a034dbc4-a01d-40b0-8251-bb27ec182308}</author>
    <author>tc={a6e454dd-d4d8-4946-87ad-aee65ce13175}</author>
    <author>tc={7ea993ba-b7ba-457d-bc2e-2414878ac7b1}</author>
    <author>tc={893c9c01-2516-445a-b27d-4d947c6ca146}</author>
    <author>tc={06b989d6-41bd-4966-864a-4dcde35fd4cf}</author>
    <author>tc={1917f76c-1d8e-4337-8ebd-9fc5659e7345}</author>
  </authors>
  <commentList>
    <comment ref="AR19" authorId="0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4/3/2026 Estaba registrado un pago de $23 en Pichincha
</t>
        </r>
      </text>
    </comment>
    <comment ref="B20" authorId="1">
      <text>
        <r>
          <rPr>
            <sz val="10"/>
            <rFont val="SimSun"/>
            <charset val="134"/>
          </rPr>
          <t xml:space="preserve">28/11/2025: Cliente envía un mensaje al WhatsApp informando que ya no desea el servicio, pero no se acerca a dejar los equipos ni se logra acordar el finiquito.
23, 27 y 29 de Diciembre se solicita al cliente informar el estado de su servicio y no hay respuesta.
21/1/2025: Contesta la cuñada informando que el señor esta en EEUU.
4/2/2025: La mamá del Señor deja los equipos con Sra. Norma
5/2/2025:  Se le informa que tiene valores pendientes así como firmar el acta de finiquito pero no se obtiene respuesta. 
</t>
        </r>
      </text>
    </comment>
    <comment ref="S63" authorId="2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$15 visita tecnica
1/3 $22
2/3 $18
3/3 $18
</t>
        </r>
      </text>
    </comment>
    <comment ref="V63" authorId="3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30/1/2026 $23
</t>
        </r>
      </text>
    </comment>
    <comment ref="AD63" authorId="4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$18 Repetidor
Indica el cliente que es el pago fina
</t>
        </r>
      </text>
    </comment>
    <comment ref="B64" authorId="1">
      <text>
        <r>
          <rPr>
            <sz val="10"/>
            <rFont val="SimSun"/>
            <charset val="134"/>
          </rPr>
          <t>20/1/2025: Menciona que en dos meses se va del local, se solicita información para traslado pero no se obtiene respuesta.</t>
        </r>
      </text>
    </comment>
    <comment ref="B69" authorId="1">
      <text>
        <r>
          <rPr>
            <sz val="10"/>
            <rFont val="SimSun"/>
            <charset val="134"/>
          </rPr>
          <t>ÁREA JURÍDICA</t>
        </r>
      </text>
    </comment>
    <comment ref="AO73" authorId="5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TRASLADO $30
1/2                 $15
</t>
        </r>
      </text>
    </comment>
    <comment ref="AZ73" authorId="6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2/2 TRASLADO
</t>
        </r>
      </text>
    </comment>
    <comment ref="M77" authorId="1">
      <text>
        <r>
          <rPr>
            <sz val="10"/>
            <rFont val="SimSun"/>
            <charset val="134"/>
          </rPr>
          <t>CUENTA POR TIEMPO DE CONTRATO</t>
        </r>
      </text>
    </comment>
    <comment ref="BL86" authorId="7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4/5/2026 Pantalla adicional
</t>
        </r>
      </text>
    </comment>
    <comment ref="D90" authorId="8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3 DE MARZO SE CIERRA EL CONTRATO, DEBIDO A QUE NO USA EL SERVICIO
</t>
        </r>
      </text>
    </comment>
    <comment ref="B92" authorId="1">
      <text>
        <r>
          <rPr>
            <sz val="10"/>
            <rFont val="SimSun"/>
            <charset val="134"/>
          </rPr>
          <t xml:space="preserve">22/1/2025: Se corta su servicio por falta de pago.
10/2/2025 Notifica que se ha cambiado de domicilio a un sector donde no tenemos cobertura. 
17/2/2025: Se acuerda esperar los 5 primeros días de Marzo a que un nuevo arrendatario se haga cargo del contrato. 
</t>
        </r>
      </text>
    </comment>
    <comment ref="AZ96" authorId="9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TOTAL $45 FIRESTICK 
1/2     $25
2/2    $20
</t>
        </r>
      </text>
    </comment>
    <comment ref="AD97" authorId="10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$45 TRASLADO
</t>
        </r>
      </text>
    </comment>
    <comment ref="AO99" authorId="11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TRASLADO $35
1/2 $17.50
</t>
        </r>
      </text>
    </comment>
    <comment ref="AZ99" authorId="12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2/2 TRASLADO
</t>
        </r>
      </text>
    </comment>
    <comment ref="AR106" authorId="13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11/3/2026
</t>
        </r>
      </text>
    </comment>
    <comment ref="AZ108" authorId="14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LIC $5 SMARTONE
</t>
        </r>
      </text>
    </comment>
    <comment ref="A109" authorId="15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DEBITO JEP
</t>
        </r>
      </text>
    </comment>
    <comment ref="AD109" authorId="16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TOTAL $48 
$35 REPETIDOR
$13 13 metros de Cable
$ 48 TOTAL
$24 1/2
</t>
        </r>
      </text>
    </comment>
    <comment ref="AO109" authorId="17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TOTAL $48 
$35 REPETIDOR
$13 13 metros de Cable
$ 48 TOTAL
$24 2/2
</t>
        </r>
      </text>
    </comment>
    <comment ref="S112" authorId="18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$23 Mensual
$10 Visita técnica
</t>
        </r>
      </text>
    </comment>
    <comment ref="A115" authorId="19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DEBITO AUTOMATICO JEP
</t>
        </r>
      </text>
    </comment>
    <comment ref="A120" authorId="20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DEBITO AUTOMATICO JEP
</t>
        </r>
      </text>
    </comment>
    <comment ref="A125" authorId="21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DEBITO JEP
</t>
        </r>
      </text>
    </comment>
    <comment ref="S126" authorId="22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3/3
</t>
        </r>
      </text>
    </comment>
    <comment ref="S127" authorId="23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3/3
</t>
        </r>
      </text>
    </comment>
    <comment ref="P130" authorId="24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PROCESO CON AYUDA JURIDICA
</t>
        </r>
      </text>
    </comment>
    <comment ref="S131" authorId="25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3/3
</t>
        </r>
      </text>
    </comment>
    <comment ref="B132" authorId="26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VILLACIS VILLACIS DANIELA CAROLINA
</t>
        </r>
      </text>
    </comment>
    <comment ref="S132" authorId="27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3/3
</t>
        </r>
      </text>
    </comment>
    <comment ref="S133" authorId="28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3/3
</t>
        </r>
      </text>
    </comment>
    <comment ref="A138" authorId="29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DEBITO AUTOMATICO JEP
</t>
        </r>
      </text>
    </comment>
    <comment ref="S139" authorId="30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3/3 $12.5 no se considera porque se demoro su proceso y le dimos un mes gratis
</t>
        </r>
      </text>
    </comment>
    <comment ref="P142" authorId="31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AYUDA JURIDICA ETAPA (FINALIZADA 26/2/2026)
DISCAPACIDAD
La sra no devolvió el equipo a tiempo por lo cual nos cobraron $91.26
ENERO MENSUAL ETAPA
FEB MENSUAL $16.1
PAGA 2 TVs $4
MAR MENSUAL $16.1
PAGA 2 TVs $4
Sin Promoción Meses a Mitad de Precio.
</t>
        </r>
      </text>
    </comment>
    <comment ref="S143" authorId="32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$22.1 Mensual
$27.25 2/2 firestick
</t>
        </r>
      </text>
    </comment>
    <comment ref="P145" authorId="33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AYUDA JURIDICA CELERITY: EN PROCESO, A NOMBRE DE LA ESPOSA SRA Quizhpe Granda Carmita Yolanda ($108.84)
DESCUENTO DISCAPACIDAD
En el Plan:
3PLUS EN EL PLAN
1 DECO MESH
MENSUAL
Internet $16.1
3PLUS ADD $6
INSTALACION 
- NADA DE CABLE ETHERNET
- NADA DE CANALETAS
- 2 DecoMesh 1. GRATIS 
2. $45
- 2 CATV $25 CABLE $10
$25 CABLE $10
- 4 IPTV (3PAGA) $6
- Empotrar TV    $10
-----------------------------
TOTAL $131
CASO ENERO
A FAVOR OPSATEL $22.16 
CELERITY COBRA   $24.24
-$1.98
FEBRERO
MENSUAL                  $22.1
TOTAL                      $20.12
</t>
        </r>
      </text>
    </comment>
    <comment ref="S145" authorId="34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$24.14 Estar pendiente 
EL 24/2/2026 DEP JURIDICO VA A CONSULTAR PORQUE NO SE HIZO EL REEMBOLSO, AL Rato que se hace el reembolso solicitar que nos hagan el pago a OPSATEL
</t>
        </r>
      </text>
    </comment>
    <comment ref="D146" authorId="35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PROCESO: se le visitó 2 veces no quizo devolver los equipos
Dep JURIDICO 6/3/2026: se les pasa el proceso  y la sra nos difamó indicando que la hemos amenazado y grabado.
</t>
        </r>
      </text>
    </comment>
    <comment ref="P146" authorId="36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SIN AYUDA JURIDICA
29 30 Y 31 DE DIC GRATIS
$20.54 ENE 2026
</t>
        </r>
      </text>
    </comment>
    <comment ref="P147" authorId="37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APLICA PROMOCION
ENE $12.5
FEB $12.5
MAR $12.5
</t>
        </r>
      </text>
    </comment>
    <comment ref="P148" authorId="38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AYUDA JURIDICA NETLIFE
ENE NETLIFE
FEB  NETLIFE $14.84 $19.47 = 34.31
El sr se va acercar a pagar a las Oficinas, le entrtegan un certificado que no debe nada 26/2/2026
MAR $20.54 OPSATEL
</t>
        </r>
      </text>
    </comment>
    <comment ref="D149" authorId="39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NOS VA A DEJAR PONER LAS ANTENAS
</t>
        </r>
      </text>
    </comment>
    <comment ref="P149" authorId="40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MENSUAL $14
AYUDA JURIDICA ETAPA
FINALIZA EL PROCESO EN ENERO PAGA A ETAPA $16
A OPSATEL paga:
$14 Marzo
....
</t>
        </r>
      </text>
    </comment>
    <comment ref="P150" authorId="41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SIN AYUDA JURIDICA
Los ultimos días de enero Gratis
feb $20.54
</t>
        </r>
      </text>
    </comment>
    <comment ref="P151" authorId="42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AYUDA JURIDICA / ETAPA 25/1/2026
FEBRERO $14 ETAPA
MARZO OPSATEL $20.54
</t>
        </r>
      </text>
    </comment>
    <comment ref="B152" authorId="43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COSTAMAR
</t>
        </r>
      </text>
    </comment>
    <comment ref="P152" authorId="44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 SRA HA REALIZADO SOLA EL TRAMITE
ENE ETAPA
FEB $20,54  MAS $10 TRAMITES ES POSIBLE QUUE HAYA MULTA
</t>
        </r>
      </text>
    </comment>
    <comment ref="P154" authorId="45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AYUDA JURIDICA / ETAPA
FINALIZADO
FEBRERO CANCELO MITAD A ETAPA
FEBRERO PAGAN $27 ETAPA
MARZO $10.27
ABRIL $10.27
26/2/2026 El cliente indica que ya caceló a ETAPA a inicios de Febrero pero le sigue reflejando en el sistema, se solicita a Gabriel REVISAR
</t>
        </r>
      </text>
    </comment>
    <comment ref="AY154" authorId="46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C02628
</t>
        </r>
      </text>
    </comment>
    <comment ref="P155" authorId="47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AYUDA JURIDICA 28/1/2026 ETAPA
FEBRERO $26 ETAPA
MARZO    $20.54 OPSATEL
</t>
        </r>
      </text>
    </comment>
    <comment ref="P156" authorId="48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AYUDA JURIDICA SISTELCEL
(FINALIZA 12/3/2026) PAGA $25 CONSUMO FEBRERO
3 meses a mitad de precio
MAR PAGA A SISTELCEL
ABRIL OPSATEL  $12.5
MAYO OPSATEL $ 12.5
</t>
        </r>
      </text>
    </comment>
    <comment ref="P157" authorId="49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AYUDA JURIDICA FIBRAMAX
Multa repetidor y finiquito $150.59
3 MESES MITAD DE PRECIO CON $50 DE PROCESO
MAR $12.5 + $16.66 = 29.16
ABRIL $12.5 + $16.66 = 29.16
MAY  $12.5 + $16.66 = 29.16
PROCESO FINALIZADO, EL CONTRATO SE FIRMÓ PARA 36MESES
</t>
        </r>
      </text>
    </comment>
    <comment ref="P159" authorId="50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SIN AYUDA JURIDICA
PROMOCION 3 MESES A MITAD DE PRECIO 
FEBRERO $3.42
MARZO     $10.27
ABRIL        $10.27
MAYO       $20.54
</t>
        </r>
      </text>
    </comment>
    <comment ref="B160" authorId="51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RAZON SOCIAL: AGROISLEEK S.A.S
RUC: 0195174393001
DIRECCION: MERCADO 12 DE ABRIL
GMAIL: agroisleek@gmail.com
Número: 0984408001
</t>
        </r>
      </text>
    </comment>
    <comment ref="P160" authorId="52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 ayuda JURIDICA
CELERITY 25/2/2026
SIN MITAD DE PRECIO
TIENE DEBITO BANCARIO
FEBRERO CELERITY
MARZO OPSATEL EL 20/3/2026 $63 (FINALIZADO)
MARZO CLIENTE$32.2
</t>
        </r>
      </text>
    </comment>
    <comment ref="P161" authorId="53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SIN AYUDA JURIDICA
MARZO ETAPA
Abril $10.27
Mayo $10.27
Junio $10.27
</t>
        </r>
      </text>
    </comment>
    <comment ref="P162" authorId="54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AYUDA JURIDICA
FINALIZADO 30/5/2026
MARZO ECUANET
ABRIL $20.54
MAYO $20.54
</t>
        </r>
      </text>
    </comment>
    <comment ref="P163" authorId="55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AYUDA JURIDICA
LIVINGNET (LUCIO PRADO JENNIFER ANDREA)
MARZO LIVINGNET ($26.44 CANCELA OPSATEL Cliente debe reembolsar) se finaliza el proceso el 31/3/2026
ABRIL $20.54
MAYO $20.54
</t>
        </r>
      </text>
    </comment>
    <comment ref="P164" authorId="56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CELERITY A Nombre de CAGUANA GUAMANRICA SEGUNDO GUILLERMO
FINALIZADO
MARZO Celerity
Abril $16.1
Mayo $16.1
JUNIO $32.2
Debito JEP
N Cuenta: 406017282901
Nombre: Segundo Guillermo Caguana Guamarica
Cedula: 0102233020
</t>
        </r>
      </text>
    </comment>
    <comment ref="P165" authorId="57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AYUDA JURIDICA ASTRONET
PAGAMOS $45.04+0.41 (Finaliza el 24/3/2026)
MARZO ASTRONET
ABRIL $10.27
MAYO $10.27
JUNIO $20.54
</t>
        </r>
      </text>
    </comment>
    <comment ref="AO165" authorId="58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$45 FIRESTICK
</t>
        </r>
      </text>
    </comment>
    <comment ref="P166" authorId="59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NETLIFE AYUDA JURIDICA 13/3/2026 
FINALIZADO
BACULIMA GUAMAN RUTH NOEMI
MARZO NETLIFE
ABRIL $32.2 +$4
MAYO $32.2 +$4
</t>
        </r>
      </text>
    </comment>
    <comment ref="AO166" authorId="60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$45 firestick
</t>
        </r>
      </text>
    </comment>
    <comment ref="P167" authorId="61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Ayuda Juridica 13/3/2026 
NETLIFE Cliente: Valencia Arroyo David Esequiel
FINALIZADO
</t>
        </r>
      </text>
    </comment>
    <comment ref="P168" authorId="62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SIN PROMOCIONES NI AYUDA JURIDICA
</t>
        </r>
      </text>
    </comment>
    <comment ref="P169" authorId="63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AYUDA JURIDICA 13/3/2026
ETAPA EP Cliente: Quizhpe Villa Nelly Mercedes
FINALIZADO
</t>
        </r>
      </text>
    </comment>
    <comment ref="P170" authorId="64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AYUDA JURIDICA 13/3/2026
NETLIFE (FINALIZADO)
</t>
        </r>
      </text>
    </comment>
    <comment ref="P171" authorId="65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AYUDA JURIDICA ASTRONET
$12.98 FINIQUITO
$19.5 Marzo (OPSATEL PAGA, Cliente va a reembolsar)
OPSATEL CANCELA $31.98
Abril  $20.54 OPSATEL
</t>
        </r>
      </text>
    </comment>
    <comment ref="AO171" authorId="66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de Marzo de Astronet
</t>
        </r>
      </text>
    </comment>
    <comment ref="P172" authorId="67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 AYUDA JUDICA
ETAPA 
DIRECTV
FALTA FIRMAR PAGARE
</t>
        </r>
      </text>
    </comment>
    <comment ref="AO172" authorId="68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SWITCH
</t>
        </r>
      </text>
    </comment>
    <comment ref="P173" authorId="69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SIN AYUDA JURIDICA
SIN PROMOCIONES
ULTIMOS DÍAS DE MARZO GRATIS
</t>
        </r>
      </text>
    </comment>
    <comment ref="P174" authorId="70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AYUDA JURIDICA ECUANET
ABRIL ECUANET
MAYO $75 OPSATEL (PARA PROCESO ECUANET)
MAYO $20.54
</t>
        </r>
      </text>
    </comment>
    <comment ref="P175" authorId="71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SIN AYUDA JURIDICA 
3 MESES A MITAD DE PRECIO
- Abril $5.13
- Mayo $0
- Junio $20.54
Amigo de Byron Cabrera
</t>
        </r>
      </text>
    </comment>
    <comment ref="AZ175" authorId="72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$5.27 FACTURA A SR JOH
$35 FACTURA A BYRON CABRERA
</t>
        </r>
      </text>
    </comment>
    <comment ref="BD175" authorId="73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$35 PICHINCHA 20/4/2026
</t>
        </r>
      </text>
    </comment>
  </commentList>
</comments>
</file>

<file path=xl/comments4.xml><?xml version="1.0" encoding="utf-8"?>
<comments xmlns="http://schemas.openxmlformats.org/spreadsheetml/2006/main">
  <authors>
    <author>tc={febb0df1-c471-4de0-91a3-9668375a8f7c}</author>
    <author>tc={afebe568-1c21-4cb7-a80b-6732fe7c1333}</author>
    <author>tc={df575acf-6b96-4566-a87f-bd63ad32b097}</author>
    <author>tc={c9e9cc92-92bf-4c51-b6b5-4481f1d17e7b}</author>
    <author>tc={bb44cfbd-f08e-419b-99d7-1ce942eb3aad}</author>
    <author>tc={abc3ade0-4d08-4e35-b806-586fa26e8101}</author>
    <author>tc={ac445914-a414-4940-9065-7f2d8e430453}</author>
    <author>tc={8c8a0372-1e22-4a67-83ad-d7a9ffd8875d}</author>
    <author>tc={454cfb17-4c13-49de-8ebb-8063a4e14084}</author>
    <author>tc={780443f3-4c1e-49bf-8239-fbeb43d8ab46}</author>
  </authors>
  <commentList>
    <comment ref="B8" authorId="0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DATOS PARA FACTURA:
Razon Social: CALLE MEJIA ANA LUCIA
RUC: 0102214962001
CEL. 0984894015
Correo: luciacalle1964@hotmail.com
Descripcion: SERVICIOS
PROFESIONALES POR
REDES DE DATOS
</t>
        </r>
      </text>
    </comment>
    <comment ref="B9" authorId="1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RUC: 0195099138001
DIR. LAS CABALLERIZAS Y RICARDO DURAN
CORREO: serviciospenthouse@gmail.com
DETALLES: Servicios Profesionales por redes de datos
</t>
        </r>
      </text>
    </comment>
    <comment ref="J13" authorId="2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3 CUENTAS A $6
$18 DIC ENE FEB
</t>
        </r>
      </text>
    </comment>
    <comment ref="J18" authorId="3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$20 OCT NOV DIC EN FEB MAR
</t>
        </r>
      </text>
    </comment>
    <comment ref="M26" authorId="4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$6 MENSUAL
$4 TRANSFERIR CUENTA
</t>
        </r>
      </text>
    </comment>
    <comment ref="B27" authorId="5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FEBRERO 2026 JOSESES A LIKENET
</t>
        </r>
      </text>
    </comment>
    <comment ref="AC31" authorId="6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$5 LICENCIA
</t>
        </r>
      </text>
    </comment>
    <comment ref="X47" authorId="7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23/2/2026
27/2/2026
</t>
        </r>
      </text>
    </comment>
    <comment ref="AF47" authorId="8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24/3/2026
</t>
        </r>
      </text>
    </comment>
    <comment ref="J51" authorId="9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25/2/2026 ULTIMOS DIAS FEBRERO GRATIS
MARZO $6
</t>
        </r>
      </text>
    </comment>
  </commentList>
</comments>
</file>

<file path=xl/comments5.xml><?xml version="1.0" encoding="utf-8"?>
<comments xmlns="http://schemas.openxmlformats.org/spreadsheetml/2006/main">
  <authors>
    <author>tc={4c59f20b-7bec-456e-9a8b-fca9eab697d7}</author>
    <author>tc={0d7ffec6-edc9-42da-a38a-cbd300cfcaed}</author>
    <author>tc={356b55b6-083c-476b-950b-e6daf2d38f07}</author>
  </authors>
  <commentList>
    <comment ref="AM9" authorId="0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$300 CREDITOS JOSE
</t>
        </r>
      </text>
    </comment>
    <comment ref="N69" authorId="1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NODO BAÑOS
C.I 0101849339
Cuenta Contrato: 201007152683
</t>
        </r>
      </text>
    </comment>
    <comment ref="N86" authorId="2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INICIA EL 9 FEBRERO
13.34 por día
9 días TOTAL $120.06
</t>
        </r>
      </text>
    </comment>
  </commentList>
</comments>
</file>

<file path=xl/sharedStrings.xml><?xml version="1.0" encoding="utf-8"?>
<sst xmlns="http://schemas.openxmlformats.org/spreadsheetml/2006/main" count="10656" uniqueCount="4138">
  <si>
    <t>INGRESOS</t>
  </si>
  <si>
    <t xml:space="preserve">PROYECTO CORPORACION </t>
  </si>
  <si>
    <t>INGRESO BAÑOS</t>
  </si>
  <si>
    <t>INGRESO SAYAUSI</t>
  </si>
  <si>
    <t>SR. NORMA</t>
  </si>
  <si>
    <t>Gastos OPSATEL</t>
  </si>
  <si>
    <t>ANALISIS</t>
  </si>
  <si>
    <t>DE CUENTAS</t>
  </si>
  <si>
    <t>OPSATEL</t>
  </si>
  <si>
    <t>Lab dBLog</t>
  </si>
  <si>
    <t>GASTOS PLATAFORMA</t>
  </si>
  <si>
    <t>OPSATEL dBLog</t>
  </si>
  <si>
    <t>COD-CLI</t>
  </si>
  <si>
    <t>FECHA DE PAGO</t>
  </si>
  <si>
    <t>Tipo Efectivo/Transferencia</t>
  </si>
  <si>
    <t>VALOR</t>
  </si>
  <si>
    <t>Fecha Colaborador</t>
  </si>
  <si>
    <t>N° Comp Depósito</t>
  </si>
  <si>
    <t>item</t>
  </si>
  <si>
    <t>Descripción</t>
  </si>
  <si>
    <t>fecha</t>
  </si>
  <si>
    <t>valor</t>
  </si>
  <si>
    <t>SOBRANTE ANTERIOR MES</t>
  </si>
  <si>
    <t>Pichincha</t>
  </si>
  <si>
    <t>Descripcion</t>
  </si>
  <si>
    <t>Fecha</t>
  </si>
  <si>
    <t xml:space="preserve">VARIOS </t>
  </si>
  <si>
    <t>CAJA CHICA</t>
  </si>
  <si>
    <t>GASTOS VARIOS</t>
  </si>
  <si>
    <t>CLARO PLAN CELU TEC ADMIN</t>
  </si>
  <si>
    <t>COTITULARES</t>
  </si>
  <si>
    <t>WILIAM SANANGO</t>
  </si>
  <si>
    <t>PICHINCHA</t>
  </si>
  <si>
    <t>PLUS</t>
  </si>
  <si>
    <t>INTERESES CUENTA</t>
  </si>
  <si>
    <t>JEP</t>
  </si>
  <si>
    <t>Proyectos</t>
  </si>
  <si>
    <t>PLATAFORMA EXT</t>
  </si>
  <si>
    <t>PERSONAL</t>
  </si>
  <si>
    <t>SUBTOTAL</t>
  </si>
  <si>
    <t xml:space="preserve">DiGITAL OCEAN OPSATEL </t>
  </si>
  <si>
    <t>ELECAUSTRO CAMISAS</t>
  </si>
  <si>
    <t>RESERVA</t>
  </si>
  <si>
    <t>GOOGLE ONE DRIVE</t>
  </si>
  <si>
    <t>PROYECTO AG CONSTRUCCIONES</t>
  </si>
  <si>
    <t>TOTAL</t>
  </si>
  <si>
    <t>ZAPING SPORTS</t>
  </si>
  <si>
    <t>PROYECTO CLASES SUDAMERICANO</t>
  </si>
  <si>
    <t>SMARTONE  SR. AYALA</t>
  </si>
  <si>
    <t>AYUDA OPSATEL</t>
  </si>
  <si>
    <t>Caja CHICA</t>
  </si>
  <si>
    <t>VPS</t>
  </si>
  <si>
    <t xml:space="preserve">PICHINCHA </t>
  </si>
  <si>
    <t>GASTOS GENERAL</t>
  </si>
  <si>
    <t xml:space="preserve">CUENTA AUXILIAR </t>
  </si>
  <si>
    <t>TECNICO</t>
  </si>
  <si>
    <t>Efectivo</t>
  </si>
  <si>
    <t>MOVIMIENTOS INTERNOS INGRESOS</t>
  </si>
  <si>
    <t>SALDO DISPONIBLE</t>
  </si>
  <si>
    <t>DE</t>
  </si>
  <si>
    <t>RESERVA PICHINCHA CLIENTES</t>
  </si>
  <si>
    <t>RESERVA EFECTIVO CLIENTES</t>
  </si>
  <si>
    <t>Extra Efectivo</t>
  </si>
  <si>
    <t>Extra Pichincha</t>
  </si>
  <si>
    <t>RECAUDAR</t>
  </si>
  <si>
    <t>CLIENTES</t>
  </si>
  <si>
    <t>RECAUDADO</t>
  </si>
  <si>
    <t>CARTERA X VENCER</t>
  </si>
  <si>
    <t>MOVIMIENTOS INTERNOS</t>
  </si>
  <si>
    <t>Extra JEP</t>
  </si>
  <si>
    <t xml:space="preserve">BAÑOS TOTAL </t>
  </si>
  <si>
    <t>BANK</t>
  </si>
  <si>
    <t>Reserva Pichincha</t>
  </si>
  <si>
    <t>SUDA</t>
  </si>
  <si>
    <t>SAYAUSI TOTAL</t>
  </si>
  <si>
    <t>TRANSF EGRESOS</t>
  </si>
  <si>
    <t>Reserva Efectivo</t>
  </si>
  <si>
    <t>PREPAGO</t>
  </si>
  <si>
    <t xml:space="preserve">TOTAL </t>
  </si>
  <si>
    <t>dBLog PLUS</t>
  </si>
  <si>
    <t>HELP PROYECTO</t>
  </si>
  <si>
    <t>INVERSION CLIENTES NUEVOS</t>
  </si>
  <si>
    <t>GASTOS</t>
  </si>
  <si>
    <t>A FAVOR OPSATEL</t>
  </si>
  <si>
    <t>TRANSF INGRESOS</t>
  </si>
  <si>
    <t>LIMA</t>
  </si>
  <si>
    <t>LLERENA</t>
  </si>
  <si>
    <t>SOLANO</t>
  </si>
  <si>
    <t>PAUL</t>
  </si>
  <si>
    <t>ADELANTO1</t>
  </si>
  <si>
    <t>Trans Pichincha</t>
  </si>
  <si>
    <t>ENTREGADO</t>
  </si>
  <si>
    <t>Trans JEP</t>
  </si>
  <si>
    <t>PRESTAMOS</t>
  </si>
  <si>
    <t>ADELANTO 1</t>
  </si>
  <si>
    <t>Efectivo EGRESOS</t>
  </si>
  <si>
    <t>Total Efectivo</t>
  </si>
  <si>
    <t>ADELANTO 2</t>
  </si>
  <si>
    <t>Pichincha EGRESOS</t>
  </si>
  <si>
    <t>Total Trans Pichincha</t>
  </si>
  <si>
    <t>ADELANTO</t>
  </si>
  <si>
    <t>JEP EGRESOS</t>
  </si>
  <si>
    <t>Total Trans JEP</t>
  </si>
  <si>
    <t>Efetivo INGRESOS</t>
  </si>
  <si>
    <t>ADELANTO 3</t>
  </si>
  <si>
    <t>Pichincha INGRESOS</t>
  </si>
  <si>
    <t>ADELANTO 4</t>
  </si>
  <si>
    <t>JEP INGRESOS</t>
  </si>
  <si>
    <t>OPSATEL SERVIDOR OLT</t>
  </si>
  <si>
    <t>IMPORTACION</t>
  </si>
  <si>
    <t xml:space="preserve">FIJOS </t>
  </si>
  <si>
    <t>1C</t>
  </si>
  <si>
    <t>PAGO CREDITO NODO SAYAUSI RIOBAMBA SOLANO</t>
  </si>
  <si>
    <t>2 C</t>
  </si>
  <si>
    <t>LIKENET</t>
  </si>
  <si>
    <t>3 C</t>
  </si>
  <si>
    <t>ARRIENDO LUZ</t>
  </si>
  <si>
    <t>4 C</t>
  </si>
  <si>
    <t>ARRIENDO LOCAL</t>
  </si>
  <si>
    <t>5 C</t>
  </si>
  <si>
    <t>DEPARTAMENTO JURIDICO</t>
  </si>
  <si>
    <t>6 C</t>
  </si>
  <si>
    <t>7 C</t>
  </si>
  <si>
    <t>8 C</t>
  </si>
  <si>
    <t>CREDITO JEP J</t>
  </si>
  <si>
    <t>9 C</t>
  </si>
  <si>
    <t>CREDITO RIOBAMBA</t>
  </si>
  <si>
    <t>10 C</t>
  </si>
  <si>
    <t>11 C</t>
  </si>
  <si>
    <t>12 C</t>
  </si>
  <si>
    <t>13 C</t>
  </si>
  <si>
    <t>MARKETING</t>
  </si>
  <si>
    <t>14 C</t>
  </si>
  <si>
    <t>15 C</t>
  </si>
  <si>
    <t>MARKETING OPSATEL</t>
  </si>
  <si>
    <t>16 C</t>
  </si>
  <si>
    <t>17 C</t>
  </si>
  <si>
    <t>NEDETEL</t>
  </si>
  <si>
    <t>18 C</t>
  </si>
  <si>
    <t>CONTADORA</t>
  </si>
  <si>
    <t>19 C</t>
  </si>
  <si>
    <t>LUZ SAYAUSI</t>
  </si>
  <si>
    <t>20 C</t>
  </si>
  <si>
    <t>21 C</t>
  </si>
  <si>
    <t>22 C</t>
  </si>
  <si>
    <t>JOHN</t>
  </si>
  <si>
    <t>23 C</t>
  </si>
  <si>
    <t>HELP PAUL TEC</t>
  </si>
  <si>
    <t>24 C</t>
  </si>
  <si>
    <t>25 C</t>
  </si>
  <si>
    <t>IMPREVISTOS</t>
  </si>
  <si>
    <t>1D</t>
  </si>
  <si>
    <t>GASOLINA</t>
  </si>
  <si>
    <t>2D</t>
  </si>
  <si>
    <t>3D</t>
  </si>
  <si>
    <t>4D</t>
  </si>
  <si>
    <t>5D</t>
  </si>
  <si>
    <t>6D</t>
  </si>
  <si>
    <t>7D</t>
  </si>
  <si>
    <t>8D</t>
  </si>
  <si>
    <t>9D</t>
  </si>
  <si>
    <t>10D</t>
  </si>
  <si>
    <t>11D</t>
  </si>
  <si>
    <t>12D</t>
  </si>
  <si>
    <t>13D</t>
  </si>
  <si>
    <t>VARIOS</t>
  </si>
  <si>
    <t>PARA</t>
  </si>
  <si>
    <t>TRANSFERENCIAS E</t>
  </si>
  <si>
    <t>INVERSIONISTA</t>
  </si>
  <si>
    <t>TECNICO CAMPO</t>
  </si>
  <si>
    <t>12</t>
  </si>
  <si>
    <t>ADMINISTRATIVO</t>
  </si>
  <si>
    <t>Total PICHINCHA</t>
  </si>
  <si>
    <t xml:space="preserve"> </t>
  </si>
  <si>
    <t>NAME</t>
  </si>
  <si>
    <t>IP</t>
  </si>
  <si>
    <t>ESTADO</t>
  </si>
  <si>
    <t>CED</t>
  </si>
  <si>
    <t>TIEMPO (MESES)</t>
  </si>
  <si>
    <t>DOCUMENTS</t>
  </si>
  <si>
    <t>PARISH</t>
  </si>
  <si>
    <t>RENT</t>
  </si>
  <si>
    <t xml:space="preserve">DIRECTION </t>
  </si>
  <si>
    <t>MAIL</t>
  </si>
  <si>
    <t>CEL</t>
  </si>
  <si>
    <t>CUENTA</t>
  </si>
  <si>
    <t>INSTALATION DATE</t>
  </si>
  <si>
    <t>PLAN</t>
  </si>
  <si>
    <t>INS_PAYMENT</t>
  </si>
  <si>
    <t>SALDO</t>
  </si>
  <si>
    <t>FACT DIC</t>
  </si>
  <si>
    <t>INTERNET PAYMENT</t>
  </si>
  <si>
    <t>APP</t>
  </si>
  <si>
    <t>PAYMENT DATE</t>
  </si>
  <si>
    <t>CLIENT PAYMENT DATE</t>
  </si>
  <si>
    <t>COD</t>
  </si>
  <si>
    <t>BANK_PLUS</t>
  </si>
  <si>
    <t>FACT JANUARY</t>
  </si>
  <si>
    <t>FACTURAS</t>
  </si>
  <si>
    <t>SAMANIEGO FEIJO ANDREA BELEN</t>
  </si>
  <si>
    <t>172.17.2.2</t>
  </si>
  <si>
    <t>ACTIVO</t>
  </si>
  <si>
    <t>F</t>
  </si>
  <si>
    <t>18</t>
  </si>
  <si>
    <t>0105504971</t>
  </si>
  <si>
    <t>EL SAGRARIO</t>
  </si>
  <si>
    <t>NO</t>
  </si>
  <si>
    <t>RAFAEL MARI ARIZAGA Y VARGAS MACHUCA</t>
  </si>
  <si>
    <t>beley18@hotmail.com</t>
  </si>
  <si>
    <t>0986944564</t>
  </si>
  <si>
    <t>650M/650M</t>
  </si>
  <si>
    <t>C02245</t>
  </si>
  <si>
    <t>C02352</t>
  </si>
  <si>
    <t>SIN FACTURA</t>
  </si>
  <si>
    <t>26/3/2026</t>
  </si>
  <si>
    <t>16/4/2026</t>
  </si>
  <si>
    <t xml:space="preserve">HERNANDEZ SALAS NORA GABRIELA </t>
  </si>
  <si>
    <t>10.65.4.4:5151</t>
  </si>
  <si>
    <t>20</t>
  </si>
  <si>
    <t>1715444947</t>
  </si>
  <si>
    <t>SI</t>
  </si>
  <si>
    <t>norahs1980@hotmail.com</t>
  </si>
  <si>
    <t>0994089449 0963182639</t>
  </si>
  <si>
    <t>28/4/2026</t>
  </si>
  <si>
    <t>GUTIERREZ ARIAS JOSE ROLANDO</t>
  </si>
  <si>
    <t>172.17.1.3</t>
  </si>
  <si>
    <t>M</t>
  </si>
  <si>
    <t>24</t>
  </si>
  <si>
    <t>0100758994</t>
  </si>
  <si>
    <t>RAFAEL MARI ARIZAGA Y MARIANO CUEVA</t>
  </si>
  <si>
    <t>0992257063</t>
  </si>
  <si>
    <t>199cejoseg</t>
  </si>
  <si>
    <t>100M/100M</t>
  </si>
  <si>
    <t>9/3/2026</t>
  </si>
  <si>
    <t>11/4/2026</t>
  </si>
  <si>
    <t>MARQUEZ MARQUEZ ROSA CARMELA</t>
  </si>
  <si>
    <t>172.17.1.2</t>
  </si>
  <si>
    <t>0703952135</t>
  </si>
  <si>
    <t>BAÑOS</t>
  </si>
  <si>
    <t xml:space="preserve">VIA MINAS </t>
  </si>
  <si>
    <t>rosacarmelamarquezmarquez@gmail.com</t>
  </si>
  <si>
    <t>0995398106</t>
  </si>
  <si>
    <t>GRATIS</t>
  </si>
  <si>
    <t>C02246</t>
  </si>
  <si>
    <t>C02353</t>
  </si>
  <si>
    <t>C02456</t>
  </si>
  <si>
    <t>C02574</t>
  </si>
  <si>
    <t>7/4/2026</t>
  </si>
  <si>
    <t>002</t>
  </si>
  <si>
    <t>MACAS NAMCELA MARIA MERCEDES</t>
  </si>
  <si>
    <t>172.16.0.3</t>
  </si>
  <si>
    <t>INACTIVO</t>
  </si>
  <si>
    <t>1103427447</t>
  </si>
  <si>
    <t>SECTOR EL CHORRO CALLE GUADALUPANA</t>
  </si>
  <si>
    <t>rosamarianamacasnamcela@gmail.com</t>
  </si>
  <si>
    <t xml:space="preserve">0986347428 0967759439 0985702275 </t>
  </si>
  <si>
    <t>003</t>
  </si>
  <si>
    <t>CASTILLO GUAMAN MIRIAM PATRICIA</t>
  </si>
  <si>
    <t>172.16.1.2</t>
  </si>
  <si>
    <t>0103832432</t>
  </si>
  <si>
    <t>AV. RICARDO DURAN Y CALLE LA CALIZA (ESQUINA)</t>
  </si>
  <si>
    <t>miacastillo27@hotmail.com</t>
  </si>
  <si>
    <t xml:space="preserve">0992296564 0929902571 </t>
  </si>
  <si>
    <t>03bamiriamc</t>
  </si>
  <si>
    <t>C02247</t>
  </si>
  <si>
    <t>C02354</t>
  </si>
  <si>
    <t>C02457</t>
  </si>
  <si>
    <t>19/3/2026</t>
  </si>
  <si>
    <t>C02575</t>
  </si>
  <si>
    <t>C02687</t>
  </si>
  <si>
    <t>004</t>
  </si>
  <si>
    <t>CURIPOMA MEJICANO LORGIA</t>
  </si>
  <si>
    <t>172.16.0.4</t>
  </si>
  <si>
    <t>1715117121</t>
  </si>
  <si>
    <t>YANUNCAY</t>
  </si>
  <si>
    <t>curipomalorgia77@gmail.com</t>
  </si>
  <si>
    <t>0999463238 0994616304</t>
  </si>
  <si>
    <t>4bacuripomal</t>
  </si>
  <si>
    <t>006</t>
  </si>
  <si>
    <t>AUCAPIÑA NARVAEZ GLADYS VIRGINIA</t>
  </si>
  <si>
    <t>172.16.3.2</t>
  </si>
  <si>
    <t>1722452420</t>
  </si>
  <si>
    <t>JUEGO DE DAMAS Y TRES EN RAYA</t>
  </si>
  <si>
    <t>elizabethaucapina4@gmail.com</t>
  </si>
  <si>
    <t>0969018149 096293803</t>
  </si>
  <si>
    <t>06bagladysa</t>
  </si>
  <si>
    <t>C02248</t>
  </si>
  <si>
    <t>C02356</t>
  </si>
  <si>
    <t>C02458</t>
  </si>
  <si>
    <t>8/3/2026</t>
  </si>
  <si>
    <t>C02576</t>
  </si>
  <si>
    <t>C02688</t>
  </si>
  <si>
    <t>008</t>
  </si>
  <si>
    <t>URGILES OTORONGO JUAN CARLOS</t>
  </si>
  <si>
    <t>172.16.2.10</t>
  </si>
  <si>
    <t>0105921860</t>
  </si>
  <si>
    <t>PASEO DE LA GUADALUPANA Y CAMINO A NARANCAY ALTO  (INTERSECCION)</t>
  </si>
  <si>
    <t>juanurgiles4@gmail.com</t>
  </si>
  <si>
    <t>0992347655</t>
  </si>
  <si>
    <t>08bacarlos</t>
  </si>
  <si>
    <t>010</t>
  </si>
  <si>
    <t>YUMBLA CHILLOGALLI DIEGO FERNANDO</t>
  </si>
  <si>
    <t>172.16.6.6</t>
  </si>
  <si>
    <t>0105541320</t>
  </si>
  <si>
    <t>RICARDO DURAN</t>
  </si>
  <si>
    <t>diferyumbla@gmail.com</t>
  </si>
  <si>
    <t>0995461082</t>
  </si>
  <si>
    <t>010badiegoy</t>
  </si>
  <si>
    <t>C02185</t>
  </si>
  <si>
    <t>10/3/2026</t>
  </si>
  <si>
    <t>011</t>
  </si>
  <si>
    <t>ORDOÑEZ SIGUA CARMEN LETICIA</t>
  </si>
  <si>
    <t>172.16.2.2</t>
  </si>
  <si>
    <t>0106447535</t>
  </si>
  <si>
    <t>GUADALUPANO ALTO CALLE EL CALVARIO</t>
  </si>
  <si>
    <t>wpalvarezn@gmail.com</t>
  </si>
  <si>
    <t>0995516478  0995183363</t>
  </si>
  <si>
    <t>C02186</t>
  </si>
  <si>
    <t>C02297</t>
  </si>
  <si>
    <t>C02407</t>
  </si>
  <si>
    <t>C02520</t>
  </si>
  <si>
    <t>23/4/2026</t>
  </si>
  <si>
    <t>C02634</t>
  </si>
  <si>
    <t>012</t>
  </si>
  <si>
    <t>ALVAREZ VELECELA KEVIN ALEXANDER</t>
  </si>
  <si>
    <t>172.16.2.3</t>
  </si>
  <si>
    <t>0150675601</t>
  </si>
  <si>
    <t>ke266@aicloud.com</t>
  </si>
  <si>
    <t>0981087927</t>
  </si>
  <si>
    <t>C02319</t>
  </si>
  <si>
    <t>20/04/2026</t>
  </si>
  <si>
    <t>013</t>
  </si>
  <si>
    <t>LOJANO SANCHEZ MARIA ANGELITA</t>
  </si>
  <si>
    <t>172.16.2.4</t>
  </si>
  <si>
    <t>0102986619</t>
  </si>
  <si>
    <t>facturas.labsll@gmail.com</t>
  </si>
  <si>
    <t xml:space="preserve">0968375793 0991434170 0993528296 </t>
  </si>
  <si>
    <t>016</t>
  </si>
  <si>
    <t>ORDOÑEZ SIGUA LUIS HIPOLITO</t>
  </si>
  <si>
    <t>172.16.2.5</t>
  </si>
  <si>
    <t>0103855920</t>
  </si>
  <si>
    <t>GUADALUPANO ALTO</t>
  </si>
  <si>
    <t>dianys1895@gmail.com</t>
  </si>
  <si>
    <t>0988149915</t>
  </si>
  <si>
    <t>C02187</t>
  </si>
  <si>
    <t>C02298</t>
  </si>
  <si>
    <t>C02408</t>
  </si>
  <si>
    <t>17/03/2026</t>
  </si>
  <si>
    <t>C02521</t>
  </si>
  <si>
    <t>C02635</t>
  </si>
  <si>
    <t>019</t>
  </si>
  <si>
    <t xml:space="preserve">CASTILLO MONTALEZA MANUEL SANTOS </t>
  </si>
  <si>
    <t>172.16.1.6</t>
  </si>
  <si>
    <t>0101565398</t>
  </si>
  <si>
    <t>CALLE LA CALIZA Y RICARDO DURAN</t>
  </si>
  <si>
    <t>manuelscastillom@gmail.com</t>
  </si>
  <si>
    <t>0997876310 0992909166</t>
  </si>
  <si>
    <t>C02188</t>
  </si>
  <si>
    <t>C02299</t>
  </si>
  <si>
    <t>C02409</t>
  </si>
  <si>
    <t>16/3/2026</t>
  </si>
  <si>
    <t>C02522</t>
  </si>
  <si>
    <t>C02636</t>
  </si>
  <si>
    <t>020</t>
  </si>
  <si>
    <t>VASQUEZ BUENO LUIS ALEJANDRO</t>
  </si>
  <si>
    <t>172.16.1.7</t>
  </si>
  <si>
    <t>0107835571</t>
  </si>
  <si>
    <t>CALLE LLAVERO Y EL CALVARIO</t>
  </si>
  <si>
    <t>buenolastenia@gmail.com</t>
  </si>
  <si>
    <t>0968397062 0992237922</t>
  </si>
  <si>
    <t>20baluisv</t>
  </si>
  <si>
    <t>C02249</t>
  </si>
  <si>
    <t>C02357</t>
  </si>
  <si>
    <t>C02459</t>
  </si>
  <si>
    <t>C02577</t>
  </si>
  <si>
    <t>10/4/2026</t>
  </si>
  <si>
    <t>C02689</t>
  </si>
  <si>
    <t>021</t>
  </si>
  <si>
    <t>GUAMAN YUNGA NARCISA PIEDAD</t>
  </si>
  <si>
    <t>172.16.5.44</t>
  </si>
  <si>
    <t>0106385578</t>
  </si>
  <si>
    <t>SECTOR HUIZHIL</t>
  </si>
  <si>
    <t>0939645686</t>
  </si>
  <si>
    <t>21baguamann</t>
  </si>
  <si>
    <t>600M/600M</t>
  </si>
  <si>
    <t>26/1/2026</t>
  </si>
  <si>
    <t>25/3/2026</t>
  </si>
  <si>
    <t>023</t>
  </si>
  <si>
    <t>BALAREZO DURAN MARIA ELENA</t>
  </si>
  <si>
    <t>172.16.1.9</t>
  </si>
  <si>
    <t>0102434560</t>
  </si>
  <si>
    <t>PASEO DE LA GUADALUPANA</t>
  </si>
  <si>
    <t>mariaelenab2011@hotmail.com</t>
  </si>
  <si>
    <t>0959852484 0992424963 4097678</t>
  </si>
  <si>
    <t>C02189</t>
  </si>
  <si>
    <t>C02300</t>
  </si>
  <si>
    <t>C02410</t>
  </si>
  <si>
    <t>C02523</t>
  </si>
  <si>
    <t>27/4/2026</t>
  </si>
  <si>
    <t>C02637</t>
  </si>
  <si>
    <t>024</t>
  </si>
  <si>
    <t>SANCHEZ GUARANGO DIGNA ISABEL</t>
  </si>
  <si>
    <t>172.16.4.14</t>
  </si>
  <si>
    <t>0105975387</t>
  </si>
  <si>
    <t>ALFONSO CARRION Y AV. RICARDO DURAN</t>
  </si>
  <si>
    <t>sanchezdigna284@gmail.com</t>
  </si>
  <si>
    <t>0967656705 0990886597</t>
  </si>
  <si>
    <t>C02250</t>
  </si>
  <si>
    <t>C02358</t>
  </si>
  <si>
    <t>C02460</t>
  </si>
  <si>
    <t>C02578</t>
  </si>
  <si>
    <t>24/4/2026</t>
  </si>
  <si>
    <t>C02690</t>
  </si>
  <si>
    <t>025</t>
  </si>
  <si>
    <t>SIGUA LOJANO OLGA CRISTINA</t>
  </si>
  <si>
    <t>172.16.1.11</t>
  </si>
  <si>
    <t>0105084875</t>
  </si>
  <si>
    <t>VIA LAS MINAS BAÑOS</t>
  </si>
  <si>
    <t>olgasigua1985@gmail.com</t>
  </si>
  <si>
    <t>0987141328</t>
  </si>
  <si>
    <t>C02190</t>
  </si>
  <si>
    <t>029</t>
  </si>
  <si>
    <t>BARBECHO ZHIÑIN MARIA BELEN</t>
  </si>
  <si>
    <t>172.16.1.15</t>
  </si>
  <si>
    <t>0150669596</t>
  </si>
  <si>
    <t>CALLE EL CALVARIO</t>
  </si>
  <si>
    <t>mariabarbechocris@gmail.com</t>
  </si>
  <si>
    <t>0997383316 0980921524</t>
  </si>
  <si>
    <t>C02191</t>
  </si>
  <si>
    <t>22/1/2026</t>
  </si>
  <si>
    <t>C02301</t>
  </si>
  <si>
    <t>C02411</t>
  </si>
  <si>
    <t>C02524</t>
  </si>
  <si>
    <t>C02638</t>
  </si>
  <si>
    <t>030</t>
  </si>
  <si>
    <t>PINTADO GUAMAN MANUEL VICENTE</t>
  </si>
  <si>
    <t>172.16.1.16</t>
  </si>
  <si>
    <t>0102319902001</t>
  </si>
  <si>
    <t>ecuadistribuidorvp@gmail.com</t>
  </si>
  <si>
    <t>0997443605</t>
  </si>
  <si>
    <t>30bamanuelp</t>
  </si>
  <si>
    <t>C02192</t>
  </si>
  <si>
    <t>C02302</t>
  </si>
  <si>
    <t>C02412</t>
  </si>
  <si>
    <t>C02525</t>
  </si>
  <si>
    <t>14/04/2026</t>
  </si>
  <si>
    <t>C02639</t>
  </si>
  <si>
    <t>031</t>
  </si>
  <si>
    <t>PEÑALOZA BALAREZO DIANA MARCELA</t>
  </si>
  <si>
    <t>172.16.2.15</t>
  </si>
  <si>
    <t>0104386917</t>
  </si>
  <si>
    <t>flakitaconK23@gmail.com</t>
  </si>
  <si>
    <t>0979162869</t>
  </si>
  <si>
    <t>C02303</t>
  </si>
  <si>
    <t>C02413</t>
  </si>
  <si>
    <t>C02526</t>
  </si>
  <si>
    <t>C02640</t>
  </si>
  <si>
    <t>032</t>
  </si>
  <si>
    <t>CARRILLO DOMINGUEZ JHOANA ELIZABETH</t>
  </si>
  <si>
    <t>172.16.3.3</t>
  </si>
  <si>
    <t>0105877864</t>
  </si>
  <si>
    <t>CONTROL SUR - SALTO DE LA SOGA Y DE LA PAJARA PINTA</t>
  </si>
  <si>
    <t>carrillo.jhoana@yahoo.com</t>
  </si>
  <si>
    <t>0980444195 0995635986</t>
  </si>
  <si>
    <t>800M/800M</t>
  </si>
  <si>
    <t>C02291</t>
  </si>
  <si>
    <t>C02395</t>
  </si>
  <si>
    <t>13/3/2026</t>
  </si>
  <si>
    <t>14/4/2026</t>
  </si>
  <si>
    <t>033</t>
  </si>
  <si>
    <t>TOBAY ALVAREZ MONICA ISABEL</t>
  </si>
  <si>
    <t>172.16.0.2</t>
  </si>
  <si>
    <t>EN PROCESO</t>
  </si>
  <si>
    <t>0106133002</t>
  </si>
  <si>
    <t>NARANCAY ALTO - CUCHILOMA</t>
  </si>
  <si>
    <t>tobaymiki@gmail.com</t>
  </si>
  <si>
    <t>0967964254</t>
  </si>
  <si>
    <t>035</t>
  </si>
  <si>
    <t>MOROCHO QUITUIZACA MIRIAN PATRICIA</t>
  </si>
  <si>
    <t>172.16.0.10</t>
  </si>
  <si>
    <t>0107236390</t>
  </si>
  <si>
    <t>VIA AL CHORRO CARROLOMA</t>
  </si>
  <si>
    <t>mirianmorocho017@gmail.com</t>
  </si>
  <si>
    <t xml:space="preserve">0969892598 0969955271 </t>
  </si>
  <si>
    <t>C02251</t>
  </si>
  <si>
    <t>C02359</t>
  </si>
  <si>
    <t>C02461</t>
  </si>
  <si>
    <t>C02579</t>
  </si>
  <si>
    <t>4/10/2026</t>
  </si>
  <si>
    <t>C02691</t>
  </si>
  <si>
    <t>036</t>
  </si>
  <si>
    <t>SANCHEZ BURBANO ALICIA LUCIA</t>
  </si>
  <si>
    <t>172.16.3.7</t>
  </si>
  <si>
    <t>0602095416</t>
  </si>
  <si>
    <t>VIA NARANCAY</t>
  </si>
  <si>
    <t>pamelagranizo1992@gmail.com</t>
  </si>
  <si>
    <t>0962855527 0984503895</t>
  </si>
  <si>
    <t>36baaliciab</t>
  </si>
  <si>
    <t>11/3/2026</t>
  </si>
  <si>
    <t>037</t>
  </si>
  <si>
    <t>SIGUA LOJANO FREDY BOLIVAR</t>
  </si>
  <si>
    <t>172.16.1.18</t>
  </si>
  <si>
    <t>0106101801</t>
  </si>
  <si>
    <t>fredybolivar321@gmail.com</t>
  </si>
  <si>
    <t>0987141328 0997253643</t>
  </si>
  <si>
    <t>C02193</t>
  </si>
  <si>
    <t>C02304</t>
  </si>
  <si>
    <t>C02414</t>
  </si>
  <si>
    <t>1/3/2026</t>
  </si>
  <si>
    <t>C02527</t>
  </si>
  <si>
    <t>1/4/2026</t>
  </si>
  <si>
    <t>C02641</t>
  </si>
  <si>
    <t>3/5/2026</t>
  </si>
  <si>
    <t>038</t>
  </si>
  <si>
    <t>SIGUA LOJANO NORMA PATRICIA</t>
  </si>
  <si>
    <t>172.16.1.19</t>
  </si>
  <si>
    <t>0104130505</t>
  </si>
  <si>
    <t>nathalyv728@gmail.com</t>
  </si>
  <si>
    <t>0959530127 0990345417</t>
  </si>
  <si>
    <t>C02194</t>
  </si>
  <si>
    <t>C02305</t>
  </si>
  <si>
    <t>C02415</t>
  </si>
  <si>
    <t>6/3/2026</t>
  </si>
  <si>
    <t>C02528</t>
  </si>
  <si>
    <t>4/4/2026</t>
  </si>
  <si>
    <t>C02642</t>
  </si>
  <si>
    <t>039</t>
  </si>
  <si>
    <t>SIGUA CRIOLLO CARMEN DE JESUS</t>
  </si>
  <si>
    <t>172.16.1.20</t>
  </si>
  <si>
    <t>0103456018</t>
  </si>
  <si>
    <t>carmensigua75@gmail.com</t>
  </si>
  <si>
    <t>0983571157 4092792 2893644</t>
  </si>
  <si>
    <t>C02292</t>
  </si>
  <si>
    <t>C02504</t>
  </si>
  <si>
    <t>040</t>
  </si>
  <si>
    <t>ZHAGUI DUGLLAY DIANA CECILIA</t>
  </si>
  <si>
    <t>172.16.1.21</t>
  </si>
  <si>
    <t>0104928411</t>
  </si>
  <si>
    <t>EL CALVARIO</t>
  </si>
  <si>
    <t>fabriciodugllay51@gmail.com</t>
  </si>
  <si>
    <t>0992467080 099764171 0986234426</t>
  </si>
  <si>
    <t>043</t>
  </si>
  <si>
    <t>MACAS GUALAN AIDA BEATRIZ</t>
  </si>
  <si>
    <t>172.16.5.39</t>
  </si>
  <si>
    <t>0107189680</t>
  </si>
  <si>
    <t>macasaida7@gmail.com</t>
  </si>
  <si>
    <t>0986292604 0989455393</t>
  </si>
  <si>
    <t>045</t>
  </si>
  <si>
    <t>SIGUA CRIOLLO CARMEN DE JESUS (PAPAS)</t>
  </si>
  <si>
    <t>172.16.1.23</t>
  </si>
  <si>
    <t>0983571157 4092792  0997217517</t>
  </si>
  <si>
    <t>046</t>
  </si>
  <si>
    <t>DUCHI GUAMAN ROSA NARCISA</t>
  </si>
  <si>
    <t>172.16.1.24</t>
  </si>
  <si>
    <t>0103831491</t>
  </si>
  <si>
    <t>PASEO GUADALUPANA</t>
  </si>
  <si>
    <t>rosanarcisaduchiguaman@gmail.com</t>
  </si>
  <si>
    <t>0997365597 2892124</t>
  </si>
  <si>
    <t>046roduchi</t>
  </si>
  <si>
    <t>C02195</t>
  </si>
  <si>
    <t>C02306</t>
  </si>
  <si>
    <t>C02416</t>
  </si>
  <si>
    <t>C02529</t>
  </si>
  <si>
    <t>8/4/2026</t>
  </si>
  <si>
    <t>C02643</t>
  </si>
  <si>
    <t>047</t>
  </si>
  <si>
    <t>PINCAY VALAREZO PAOLA MARIA</t>
  </si>
  <si>
    <t>172.16.0.15</t>
  </si>
  <si>
    <t>0925492670</t>
  </si>
  <si>
    <t>CDLA. SANTA MARIA DE BAÑOS</t>
  </si>
  <si>
    <t>pandora_17@hotmail.com</t>
  </si>
  <si>
    <t>0999214389</t>
  </si>
  <si>
    <t>048</t>
  </si>
  <si>
    <t>CAJAMARCA AYABACA MANUEL FABIAN</t>
  </si>
  <si>
    <t>172.16.12.5</t>
  </si>
  <si>
    <t>0104934302</t>
  </si>
  <si>
    <t xml:space="preserve">CALLE LA MACATECA </t>
  </si>
  <si>
    <t>cajamarcafabian857@gmail.com</t>
  </si>
  <si>
    <t>0980484671</t>
  </si>
  <si>
    <t>C02253</t>
  </si>
  <si>
    <t>C02360</t>
  </si>
  <si>
    <t>C02462</t>
  </si>
  <si>
    <t>27/3/2026</t>
  </si>
  <si>
    <t>C02581</t>
  </si>
  <si>
    <t>C02692</t>
  </si>
  <si>
    <t>049</t>
  </si>
  <si>
    <t>BENENAULA CRIOLLO DARIO JAVIER</t>
  </si>
  <si>
    <t>172.16.0.17</t>
  </si>
  <si>
    <t>0105541270</t>
  </si>
  <si>
    <t>VIRGEN DE FATIMA ADBOCACION</t>
  </si>
  <si>
    <t>dariobene619@gmail.com</t>
  </si>
  <si>
    <t>0968997963 0988356536</t>
  </si>
  <si>
    <t>49badariob</t>
  </si>
  <si>
    <t>C02254</t>
  </si>
  <si>
    <t>C02361</t>
  </si>
  <si>
    <t>C02463</t>
  </si>
  <si>
    <t>C02580</t>
  </si>
  <si>
    <t>27/04/2026</t>
  </si>
  <si>
    <t>C02693</t>
  </si>
  <si>
    <t>050</t>
  </si>
  <si>
    <t>ACOSTA MERA JOSE RAMON</t>
  </si>
  <si>
    <t>172.16.0.18</t>
  </si>
  <si>
    <t>1309249397</t>
  </si>
  <si>
    <t xml:space="preserve">NARANCAY ALTO </t>
  </si>
  <si>
    <t>maritzashuir@gmail.com</t>
  </si>
  <si>
    <t>0991567816 0988357336</t>
  </si>
  <si>
    <t>29/04/2026</t>
  </si>
  <si>
    <t>051</t>
  </si>
  <si>
    <t>SAQUICELA GUAMAN MARIA DE LOURDES</t>
  </si>
  <si>
    <t>172.16.11.3</t>
  </si>
  <si>
    <t>0704053305</t>
  </si>
  <si>
    <t>MACATETA (ESQUINA) BARRIO SANTA MARIA</t>
  </si>
  <si>
    <t>0981579770</t>
  </si>
  <si>
    <t>051bamariag</t>
  </si>
  <si>
    <t>C02255</t>
  </si>
  <si>
    <t>C02362</t>
  </si>
  <si>
    <t>C02464</t>
  </si>
  <si>
    <t>C02582</t>
  </si>
  <si>
    <t>C02694</t>
  </si>
  <si>
    <t>052</t>
  </si>
  <si>
    <t>FAJARDO SANCHEZ RENI MAGALI</t>
  </si>
  <si>
    <t>172.16.0.20</t>
  </si>
  <si>
    <t>0104335187</t>
  </si>
  <si>
    <t>RIO ORINOCA Y ANTONIO ULLOA</t>
  </si>
  <si>
    <t>renifajardo@gmail.com</t>
  </si>
  <si>
    <t>0988641806</t>
  </si>
  <si>
    <t>22/4/2026</t>
  </si>
  <si>
    <t>053</t>
  </si>
  <si>
    <t>GODOY MOROCHO ROMEL ALCIDES</t>
  </si>
  <si>
    <t>172.16.0.51</t>
  </si>
  <si>
    <t>0104190459</t>
  </si>
  <si>
    <t>CALLE GUAUDALUPANO</t>
  </si>
  <si>
    <t>romelgodoy2@gmail.com</t>
  </si>
  <si>
    <t>0967216403 0989493601 0969581977</t>
  </si>
  <si>
    <t>053bagodoyr</t>
  </si>
  <si>
    <t>054</t>
  </si>
  <si>
    <t>JADAN AUQUILLA PEDRO DANIEL</t>
  </si>
  <si>
    <t>172.16.11.4</t>
  </si>
  <si>
    <t>0101812105</t>
  </si>
  <si>
    <t>RIO MANZANARES Y RIO PANAMA</t>
  </si>
  <si>
    <t>auquilla.daniel@yahoo.com</t>
  </si>
  <si>
    <t xml:space="preserve">0967478309 0993797160 </t>
  </si>
  <si>
    <t>054bajadan</t>
  </si>
  <si>
    <t>055</t>
  </si>
  <si>
    <t>LOJA MOCHA JESSICA XIMENA</t>
  </si>
  <si>
    <t>172.16.6.11</t>
  </si>
  <si>
    <t>0106829195</t>
  </si>
  <si>
    <t>COCHAPAMBA</t>
  </si>
  <si>
    <t>ximenaloja78@gmail.com</t>
  </si>
  <si>
    <t>969960338 1(646)2077179</t>
  </si>
  <si>
    <t>C02196</t>
  </si>
  <si>
    <t>C02307</t>
  </si>
  <si>
    <t>C02417</t>
  </si>
  <si>
    <t>C02530</t>
  </si>
  <si>
    <t>C02644</t>
  </si>
  <si>
    <t>056</t>
  </si>
  <si>
    <t>JACOME ALEMAN FELIX RICARDO</t>
  </si>
  <si>
    <t>172.16.0.23</t>
  </si>
  <si>
    <t>0103390571</t>
  </si>
  <si>
    <t>PASEO GUADALUPANO SUBIDA A LA CAPILLA</t>
  </si>
  <si>
    <t>marianalucia8a@gmail.com</t>
  </si>
  <si>
    <t>0989936333 0967639711</t>
  </si>
  <si>
    <t>56bafelixj</t>
  </si>
  <si>
    <t>C02256</t>
  </si>
  <si>
    <t>C02363</t>
  </si>
  <si>
    <t>C02465</t>
  </si>
  <si>
    <t>25/03/2026</t>
  </si>
  <si>
    <t>C02583</t>
  </si>
  <si>
    <t>28/3/2026</t>
  </si>
  <si>
    <t>C02695</t>
  </si>
  <si>
    <t>057</t>
  </si>
  <si>
    <t>CELI OCHOA MAYRA ELIZABETH</t>
  </si>
  <si>
    <t>172.16.1.26</t>
  </si>
  <si>
    <t>1104783210</t>
  </si>
  <si>
    <t>EL CALVARIO TRES CRUCES</t>
  </si>
  <si>
    <t>mayraceliochoa@yahoo.es</t>
  </si>
  <si>
    <t>0988170391</t>
  </si>
  <si>
    <t>C02197</t>
  </si>
  <si>
    <t>C02308</t>
  </si>
  <si>
    <t>C02418</t>
  </si>
  <si>
    <t>4/3/2026</t>
  </si>
  <si>
    <t>C02531</t>
  </si>
  <si>
    <t>C02645</t>
  </si>
  <si>
    <t>6/5/2026</t>
  </si>
  <si>
    <t>058</t>
  </si>
  <si>
    <t>TOBAY ALVAREZ MANUEL GONZALO</t>
  </si>
  <si>
    <t>172.16.0.24</t>
  </si>
  <si>
    <t>0103496865</t>
  </si>
  <si>
    <t>jackysusana1975@gmail.com</t>
  </si>
  <si>
    <t>0991572875 +1 609 9030762</t>
  </si>
  <si>
    <t>061</t>
  </si>
  <si>
    <t>ARBITO CADA ROSA MARIA</t>
  </si>
  <si>
    <t>10.65.3.253</t>
  </si>
  <si>
    <t>0102936861</t>
  </si>
  <si>
    <t>BAÑOS SECTOR UNION ALTA</t>
  </si>
  <si>
    <t>meguayaarbito@gmail.com</t>
  </si>
  <si>
    <t>0993170731 0992223220</t>
  </si>
  <si>
    <t>061barosaa</t>
  </si>
  <si>
    <t>063</t>
  </si>
  <si>
    <t>ORDOÑEZ SIGUA ROBERTH GERMAN</t>
  </si>
  <si>
    <t>172.16.0.25</t>
  </si>
  <si>
    <t>0105108245</t>
  </si>
  <si>
    <t xml:space="preserve">VIA NARANCAY ALTO </t>
  </si>
  <si>
    <t>roberthgo05@gmail.com</t>
  </si>
  <si>
    <t>0998665994 0983924978</t>
  </si>
  <si>
    <t>063basigua</t>
  </si>
  <si>
    <t>065</t>
  </si>
  <si>
    <t>GUAMAN GUAMAN JORGE JEOVANY</t>
  </si>
  <si>
    <t>172.16.0.27</t>
  </si>
  <si>
    <t>0103833653</t>
  </si>
  <si>
    <t>CALLE LA MACATETA, BAÑOS SANTA MARIA</t>
  </si>
  <si>
    <t>jorgeguaman428@gmail.com</t>
  </si>
  <si>
    <t>0990038171</t>
  </si>
  <si>
    <t>067</t>
  </si>
  <si>
    <t>CRIOLLO CRIOLLO HORTENCIA SUSANA</t>
  </si>
  <si>
    <t>172.16.1.28</t>
  </si>
  <si>
    <t>0102738770</t>
  </si>
  <si>
    <t>ENSAYANA CAMINO A BAÑOS</t>
  </si>
  <si>
    <t>hortencia.criollo20.05@gmail.com</t>
  </si>
  <si>
    <t>0967823002 0959299880</t>
  </si>
  <si>
    <t>C02257</t>
  </si>
  <si>
    <t>C02364</t>
  </si>
  <si>
    <t>C02466</t>
  </si>
  <si>
    <t>24/3/2026</t>
  </si>
  <si>
    <t>C02584</t>
  </si>
  <si>
    <t>C02696</t>
  </si>
  <si>
    <t>069</t>
  </si>
  <si>
    <t>BARBECHO ZHIÑIN XIMENA ALEXANDRA</t>
  </si>
  <si>
    <t>172.16.1.30</t>
  </si>
  <si>
    <t>0105022560</t>
  </si>
  <si>
    <t>SECTOR EL CALVARIO</t>
  </si>
  <si>
    <t>alexabarbecho06@gmail.com</t>
  </si>
  <si>
    <t>0967952013</t>
  </si>
  <si>
    <t>070</t>
  </si>
  <si>
    <t>172.16.0.31</t>
  </si>
  <si>
    <t>0986347428 0967759439 0985702275 0990674265</t>
  </si>
  <si>
    <t>071</t>
  </si>
  <si>
    <t>AUCAY YUNGA GABRIELA GRIMANES</t>
  </si>
  <si>
    <t>172.16.0.32</t>
  </si>
  <si>
    <t>0</t>
  </si>
  <si>
    <t>0106512833</t>
  </si>
  <si>
    <t>BARRIO GUADALUPANO SECTOR ROSALES</t>
  </si>
  <si>
    <t>jofreayara@gmail.com</t>
  </si>
  <si>
    <t>0986755629 0958946191</t>
  </si>
  <si>
    <t>71baaucayg</t>
  </si>
  <si>
    <t>C02258</t>
  </si>
  <si>
    <t>C02365</t>
  </si>
  <si>
    <t>C02467</t>
  </si>
  <si>
    <t>20/3/2026</t>
  </si>
  <si>
    <t>C02585</t>
  </si>
  <si>
    <t>C02697</t>
  </si>
  <si>
    <t>072</t>
  </si>
  <si>
    <t>MEDINA VERA MAYRA ALEXANDRA</t>
  </si>
  <si>
    <t>172.16.0.33</t>
  </si>
  <si>
    <t>1105951048</t>
  </si>
  <si>
    <t>SECTOR EL CHORRO CALLE GUADALUPANO</t>
  </si>
  <si>
    <t>mayritaalexandramedina@gmail.com</t>
  </si>
  <si>
    <t xml:space="preserve">0995067776 0995964624 </t>
  </si>
  <si>
    <t>C02259</t>
  </si>
  <si>
    <t>C02366</t>
  </si>
  <si>
    <t>C02468</t>
  </si>
  <si>
    <t>C02586</t>
  </si>
  <si>
    <t>C02698</t>
  </si>
  <si>
    <t>073</t>
  </si>
  <si>
    <t>MEDINA MACAS ROSA CARMEN</t>
  </si>
  <si>
    <t>172.16.0.34</t>
  </si>
  <si>
    <t>1105947889</t>
  </si>
  <si>
    <t>willammacas@gmail.com</t>
  </si>
  <si>
    <t>0997873287 0985391560</t>
  </si>
  <si>
    <t>21/3/2026</t>
  </si>
  <si>
    <t>2/5/2026</t>
  </si>
  <si>
    <t>074</t>
  </si>
  <si>
    <t>JARAMILLO RAMON JESSICA CATALINA</t>
  </si>
  <si>
    <t>172.16.3.5</t>
  </si>
  <si>
    <t>0106106040</t>
  </si>
  <si>
    <t>CALLE VILLALLBOS Y TARREGA</t>
  </si>
  <si>
    <t>jessyjaramillo2000@gmail.com</t>
  </si>
  <si>
    <t>0993586094</t>
  </si>
  <si>
    <t>C02260</t>
  </si>
  <si>
    <t>C02367</t>
  </si>
  <si>
    <t>C02469</t>
  </si>
  <si>
    <t>C02587</t>
  </si>
  <si>
    <t>C02699</t>
  </si>
  <si>
    <t>077</t>
  </si>
  <si>
    <t>TAPIA ANGAMARCA LAURA CRISTINA</t>
  </si>
  <si>
    <t>172.16.12.4</t>
  </si>
  <si>
    <t>0105608806</t>
  </si>
  <si>
    <t>VICENTE MINDERAS Y AV. RICARDO DURAN</t>
  </si>
  <si>
    <t>geriatricocuatrorios@gmail.com</t>
  </si>
  <si>
    <t>0983814102  0968279022</t>
  </si>
  <si>
    <t>77balaurac</t>
  </si>
  <si>
    <t>C02294</t>
  </si>
  <si>
    <t>C02396</t>
  </si>
  <si>
    <t>C02500</t>
  </si>
  <si>
    <t>C02625</t>
  </si>
  <si>
    <t>6/4/2026</t>
  </si>
  <si>
    <t>C02732</t>
  </si>
  <si>
    <t>4/5/2026</t>
  </si>
  <si>
    <t>078</t>
  </si>
  <si>
    <t xml:space="preserve">CARRION CALDERON ANGEL MIGUEL </t>
  </si>
  <si>
    <t>172.16.1.32</t>
  </si>
  <si>
    <t>1103760342</t>
  </si>
  <si>
    <t>TRES CRUCES</t>
  </si>
  <si>
    <t>yoliguaman_1980@hotmail.com</t>
  </si>
  <si>
    <r>
      <rPr>
        <sz val="10"/>
        <color theme="1"/>
        <rFont val="Arial"/>
        <charset val="134"/>
      </rPr>
      <t xml:space="preserve">0987655894 0993484816 </t>
    </r>
    <r>
      <rPr>
        <sz val="10"/>
        <color theme="1"/>
        <rFont val="Arial"/>
        <charset val="134"/>
      </rPr>
      <t>0987324080</t>
    </r>
  </si>
  <si>
    <t>78baangelc</t>
  </si>
  <si>
    <t>C02261</t>
  </si>
  <si>
    <t>C02505</t>
  </si>
  <si>
    <t>11/03/2026</t>
  </si>
  <si>
    <t>C02615</t>
  </si>
  <si>
    <t>C02727</t>
  </si>
  <si>
    <t>080</t>
  </si>
  <si>
    <t>PRECIADO BEGNETT MARIA MELBA</t>
  </si>
  <si>
    <t>172.16.2.17</t>
  </si>
  <si>
    <t>0802922195</t>
  </si>
  <si>
    <t>caicedowilson81@gmail.com</t>
  </si>
  <si>
    <t>0987875722 0995388377</t>
  </si>
  <si>
    <t>80bamariap</t>
  </si>
  <si>
    <t>C02262</t>
  </si>
  <si>
    <t>C02506</t>
  </si>
  <si>
    <t>C02588</t>
  </si>
  <si>
    <t>C02700</t>
  </si>
  <si>
    <t>081</t>
  </si>
  <si>
    <t>MENDOZA CONTRERAS ANDREINA INDAURA</t>
  </si>
  <si>
    <t>172.16.0.37</t>
  </si>
  <si>
    <t>0952689297</t>
  </si>
  <si>
    <t>AV. RICARDO DURAN SECTOR 4 ESQUINAS</t>
  </si>
  <si>
    <t>andreiinaindaura@gmail.com</t>
  </si>
  <si>
    <t>0991369005  0968215337</t>
  </si>
  <si>
    <t>082</t>
  </si>
  <si>
    <t>VELASCO GONZALEZ DANNY GONZALO</t>
  </si>
  <si>
    <t>172.16.17.8</t>
  </si>
  <si>
    <t>0103770723</t>
  </si>
  <si>
    <t>SECTOR COLEGIO MANUEL CORDOVA GALARZA</t>
  </si>
  <si>
    <t>dannyvelascogonzalez@gmail.com</t>
  </si>
  <si>
    <t>0969576129  0998489033</t>
  </si>
  <si>
    <t>82badannyv</t>
  </si>
  <si>
    <t>C02293</t>
  </si>
  <si>
    <t>C02397</t>
  </si>
  <si>
    <t>C02499</t>
  </si>
  <si>
    <t>7/3/2026</t>
  </si>
  <si>
    <t>C02626</t>
  </si>
  <si>
    <t>C02733</t>
  </si>
  <si>
    <t>5/5/2026</t>
  </si>
  <si>
    <t>083</t>
  </si>
  <si>
    <t>BARBECHO MOCHA JENNY TATIANA</t>
  </si>
  <si>
    <t>172.16.0.36</t>
  </si>
  <si>
    <t>0106416316</t>
  </si>
  <si>
    <t>GUADALUPANO</t>
  </si>
  <si>
    <t>tatybarbecho97@gmail.com</t>
  </si>
  <si>
    <r>
      <rPr>
        <b/>
        <sz val="10"/>
        <color theme="1"/>
        <rFont val="Arial"/>
        <charset val="134"/>
      </rPr>
      <t>0939008487</t>
    </r>
    <r>
      <rPr>
        <sz val="10"/>
        <color theme="1"/>
        <rFont val="Arial"/>
        <charset val="134"/>
      </rPr>
      <t xml:space="preserve"> 0997213899 0985141497 </t>
    </r>
  </si>
  <si>
    <t>83bajennyb</t>
  </si>
  <si>
    <t>084</t>
  </si>
  <si>
    <t>GORDILLO CARDENAS MARIA NATALI</t>
  </si>
  <si>
    <t>172.16.5.3</t>
  </si>
  <si>
    <t>0106768021</t>
  </si>
  <si>
    <t>AV. RICARDO DURAN Y LA PASADA</t>
  </si>
  <si>
    <t>nataligordillo08@hotmail.com</t>
  </si>
  <si>
    <r>
      <rPr>
        <b/>
        <sz val="10"/>
        <color theme="1"/>
        <rFont val="Arial"/>
        <charset val="134"/>
      </rPr>
      <t>0983924978</t>
    </r>
    <r>
      <rPr>
        <sz val="10"/>
        <color theme="1"/>
        <rFont val="Arial"/>
        <charset val="134"/>
      </rPr>
      <t xml:space="preserve"> 0980876208 </t>
    </r>
  </si>
  <si>
    <t>C02263</t>
  </si>
  <si>
    <t>13/4/2026</t>
  </si>
  <si>
    <t>085</t>
  </si>
  <si>
    <t>MALLA MALLA JORGE EDWIN</t>
  </si>
  <si>
    <t>172.16.0.46</t>
  </si>
  <si>
    <t>1105234007</t>
  </si>
  <si>
    <t>PASEO DE LA GUADALUPANA Y CALLE LA CALIZA</t>
  </si>
  <si>
    <t>jmallamalla2011@hotmail.com</t>
  </si>
  <si>
    <t>0990646671 0969534853</t>
  </si>
  <si>
    <t>85bajorgem</t>
  </si>
  <si>
    <t>C02264</t>
  </si>
  <si>
    <t>C02368</t>
  </si>
  <si>
    <t>C02470</t>
  </si>
  <si>
    <t>20/03/2026</t>
  </si>
  <si>
    <t>C02589</t>
  </si>
  <si>
    <t>C02701</t>
  </si>
  <si>
    <t>086</t>
  </si>
  <si>
    <t>RAMON TAPIA WILSON HERMEL</t>
  </si>
  <si>
    <t>172.16.5.4</t>
  </si>
  <si>
    <t>0101675023</t>
  </si>
  <si>
    <t>AV. RICARDO DURAN Y CALLE LA PASADA</t>
  </si>
  <si>
    <t>wilsonramontapia61@gmail.com</t>
  </si>
  <si>
    <t xml:space="preserve">0988585409 2893396 </t>
  </si>
  <si>
    <t>86bawilsonh</t>
  </si>
  <si>
    <t>088</t>
  </si>
  <si>
    <t>PESANTEZ MOROCHO SEGUNDO AGUSTIN</t>
  </si>
  <si>
    <t>172.16.1.34</t>
  </si>
  <si>
    <t>0104504477</t>
  </si>
  <si>
    <t>PASEO DE LA GUADALUPANO Y ALFONSO CARRION</t>
  </si>
  <si>
    <t>apesantez01@gmail.com</t>
  </si>
  <si>
    <t>0994764616 0991792520</t>
  </si>
  <si>
    <t>88basegundoa</t>
  </si>
  <si>
    <t>31/3/2026</t>
  </si>
  <si>
    <t>30/4/2026</t>
  </si>
  <si>
    <t>089</t>
  </si>
  <si>
    <t>VIZHCO SIGUA AMANDA LORENA</t>
  </si>
  <si>
    <t>172.16.1.35</t>
  </si>
  <si>
    <t>0105784300</t>
  </si>
  <si>
    <t>AV. RICARDO DURAN CENTRO DE BAÑOS</t>
  </si>
  <si>
    <t>amalore_001@hotmail.com</t>
  </si>
  <si>
    <t>0982748616 (0981193958 solo de emergecia)</t>
  </si>
  <si>
    <t>89baamandav</t>
  </si>
  <si>
    <t>C02265</t>
  </si>
  <si>
    <t>C02369</t>
  </si>
  <si>
    <t>C02471</t>
  </si>
  <si>
    <t>C02590</t>
  </si>
  <si>
    <t>20/4/2026</t>
  </si>
  <si>
    <t>C02702</t>
  </si>
  <si>
    <t>090_1</t>
  </si>
  <si>
    <t>MATINEZ PATIÑO ROBERT ALEJANDRO (201)</t>
  </si>
  <si>
    <t>172.16.1.62</t>
  </si>
  <si>
    <t>0704566462</t>
  </si>
  <si>
    <t>alejandr10281@gmail.com</t>
  </si>
  <si>
    <t>0978656550 0978773502</t>
  </si>
  <si>
    <t>090_1bapatriciag</t>
  </si>
  <si>
    <t>22/3/2026</t>
  </si>
  <si>
    <t>090_2</t>
  </si>
  <si>
    <t>LOJA MOCHA JAIME ROMULO (303)</t>
  </si>
  <si>
    <t>172.16.1.61</t>
  </si>
  <si>
    <t>0152524625</t>
  </si>
  <si>
    <t>patriciagalarza869@gmail.com</t>
  </si>
  <si>
    <t>0967391098 0981070687</t>
  </si>
  <si>
    <t>090_3</t>
  </si>
  <si>
    <t>MORA SABOGAL YEDISON DARIAN (401)</t>
  </si>
  <si>
    <t>172.16.1.68</t>
  </si>
  <si>
    <t>1.023.942.344</t>
  </si>
  <si>
    <t>0995252818 0987704482</t>
  </si>
  <si>
    <t>090_3moray</t>
  </si>
  <si>
    <t>090_4</t>
  </si>
  <si>
    <t>ALVAREZ PINTO DIEGO ARMANDO  (301)</t>
  </si>
  <si>
    <t>172.16.1.64</t>
  </si>
  <si>
    <t>24273724</t>
  </si>
  <si>
    <t>alvarezdieg1806@gmail.com</t>
  </si>
  <si>
    <t>0968474516</t>
  </si>
  <si>
    <t>090_4bafarhanr</t>
  </si>
  <si>
    <t>090_5</t>
  </si>
  <si>
    <t>CABRERA ORTEGA  KATHERINE JOMAIRA (402)</t>
  </si>
  <si>
    <t>172.16.1.63</t>
  </si>
  <si>
    <t>0105691992</t>
  </si>
  <si>
    <t>kethsa7726@hotmail.com</t>
  </si>
  <si>
    <t>0994466328</t>
  </si>
  <si>
    <r>
      <rPr>
        <u/>
        <sz val="10"/>
        <color rgb="FF00FF00"/>
        <rFont val="Arial"/>
        <charset val="134"/>
      </rPr>
      <t>090_5bacabrerak</t>
    </r>
  </si>
  <si>
    <t>090_6</t>
  </si>
  <si>
    <t>TORRES NIEVECELA ROBERTO CARLOS (302)</t>
  </si>
  <si>
    <t>172.16.1.60</t>
  </si>
  <si>
    <t>0105764419</t>
  </si>
  <si>
    <t>etotorres05@gmail.com</t>
  </si>
  <si>
    <t>0984700259 0987196463 0969894581</t>
  </si>
  <si>
    <t>FACTURAR</t>
  </si>
  <si>
    <t>090_7</t>
  </si>
  <si>
    <t>CRIOLLO CRIOLLO ADRIANA CATALINA (402)</t>
  </si>
  <si>
    <t>172.16.1.36</t>
  </si>
  <si>
    <t>0150084853</t>
  </si>
  <si>
    <t>criollo3cata93@gmail.com</t>
  </si>
  <si>
    <t>0989993087</t>
  </si>
  <si>
    <t>5/4/2026</t>
  </si>
  <si>
    <t>090</t>
  </si>
  <si>
    <t>DON JULIO EDIFICIO</t>
  </si>
  <si>
    <t>172.16.1.66</t>
  </si>
  <si>
    <t>0703139949</t>
  </si>
  <si>
    <t>julioguambana1972@gmail.com</t>
  </si>
  <si>
    <t>0969667542</t>
  </si>
  <si>
    <t>Aubajulioj</t>
  </si>
  <si>
    <t>090_8</t>
  </si>
  <si>
    <t>MOCHA ZHINGRE CHRISTIAN RONALDO (203)</t>
  </si>
  <si>
    <t>172.16.1.65</t>
  </si>
  <si>
    <t>0107422545</t>
  </si>
  <si>
    <t>0990302664</t>
  </si>
  <si>
    <t>90_8bamiltonc</t>
  </si>
  <si>
    <t>C02209</t>
  </si>
  <si>
    <t>C02507</t>
  </si>
  <si>
    <t>C02542</t>
  </si>
  <si>
    <t>C02656</t>
  </si>
  <si>
    <t>090_9</t>
  </si>
  <si>
    <t>SANCHEZ HERRERA RORAIMA CAROLINA</t>
  </si>
  <si>
    <t>172.16.1.38</t>
  </si>
  <si>
    <t>0152174777</t>
  </si>
  <si>
    <t>rorac28@gmail.com</t>
  </si>
  <si>
    <t>0960054945 0983211562</t>
  </si>
  <si>
    <t>10/04/2026</t>
  </si>
  <si>
    <t>091</t>
  </si>
  <si>
    <t>LOJA CRIOLLO DEISY ESTHER</t>
  </si>
  <si>
    <t>172.16.1.37</t>
  </si>
  <si>
    <t>0104161716</t>
  </si>
  <si>
    <t>0939113102 0993462699</t>
  </si>
  <si>
    <t>17/04/2026</t>
  </si>
  <si>
    <t>093</t>
  </si>
  <si>
    <t>VIZHCO ZHINGRI EDGAR PATRICIO</t>
  </si>
  <si>
    <t>172.16.2.19</t>
  </si>
  <si>
    <t>CORTESIA</t>
  </si>
  <si>
    <t>0999183220</t>
  </si>
  <si>
    <t>93baedgarv</t>
  </si>
  <si>
    <t>096</t>
  </si>
  <si>
    <t>DAMIAN NIVICELA BYRON MARCELO</t>
  </si>
  <si>
    <t>172.16.3.6</t>
  </si>
  <si>
    <t>0151121738</t>
  </si>
  <si>
    <t>PANAMERICANA FRENTE A LA CALLE DEL TUCUMAN</t>
  </si>
  <si>
    <t>nivicelamarcelo7@gmail.com</t>
  </si>
  <si>
    <t>0979254659</t>
  </si>
  <si>
    <t>097</t>
  </si>
  <si>
    <t>NIVICELA MOROCHO CARLOS ABDON</t>
  </si>
  <si>
    <t>172.16.0.38</t>
  </si>
  <si>
    <t>0103288171</t>
  </si>
  <si>
    <t>NARANCAY</t>
  </si>
  <si>
    <t>nivicela2@icloud.com</t>
  </si>
  <si>
    <t>1 (203) 832 9607 0980704449 0980271941</t>
  </si>
  <si>
    <t>098</t>
  </si>
  <si>
    <t>SALAZAR SALAZAR JESUS ARLEY</t>
  </si>
  <si>
    <t>172.16.0.39</t>
  </si>
  <si>
    <t>0996430424</t>
  </si>
  <si>
    <t>AV. RICARDO DURAN Y SALVADOR J. FERNANDEZ</t>
  </si>
  <si>
    <t>paolabuitron0907@gmail.com</t>
  </si>
  <si>
    <t>0996430424 0961779501</t>
  </si>
  <si>
    <t>099</t>
  </si>
  <si>
    <t>ALVARADO BAQUE ABIGAIL JOHANNA</t>
  </si>
  <si>
    <t>172.16.1.39</t>
  </si>
  <si>
    <t>0919352153</t>
  </si>
  <si>
    <t>AV. RICARDO DURAN Y ALFONSO CARRION</t>
  </si>
  <si>
    <t>lababy1721@gmail.com</t>
  </si>
  <si>
    <t>0960824725 0990222506 0990783443</t>
  </si>
  <si>
    <t>100</t>
  </si>
  <si>
    <t>CARDENAS CORTEZ DAMARIZ DAYANA</t>
  </si>
  <si>
    <t>172.16.4.12</t>
  </si>
  <si>
    <t>0151207362</t>
  </si>
  <si>
    <t>ALFONSO CARION Y AV. RICARDO DURAN</t>
  </si>
  <si>
    <t>damaruz99@gmail.com</t>
  </si>
  <si>
    <t>0962657457 0992281848</t>
  </si>
  <si>
    <t>C02266</t>
  </si>
  <si>
    <t>C02370</t>
  </si>
  <si>
    <t>12/3/2026</t>
  </si>
  <si>
    <t>101</t>
  </si>
  <si>
    <t>IBAÑEZ QUIROLA GLENDA MARISOL</t>
  </si>
  <si>
    <t>172.16.1.40</t>
  </si>
  <si>
    <t>0703383893</t>
  </si>
  <si>
    <t>glendamarisol78@gmail.com</t>
  </si>
  <si>
    <t>0985583757</t>
  </si>
  <si>
    <t>101baglendai</t>
  </si>
  <si>
    <t>C02267</t>
  </si>
  <si>
    <t>102</t>
  </si>
  <si>
    <t>IBAÑEZ QUIROLA FRANCISCO ENRIQUE</t>
  </si>
  <si>
    <t>172.16.1.41</t>
  </si>
  <si>
    <t>1716387830</t>
  </si>
  <si>
    <t>frankibanezquirola@gmail.com</t>
  </si>
  <si>
    <t>0990860328 0967896005</t>
  </si>
  <si>
    <t>102bafranciscoi</t>
  </si>
  <si>
    <t>103</t>
  </si>
  <si>
    <t>PEREZ GUAMAN OLGER ALONSO</t>
  </si>
  <si>
    <t>172.16.1.42</t>
  </si>
  <si>
    <t>0106292097</t>
  </si>
  <si>
    <t xml:space="preserve">TRES CRUCES </t>
  </si>
  <si>
    <t>operezguaman@gmail.com</t>
  </si>
  <si>
    <t>0981269456</t>
  </si>
  <si>
    <t>104</t>
  </si>
  <si>
    <t>MACHUCA PULLA BLANCA NATIVIDAD</t>
  </si>
  <si>
    <t>172.16.5.6</t>
  </si>
  <si>
    <t>0103797643</t>
  </si>
  <si>
    <t>AV. RICARDO DURAN Y 24 DE MAYO</t>
  </si>
  <si>
    <t>blankima98@gmail.com</t>
  </si>
  <si>
    <t>0989783695 0969698550</t>
  </si>
  <si>
    <t>104bablancam</t>
  </si>
  <si>
    <t>C02508</t>
  </si>
  <si>
    <t>18/3/2026</t>
  </si>
  <si>
    <t>C02616</t>
  </si>
  <si>
    <t>15/4/2026</t>
  </si>
  <si>
    <t>105</t>
  </si>
  <si>
    <t>MORAN MOREJON JESSICA ALEXANDRA</t>
  </si>
  <si>
    <t>172.16.2.20</t>
  </si>
  <si>
    <t>FISICO</t>
  </si>
  <si>
    <t>0924314578</t>
  </si>
  <si>
    <t>jessi_kmoran_84@hotmail.com</t>
  </si>
  <si>
    <t>0981973771</t>
  </si>
  <si>
    <t>106bajessicam</t>
  </si>
  <si>
    <t>C02268</t>
  </si>
  <si>
    <t>C02371</t>
  </si>
  <si>
    <t>C02472</t>
  </si>
  <si>
    <t>C02591</t>
  </si>
  <si>
    <t>C02703</t>
  </si>
  <si>
    <t>106</t>
  </si>
  <si>
    <t>MORALES TIGRE ROSA FABIOLA</t>
  </si>
  <si>
    <t>172.16.2.21</t>
  </si>
  <si>
    <t>0105899157</t>
  </si>
  <si>
    <t>CALLE GUADALUPANO ALTO</t>
  </si>
  <si>
    <t>fabiolamorales22@hotmail.com</t>
  </si>
  <si>
    <t>0996616621 0998012082</t>
  </si>
  <si>
    <t>107</t>
  </si>
  <si>
    <t>GUAMAN YUPANGUI LAURA GUADALUPE</t>
  </si>
  <si>
    <t>172.16.1.43</t>
  </si>
  <si>
    <t>0103794244</t>
  </si>
  <si>
    <t>CEMENTERIO VIA MINAS</t>
  </si>
  <si>
    <t>miazoe2011@icloud.com</t>
  </si>
  <si>
    <t>1(203)788-4370 0995479010 0991556055</t>
  </si>
  <si>
    <t>C02269</t>
  </si>
  <si>
    <t>C02372</t>
  </si>
  <si>
    <t>C02473</t>
  </si>
  <si>
    <t>C02592</t>
  </si>
  <si>
    <t>C02704</t>
  </si>
  <si>
    <t>108</t>
  </si>
  <si>
    <t>FEGANS CHAMBA TANIA GABRIELA</t>
  </si>
  <si>
    <t>172.16.11.5</t>
  </si>
  <si>
    <t>NO HAY</t>
  </si>
  <si>
    <t>0107419582</t>
  </si>
  <si>
    <t>RIO PORAÑO Y RIO MISSISIPI</t>
  </si>
  <si>
    <t>gonzalezmjs54@gmail.com</t>
  </si>
  <si>
    <t>0958847439</t>
  </si>
  <si>
    <t>108bafegansc</t>
  </si>
  <si>
    <t>C02270</t>
  </si>
  <si>
    <t>C02373</t>
  </si>
  <si>
    <t>C02474</t>
  </si>
  <si>
    <t>C02593</t>
  </si>
  <si>
    <t>C02705</t>
  </si>
  <si>
    <t>109</t>
  </si>
  <si>
    <t>NAREA CASTRO ADRIANA MAGDALENA</t>
  </si>
  <si>
    <t>172.16.1.44</t>
  </si>
  <si>
    <t>0104867627</t>
  </si>
  <si>
    <t>CAPILLA COCHAPAMBA BAÑOS</t>
  </si>
  <si>
    <t>adrivalentina1@hotmail.com</t>
  </si>
  <si>
    <t>0960587655 0962963303</t>
  </si>
  <si>
    <t>109baadrianan</t>
  </si>
  <si>
    <t>110</t>
  </si>
  <si>
    <t>GUAMAN DURAN EDGAR IVAN</t>
  </si>
  <si>
    <t>172.16.4.2</t>
  </si>
  <si>
    <t>0102055993</t>
  </si>
  <si>
    <t>reparacionesdieselguanman@hotmail.com</t>
  </si>
  <si>
    <t>0992319726</t>
  </si>
  <si>
    <t>110baguamane</t>
  </si>
  <si>
    <t>C02374</t>
  </si>
  <si>
    <t>C02475</t>
  </si>
  <si>
    <t>C02594</t>
  </si>
  <si>
    <t>C02706</t>
  </si>
  <si>
    <t>111</t>
  </si>
  <si>
    <t>VIZHCO HORTENCIA MARGARITA</t>
  </si>
  <si>
    <t>172.16.1.45</t>
  </si>
  <si>
    <t>MINAS BAÑOS</t>
  </si>
  <si>
    <t>112</t>
  </si>
  <si>
    <t>RAMON TAPIA WILSON HERMEL  (CABAÑAS)</t>
  </si>
  <si>
    <t>172.16.16.2</t>
  </si>
  <si>
    <t>AV. RICARDO DURAN</t>
  </si>
  <si>
    <t>113</t>
  </si>
  <si>
    <t>GUERRERO DUCHI MERI GUADALUPE</t>
  </si>
  <si>
    <t>172.16.4.3</t>
  </si>
  <si>
    <t>0101849339</t>
  </si>
  <si>
    <t>0989482929</t>
  </si>
  <si>
    <t>114</t>
  </si>
  <si>
    <t>ARMIJOS HUANCA EDWIN REMIGIO</t>
  </si>
  <si>
    <t>172.16.2.22</t>
  </si>
  <si>
    <t>1103819650</t>
  </si>
  <si>
    <t>CALLE LA CALIZA Y AV. RICARDO DURAN</t>
  </si>
  <si>
    <t>edwinarmijos740@gmail.com</t>
  </si>
  <si>
    <t>0986077600</t>
  </si>
  <si>
    <t>114baedwina</t>
  </si>
  <si>
    <t>115</t>
  </si>
  <si>
    <t>URGILES CHACON SARA VERONICA</t>
  </si>
  <si>
    <t>172.16.7.21</t>
  </si>
  <si>
    <t>0103863122</t>
  </si>
  <si>
    <t>lizurgileszg@gmail.com</t>
  </si>
  <si>
    <t>0986562562</t>
  </si>
  <si>
    <t>114basarau</t>
  </si>
  <si>
    <t>C02198</t>
  </si>
  <si>
    <t>C02309</t>
  </si>
  <si>
    <t>C02419</t>
  </si>
  <si>
    <t>C02532</t>
  </si>
  <si>
    <t>C02646</t>
  </si>
  <si>
    <t>116</t>
  </si>
  <si>
    <t>FEGANS CHAMBA ADRIANA STEFANIA</t>
  </si>
  <si>
    <t>172.16.1.47</t>
  </si>
  <si>
    <t>DIGITAL</t>
  </si>
  <si>
    <t>0705863538</t>
  </si>
  <si>
    <t>adrianafegans@gmail.com</t>
  </si>
  <si>
    <t>0968796939</t>
  </si>
  <si>
    <t>116baadrianaf</t>
  </si>
  <si>
    <t>C02271</t>
  </si>
  <si>
    <t>C02375</t>
  </si>
  <si>
    <t>C02476</t>
  </si>
  <si>
    <t>C02595</t>
  </si>
  <si>
    <t>C02707</t>
  </si>
  <si>
    <t>117</t>
  </si>
  <si>
    <t>MORA LANDIVAR CARMEN JOHANNA</t>
  </si>
  <si>
    <t>172.16.5.8</t>
  </si>
  <si>
    <t>0105491609</t>
  </si>
  <si>
    <t>carmitalandi@gmail.com</t>
  </si>
  <si>
    <t>0999795083 0992310278</t>
  </si>
  <si>
    <t>117bajohannam</t>
  </si>
  <si>
    <t>C02210</t>
  </si>
  <si>
    <t>29/4/2026</t>
  </si>
  <si>
    <t>119</t>
  </si>
  <si>
    <t>CHIMBORASO PINTADO FLAVIO RENE</t>
  </si>
  <si>
    <t>172.16.1.48</t>
  </si>
  <si>
    <t>0106658230</t>
  </si>
  <si>
    <t>AV. RICARDO DURAN Y LA CALIZA</t>
  </si>
  <si>
    <t>frene.c.p@outlook.es</t>
  </si>
  <si>
    <t>0942969933 0962367211</t>
  </si>
  <si>
    <t>119baalexandras</t>
  </si>
  <si>
    <t>120</t>
  </si>
  <si>
    <t>VIZHCO SIGUA CHRISTIAN ANDRES</t>
  </si>
  <si>
    <t>172.16.1.49</t>
  </si>
  <si>
    <t>0105810725</t>
  </si>
  <si>
    <t>cvizhco1991@gmail.com</t>
  </si>
  <si>
    <t>0960622282 0989379872</t>
  </si>
  <si>
    <t>120bachristianv</t>
  </si>
  <si>
    <t>C02211</t>
  </si>
  <si>
    <t>C02320</t>
  </si>
  <si>
    <t>C02428</t>
  </si>
  <si>
    <t>C02543</t>
  </si>
  <si>
    <t>21/4/2026</t>
  </si>
  <si>
    <t>C02657</t>
  </si>
  <si>
    <t>122</t>
  </si>
  <si>
    <t>GUAMANRRIGRA VIZHCO MERCEDES KARINA</t>
  </si>
  <si>
    <t>172.16.2.23</t>
  </si>
  <si>
    <t>0106743768</t>
  </si>
  <si>
    <t>karig9856@gail.com</t>
  </si>
  <si>
    <t>0994160566</t>
  </si>
  <si>
    <t>122bamercedesg</t>
  </si>
  <si>
    <t>123</t>
  </si>
  <si>
    <t>SIGUA VIZHCO YESSENIA PAOLA</t>
  </si>
  <si>
    <t>172.16.4.4</t>
  </si>
  <si>
    <t>0105906689</t>
  </si>
  <si>
    <t>siguapaola69@gmail.com</t>
  </si>
  <si>
    <t>0985840085 0979623323</t>
  </si>
  <si>
    <t>121bayessenias</t>
  </si>
  <si>
    <t>C02199</t>
  </si>
  <si>
    <t>C02310</t>
  </si>
  <si>
    <t>C02420</t>
  </si>
  <si>
    <t>C02533</t>
  </si>
  <si>
    <t>C02647</t>
  </si>
  <si>
    <t>124</t>
  </si>
  <si>
    <t>CABRERA TENECELA MIGUEL ANGEL</t>
  </si>
  <si>
    <t>172.16.5.10</t>
  </si>
  <si>
    <t>0103481610</t>
  </si>
  <si>
    <t>LA UNION ALTA</t>
  </si>
  <si>
    <t>miguelcabrera200@gmail.com</t>
  </si>
  <si>
    <t>(203) 908-8580</t>
  </si>
  <si>
    <t>C02272</t>
  </si>
  <si>
    <t>C02376</t>
  </si>
  <si>
    <t>C02477</t>
  </si>
  <si>
    <t>C02596</t>
  </si>
  <si>
    <t>C02708</t>
  </si>
  <si>
    <t>125</t>
  </si>
  <si>
    <t>PAREJO ANDRADES IRENE JOSEFINA</t>
  </si>
  <si>
    <t>172.16.2.24</t>
  </si>
  <si>
    <t>20062777</t>
  </si>
  <si>
    <t>ireneparejo43@gmail.com</t>
  </si>
  <si>
    <t>0982541266 0968000317</t>
  </si>
  <si>
    <t>125bairenep</t>
  </si>
  <si>
    <t>126</t>
  </si>
  <si>
    <t>DEP SRA MERI  - LIBRE</t>
  </si>
  <si>
    <t>172.16.4.9</t>
  </si>
  <si>
    <t>127</t>
  </si>
  <si>
    <t>SIGCHO TADAY JENNY ALEXANDRA</t>
  </si>
  <si>
    <t>172.16.2.25</t>
  </si>
  <si>
    <t>0107645160</t>
  </si>
  <si>
    <t>alexandrajenny864@gmail.com</t>
  </si>
  <si>
    <t>0993545006</t>
  </si>
  <si>
    <t>127bajennys</t>
  </si>
  <si>
    <t>C02273</t>
  </si>
  <si>
    <t>C02377</t>
  </si>
  <si>
    <t>C02478</t>
  </si>
  <si>
    <t>C02597</t>
  </si>
  <si>
    <t>C02709</t>
  </si>
  <si>
    <t>128</t>
  </si>
  <si>
    <t>VIZHCO PULLA LUIS ALBERTO</t>
  </si>
  <si>
    <t>172.16.2.26</t>
  </si>
  <si>
    <t>0101565471</t>
  </si>
  <si>
    <t>pullaluis68@gmail.com</t>
  </si>
  <si>
    <t>0939338131 0979534448</t>
  </si>
  <si>
    <t>C02378</t>
  </si>
  <si>
    <t>C02479</t>
  </si>
  <si>
    <t>21/03/2026</t>
  </si>
  <si>
    <t>C02598</t>
  </si>
  <si>
    <t>C02710</t>
  </si>
  <si>
    <t>129</t>
  </si>
  <si>
    <t>COELLAR GUAMAN KASANDRA CELINA</t>
  </si>
  <si>
    <t>172.16.5.11</t>
  </si>
  <si>
    <t>0150673135</t>
  </si>
  <si>
    <t>CALLE 6 DE ENERO Y C. EL CASTILLO</t>
  </si>
  <si>
    <t>galaxy5g2020@gmail.com</t>
  </si>
  <si>
    <t>0981229890 0991385416</t>
  </si>
  <si>
    <t>129bakasandrac</t>
  </si>
  <si>
    <t>130</t>
  </si>
  <si>
    <t>ILLESCAS PALTIN JORGE PATRICIO</t>
  </si>
  <si>
    <t>172.16.12.7</t>
  </si>
  <si>
    <t>0107582280</t>
  </si>
  <si>
    <t>CALLE JUAN DE SINIERGUES Y AV. RICARDO DURAN</t>
  </si>
  <si>
    <t>illescaspaltin@gmail.com</t>
  </si>
  <si>
    <t xml:space="preserve">0999583973 0988631849 0939103036 </t>
  </si>
  <si>
    <t>C02200</t>
  </si>
  <si>
    <t>C02311</t>
  </si>
  <si>
    <t>C02421</t>
  </si>
  <si>
    <t>C02534</t>
  </si>
  <si>
    <t>C02648</t>
  </si>
  <si>
    <t>131</t>
  </si>
  <si>
    <t>BALAREZO DURAN MELINA GENOVEVA</t>
  </si>
  <si>
    <t>172.16.1.51</t>
  </si>
  <si>
    <t>0101995140</t>
  </si>
  <si>
    <t>PASEO DE LA GUADALUPANO</t>
  </si>
  <si>
    <t>melina_balarezo10@hotmail.com</t>
  </si>
  <si>
    <t>0991165886 0986781837</t>
  </si>
  <si>
    <t>131bamelinab</t>
  </si>
  <si>
    <t>C02212</t>
  </si>
  <si>
    <t>C02321</t>
  </si>
  <si>
    <t>C02429</t>
  </si>
  <si>
    <t>C02544</t>
  </si>
  <si>
    <t>C02658</t>
  </si>
  <si>
    <t>132</t>
  </si>
  <si>
    <t>MACAS NAMCELA MARIA AVELINA</t>
  </si>
  <si>
    <t>172.16.0.42</t>
  </si>
  <si>
    <t>1102893789</t>
  </si>
  <si>
    <t>VIRGEN DEL QUINCHE SECTOR CHORROS</t>
  </si>
  <si>
    <t>0987066909</t>
  </si>
  <si>
    <t>133</t>
  </si>
  <si>
    <t>172.16.4.17</t>
  </si>
  <si>
    <t>CUATRO ESQUINAS</t>
  </si>
  <si>
    <t>C02274</t>
  </si>
  <si>
    <t>C02379</t>
  </si>
  <si>
    <t>C02480</t>
  </si>
  <si>
    <t>C02599</t>
  </si>
  <si>
    <t>C02711</t>
  </si>
  <si>
    <t>134</t>
  </si>
  <si>
    <t>DUCHI FAJARDO MANUEL ELISEO</t>
  </si>
  <si>
    <t>172.16.1.52</t>
  </si>
  <si>
    <t>0100033398</t>
  </si>
  <si>
    <t xml:space="preserve">CALLE LA CALIZA Y AV. RICARDO DURAN </t>
  </si>
  <si>
    <t xml:space="preserve">manuelduchif@gmail.com </t>
  </si>
  <si>
    <t>0997806058 0968303534</t>
  </si>
  <si>
    <t>134barosad</t>
  </si>
  <si>
    <t>C02275</t>
  </si>
  <si>
    <t>C02296</t>
  </si>
  <si>
    <t>C02481</t>
  </si>
  <si>
    <t>C02600</t>
  </si>
  <si>
    <t>4/8/2026</t>
  </si>
  <si>
    <t>C02712</t>
  </si>
  <si>
    <t>135</t>
  </si>
  <si>
    <t>MOROCHO PINTADO MARIA MERCEDES</t>
  </si>
  <si>
    <t>172.16.0.43</t>
  </si>
  <si>
    <t>0101765303</t>
  </si>
  <si>
    <t>CALLE LAS COMETAS</t>
  </si>
  <si>
    <t>jaitenec@yahoo.com</t>
  </si>
  <si>
    <t>0989580506 2892551</t>
  </si>
  <si>
    <t>C02201</t>
  </si>
  <si>
    <t>136</t>
  </si>
  <si>
    <t>TENEZACA TEPAN JAVIER NICOLAS</t>
  </si>
  <si>
    <t>172.16.0.44</t>
  </si>
  <si>
    <t>0106103690</t>
  </si>
  <si>
    <t>CEMENTERIO MINAS</t>
  </si>
  <si>
    <t>nicolastenezaca@hotmail.com</t>
  </si>
  <si>
    <t>0958937011</t>
  </si>
  <si>
    <t>136bajavierte</t>
  </si>
  <si>
    <t>23/04/2026</t>
  </si>
  <si>
    <t>137</t>
  </si>
  <si>
    <t>SALCEDO SULVARAN JESUS EDUARDO</t>
  </si>
  <si>
    <t>172.16.1.53</t>
  </si>
  <si>
    <t>18620179</t>
  </si>
  <si>
    <t>jesusedusalcedo@gmail.com</t>
  </si>
  <si>
    <t>0987089943</t>
  </si>
  <si>
    <t>137bajesuss</t>
  </si>
  <si>
    <t>138</t>
  </si>
  <si>
    <t>NIVICELA HERAS JOHNNY PATRICIO</t>
  </si>
  <si>
    <t>172.16.5.13</t>
  </si>
  <si>
    <t>0107480709</t>
  </si>
  <si>
    <t>CALLE S/N CERCA DE ESCUELA ENRIQUETA CORDERO DAVILA</t>
  </si>
  <si>
    <t>johnnynivicela10@gmail.com</t>
  </si>
  <si>
    <t>0969786791 0995040882</t>
  </si>
  <si>
    <t>138bajonhnnyn</t>
  </si>
  <si>
    <t>139</t>
  </si>
  <si>
    <t>CHICAIZA CHABLA MARTHA ALEXANDRA</t>
  </si>
  <si>
    <t>172.16.1.54</t>
  </si>
  <si>
    <t>0303015978</t>
  </si>
  <si>
    <t>CALLE CALIZA Y AV. RICARDO DURAN</t>
  </si>
  <si>
    <t>chablaale591@gmail.com</t>
  </si>
  <si>
    <t>0995959675 0979939310</t>
  </si>
  <si>
    <t>139bamarthac</t>
  </si>
  <si>
    <t>140</t>
  </si>
  <si>
    <t>PINTADO PESANTEZ LEONIDAS RODOLFO</t>
  </si>
  <si>
    <t>172.16.5.14</t>
  </si>
  <si>
    <t>0103952792</t>
  </si>
  <si>
    <t>rodolfopintado@outlook.com</t>
  </si>
  <si>
    <t>0995000237</t>
  </si>
  <si>
    <t>140barodolfop</t>
  </si>
  <si>
    <t>C02276</t>
  </si>
  <si>
    <t>C02380</t>
  </si>
  <si>
    <t>C02482</t>
  </si>
  <si>
    <t>3/3/2026</t>
  </si>
  <si>
    <t>C02601</t>
  </si>
  <si>
    <t>2/4/2026</t>
  </si>
  <si>
    <t>C02713</t>
  </si>
  <si>
    <t>141</t>
  </si>
  <si>
    <t xml:space="preserve">DUCHI ARMIJOS JAVIER MARCELO </t>
  </si>
  <si>
    <t>172.16.5.15</t>
  </si>
  <si>
    <t>0105878060</t>
  </si>
  <si>
    <t>alizabeth.lili110926@gmail.com</t>
  </si>
  <si>
    <t>0984117281 0994320697</t>
  </si>
  <si>
    <t>141javierd</t>
  </si>
  <si>
    <t>C02277</t>
  </si>
  <si>
    <t>C02381</t>
  </si>
  <si>
    <t>C02483</t>
  </si>
  <si>
    <t>C02602</t>
  </si>
  <si>
    <t>C02714</t>
  </si>
  <si>
    <t>142</t>
  </si>
  <si>
    <t>YUPANGUI PALTIN CHRISTIAN ISRAEL</t>
  </si>
  <si>
    <t>172.16.1.77</t>
  </si>
  <si>
    <t>0106589450</t>
  </si>
  <si>
    <t>christianyupangui6@gmail.com</t>
  </si>
  <si>
    <t>0995580593</t>
  </si>
  <si>
    <t>C02213</t>
  </si>
  <si>
    <t>C02509</t>
  </si>
  <si>
    <t>C02545</t>
  </si>
  <si>
    <t>C02659</t>
  </si>
  <si>
    <t>143</t>
  </si>
  <si>
    <t>PALTIN SIGUA MARIA DOLORES</t>
  </si>
  <si>
    <t>172.16.7.18</t>
  </si>
  <si>
    <t>0102503869</t>
  </si>
  <si>
    <t>byronsigua84@gmail.com</t>
  </si>
  <si>
    <t>0979731104 0983340613</t>
  </si>
  <si>
    <t>144bamariap</t>
  </si>
  <si>
    <t>144</t>
  </si>
  <si>
    <t>OYERVIDE BRITO IVAN PATRICIO</t>
  </si>
  <si>
    <t>172.16.5.16</t>
  </si>
  <si>
    <t>0102838323</t>
  </si>
  <si>
    <t>ivanob50@hotmail.com</t>
  </si>
  <si>
    <t>0982693376</t>
  </si>
  <si>
    <t>hostalbaños</t>
  </si>
  <si>
    <t>C02501</t>
  </si>
  <si>
    <t>145</t>
  </si>
  <si>
    <t>DUCHI CARMONA SEGUNDO JUAN BAUTISTA</t>
  </si>
  <si>
    <t>0100361641</t>
  </si>
  <si>
    <t>AV. RICARDO Y LA PASADA</t>
  </si>
  <si>
    <t>0991780806</t>
  </si>
  <si>
    <t>145bajuand</t>
  </si>
  <si>
    <t>146</t>
  </si>
  <si>
    <t>MOCHA ZHINGRI EFRAIN MAURICIO</t>
  </si>
  <si>
    <t>172.16.1.56</t>
  </si>
  <si>
    <t>0106782246</t>
  </si>
  <si>
    <t>VIA MINAS</t>
  </si>
  <si>
    <t>mmocha74@gmail.com</t>
  </si>
  <si>
    <t>0967602850</t>
  </si>
  <si>
    <t>C02214</t>
  </si>
  <si>
    <t>C02322</t>
  </si>
  <si>
    <t>C02430</t>
  </si>
  <si>
    <t>19/03/2026</t>
  </si>
  <si>
    <t>C02546</t>
  </si>
  <si>
    <t>C02660</t>
  </si>
  <si>
    <t>147</t>
  </si>
  <si>
    <t>MOROCHO PINTADO SORAYA DANIELA</t>
  </si>
  <si>
    <t>172.16.1.57</t>
  </si>
  <si>
    <t>0150590370</t>
  </si>
  <si>
    <t>victorvizhco2024@icloud.com</t>
  </si>
  <si>
    <t>0997318173 0968132519 0980486832</t>
  </si>
  <si>
    <t>147basorayam</t>
  </si>
  <si>
    <t>C02278</t>
  </si>
  <si>
    <t>C02382</t>
  </si>
  <si>
    <t>C02484</t>
  </si>
  <si>
    <t>C02603</t>
  </si>
  <si>
    <t>C02715</t>
  </si>
  <si>
    <t>148</t>
  </si>
  <si>
    <t>LEMA TENEMAZA ROSA EVIRA</t>
  </si>
  <si>
    <t>172.16.4.13</t>
  </si>
  <si>
    <t>0302031646</t>
  </si>
  <si>
    <t>rosa_lema@hotmail.com</t>
  </si>
  <si>
    <t>0995169841</t>
  </si>
  <si>
    <t>149</t>
  </si>
  <si>
    <t>SOLANO HERRERA BRYAN ANDRES</t>
  </si>
  <si>
    <t>172.16.5.17</t>
  </si>
  <si>
    <t>0105905251</t>
  </si>
  <si>
    <t>CALLE LA PASADA Y AV. RICARDO DURAN</t>
  </si>
  <si>
    <t>0998604960 0998755135</t>
  </si>
  <si>
    <t>30/3/2026</t>
  </si>
  <si>
    <t>150</t>
  </si>
  <si>
    <t>GUERRERO RODRIGUEZ MAYRA FABIOLA</t>
  </si>
  <si>
    <t>172.16.5.18</t>
  </si>
  <si>
    <t>0106681646</t>
  </si>
  <si>
    <t>CALLE EL CASTILLO Y CALLE LA ESTANCIA</t>
  </si>
  <si>
    <t>fabiolaguerrero2003@gmail.com</t>
  </si>
  <si>
    <t>0961789506</t>
  </si>
  <si>
    <t>C02202</t>
  </si>
  <si>
    <t>C02312</t>
  </si>
  <si>
    <t>151</t>
  </si>
  <si>
    <t>OCHOA MEDINA DARWIN SEBASTIAN</t>
  </si>
  <si>
    <t>172.16.5.19</t>
  </si>
  <si>
    <t>0106008113</t>
  </si>
  <si>
    <t>ochoasebastian225@gmail.com</t>
  </si>
  <si>
    <t>0939538688 0982986288 0961789506</t>
  </si>
  <si>
    <t>C02203</t>
  </si>
  <si>
    <t>C02313</t>
  </si>
  <si>
    <t>C02422</t>
  </si>
  <si>
    <t>C02535</t>
  </si>
  <si>
    <t>C02649</t>
  </si>
  <si>
    <t>152</t>
  </si>
  <si>
    <t>VELE PANAMA CELIA RAIMUNDA</t>
  </si>
  <si>
    <t>172.16.11.7</t>
  </si>
  <si>
    <t>0102436540</t>
  </si>
  <si>
    <t>JUEGO DE PUCARA RIO RINOCA</t>
  </si>
  <si>
    <t>jennypiba@hotmail.com</t>
  </si>
  <si>
    <r>
      <rPr>
        <b/>
        <sz val="10"/>
        <color theme="1"/>
        <rFont val="Arial"/>
        <charset val="134"/>
      </rPr>
      <t>0962040777</t>
    </r>
    <r>
      <rPr>
        <sz val="10"/>
        <color theme="1"/>
        <rFont val="Arial"/>
        <charset val="134"/>
      </rPr>
      <t xml:space="preserve"> 0995212971</t>
    </r>
  </si>
  <si>
    <t>152baceliav</t>
  </si>
  <si>
    <t>C02215</t>
  </si>
  <si>
    <t>C02510</t>
  </si>
  <si>
    <t>C02547</t>
  </si>
  <si>
    <t>C02661</t>
  </si>
  <si>
    <t>153</t>
  </si>
  <si>
    <t>MENDEZ BRITO AURELIO MIGUEL</t>
  </si>
  <si>
    <t>172.16.1.59</t>
  </si>
  <si>
    <t>0101012557</t>
  </si>
  <si>
    <t xml:space="preserve">CALLE EL CALVARIO </t>
  </si>
  <si>
    <t>britomigue0101@gmail.com</t>
  </si>
  <si>
    <t>0989453089 0990617875</t>
  </si>
  <si>
    <t>153bamiguelm</t>
  </si>
  <si>
    <t>154</t>
  </si>
  <si>
    <t>MORENO LEON OSCAR ENRIQUE</t>
  </si>
  <si>
    <t>172.16.4.5</t>
  </si>
  <si>
    <t>1553892636</t>
  </si>
  <si>
    <t>AV. RICARDO DURA Y ALFONSO CARRION</t>
  </si>
  <si>
    <t>0979755413</t>
  </si>
  <si>
    <t>154baoscarm</t>
  </si>
  <si>
    <t>155</t>
  </si>
  <si>
    <t>CASTILLO JARAMA MARGARITA SUSANA</t>
  </si>
  <si>
    <t>172.16.6.2</t>
  </si>
  <si>
    <t>0150675668</t>
  </si>
  <si>
    <t>margaritacastillo2502@gmail.com</t>
  </si>
  <si>
    <t>0963855267 0993069518</t>
  </si>
  <si>
    <t>156</t>
  </si>
  <si>
    <t>ALBARRAZIN LOJA JONNATHAN XAVIER</t>
  </si>
  <si>
    <t>172.16.1.69</t>
  </si>
  <si>
    <t>0107174377</t>
  </si>
  <si>
    <t>ENSAYANA</t>
  </si>
  <si>
    <t>jonnathan-xavier@outlook.es</t>
  </si>
  <si>
    <t>0983712408</t>
  </si>
  <si>
    <t>156bajonnathana</t>
  </si>
  <si>
    <t>C02279 C02280</t>
  </si>
  <si>
    <t>C02383</t>
  </si>
  <si>
    <t>C02485</t>
  </si>
  <si>
    <t>C02604</t>
  </si>
  <si>
    <t>C02716</t>
  </si>
  <si>
    <t>157</t>
  </si>
  <si>
    <t xml:space="preserve">ZHININ ALVARRACIN MARIANA AMPARITO </t>
  </si>
  <si>
    <t>172.16.6.3</t>
  </si>
  <si>
    <t>0150555712</t>
  </si>
  <si>
    <t>COCHAPAMBA ZHIPATA</t>
  </si>
  <si>
    <t>amparitozhinin@gmail.com</t>
  </si>
  <si>
    <t>0984545557</t>
  </si>
  <si>
    <t>157bamarianaz</t>
  </si>
  <si>
    <t>C02216</t>
  </si>
  <si>
    <t>C02323</t>
  </si>
  <si>
    <t>C02431</t>
  </si>
  <si>
    <t>C02548</t>
  </si>
  <si>
    <t>C02662</t>
  </si>
  <si>
    <t>158</t>
  </si>
  <si>
    <t>LARA QUEVEDO DANIEL ISRAEL</t>
  </si>
  <si>
    <t>172.16.5.20</t>
  </si>
  <si>
    <t>0105996672</t>
  </si>
  <si>
    <t xml:space="preserve">AV. RICARDO DURAN </t>
  </si>
  <si>
    <t>dr.daniel.lara.ec@gmail.com</t>
  </si>
  <si>
    <t>0999939527</t>
  </si>
  <si>
    <t>C02217</t>
  </si>
  <si>
    <t>C02324</t>
  </si>
  <si>
    <t>C02432</t>
  </si>
  <si>
    <t>C02549</t>
  </si>
  <si>
    <t>C02663</t>
  </si>
  <si>
    <t>159</t>
  </si>
  <si>
    <t>AVILE CHACON BARBARA DAIKELIS</t>
  </si>
  <si>
    <t>172.16.4.6</t>
  </si>
  <si>
    <t>28694136</t>
  </si>
  <si>
    <t>darkelisavile@gmail.com</t>
  </si>
  <si>
    <t>0983531613 0987863527</t>
  </si>
  <si>
    <t>159babarbaraa</t>
  </si>
  <si>
    <t>160</t>
  </si>
  <si>
    <t>GUERRERO COBOS HENRY RICARDO</t>
  </si>
  <si>
    <t>172.16.2.27</t>
  </si>
  <si>
    <t>0103907028</t>
  </si>
  <si>
    <t>HERVIDEROS, INCAUCHADOS</t>
  </si>
  <si>
    <t>henryricardoguerrerocobos@hotmail.com</t>
  </si>
  <si>
    <t>0987523259 0988863939</t>
  </si>
  <si>
    <t>160bahenryg</t>
  </si>
  <si>
    <t>C02218</t>
  </si>
  <si>
    <t>161</t>
  </si>
  <si>
    <t>CABRERA LOPEZ RUBEN ANTONIO</t>
  </si>
  <si>
    <t>172.16.2.28</t>
  </si>
  <si>
    <t>79.702.770</t>
  </si>
  <si>
    <t>3048rubenacabreral@gmail.com</t>
  </si>
  <si>
    <t>0963968938 0964120580</t>
  </si>
  <si>
    <t>162barubenc</t>
  </si>
  <si>
    <t>162</t>
  </si>
  <si>
    <t>JACHERO CISNEROS JUAN ALBERTO</t>
  </si>
  <si>
    <t>0103762639</t>
  </si>
  <si>
    <t>ANTONIO ULLOA Y RIO MANZANERES</t>
  </si>
  <si>
    <t>juan_jachero@hotmail.com</t>
  </si>
  <si>
    <t>0983924075</t>
  </si>
  <si>
    <t>163</t>
  </si>
  <si>
    <t>SOLORZANO BARREIRO RAMONA ARACELY</t>
  </si>
  <si>
    <t>172.16.1.70</t>
  </si>
  <si>
    <t>01312400292</t>
  </si>
  <si>
    <t>CALLE ALFONSO CARRIO Y AV. RICARDO DURAN</t>
  </si>
  <si>
    <t>castropicok@gmail.com</t>
  </si>
  <si>
    <t>0992284147 0978676916</t>
  </si>
  <si>
    <t>163baramonas</t>
  </si>
  <si>
    <t>164</t>
  </si>
  <si>
    <t>SANMARTIN NAULA MAYRA LORENA</t>
  </si>
  <si>
    <t>172.16.4.19</t>
  </si>
  <si>
    <t>0150514586</t>
  </si>
  <si>
    <t>aracelisn882@gmail.com</t>
  </si>
  <si>
    <t>0987895772 0987882551</t>
  </si>
  <si>
    <t>090_5bamayras</t>
  </si>
  <si>
    <t>C02219</t>
  </si>
  <si>
    <t>165</t>
  </si>
  <si>
    <t>YUPANGUI VIZHCO JUAN PABLO</t>
  </si>
  <si>
    <t>172.16.8.3</t>
  </si>
  <si>
    <t>0150394617</t>
  </si>
  <si>
    <t>ALFONSO CARRION HEREDIA IGLESIA COCHAPAMBA</t>
  </si>
  <si>
    <t>juan.pablo000@outlook.com</t>
  </si>
  <si>
    <t>0993032112 0999716743</t>
  </si>
  <si>
    <r>
      <rPr>
        <u/>
        <sz val="10"/>
        <color rgb="FF00FF00"/>
        <rFont val="Arial"/>
        <charset val="134"/>
      </rPr>
      <t>165bapabloy</t>
    </r>
  </si>
  <si>
    <t>C02511</t>
  </si>
  <si>
    <t>C02627</t>
  </si>
  <si>
    <t>166</t>
  </si>
  <si>
    <t>PAUTA DURAN JESSICA KARINA</t>
  </si>
  <si>
    <t>172.16.1.72</t>
  </si>
  <si>
    <t>0105326847</t>
  </si>
  <si>
    <t>3 CRUCES CALLE EL CALVARIO</t>
  </si>
  <si>
    <t>jessicduran@gmail.com</t>
  </si>
  <si>
    <t>0986944387 0994516920</t>
  </si>
  <si>
    <r>
      <rPr>
        <u/>
        <sz val="10"/>
        <color rgb="FFFF0000"/>
        <rFont val="Arial"/>
        <charset val="134"/>
      </rPr>
      <t>166bajessicap</t>
    </r>
  </si>
  <si>
    <t>C02204</t>
  </si>
  <si>
    <t>C02314</t>
  </si>
  <si>
    <t>C02423</t>
  </si>
  <si>
    <t>C02536</t>
  </si>
  <si>
    <t>C02650</t>
  </si>
  <si>
    <t>167</t>
  </si>
  <si>
    <t>PAUTA DURAN JESSICA KARINA (CASA)</t>
  </si>
  <si>
    <t>172.16.1.73</t>
  </si>
  <si>
    <t>C02281</t>
  </si>
  <si>
    <t>C02384</t>
  </si>
  <si>
    <t>C02486</t>
  </si>
  <si>
    <t>C02605</t>
  </si>
  <si>
    <t>C02717</t>
  </si>
  <si>
    <t>168</t>
  </si>
  <si>
    <t>CHABLA MONJE NINFA LUCIA</t>
  </si>
  <si>
    <t>172.16.6.4</t>
  </si>
  <si>
    <t>0150581189</t>
  </si>
  <si>
    <t>SECTOR PACCHA</t>
  </si>
  <si>
    <t>0981449400</t>
  </si>
  <si>
    <t>169</t>
  </si>
  <si>
    <t>ORDOÑEZ ABAD LUIS ENRIQUE</t>
  </si>
  <si>
    <t>172.16.1.74</t>
  </si>
  <si>
    <t>0104857354</t>
  </si>
  <si>
    <t>SECTOR GUADALUPANO ALTO</t>
  </si>
  <si>
    <t>luisao822@hotmail.com</t>
  </si>
  <si>
    <t>0983789822 0995911046</t>
  </si>
  <si>
    <t>C02220</t>
  </si>
  <si>
    <t>C02325</t>
  </si>
  <si>
    <t>C02433</t>
  </si>
  <si>
    <t>C02550</t>
  </si>
  <si>
    <t>C02664</t>
  </si>
  <si>
    <t>170</t>
  </si>
  <si>
    <t>AGUILAR VILLACRES DIANA ALEXANDRA</t>
  </si>
  <si>
    <t>172.16.2.29</t>
  </si>
  <si>
    <t>1104806839</t>
  </si>
  <si>
    <t>dinka.a.av@gmail.com</t>
  </si>
  <si>
    <t>0990696254 0969256533</t>
  </si>
  <si>
    <t>170badianaa</t>
  </si>
  <si>
    <t>171</t>
  </si>
  <si>
    <t>AYORA BRITO JORDY ADRIAN</t>
  </si>
  <si>
    <t>172.16.7.2</t>
  </si>
  <si>
    <t>0107033474</t>
  </si>
  <si>
    <t>adrianbrito182003@gmail.com</t>
  </si>
  <si>
    <t>0978956217</t>
  </si>
  <si>
    <t>172</t>
  </si>
  <si>
    <t>NAULA QUINDE ANA LUCIA</t>
  </si>
  <si>
    <t>172.16.1.75</t>
  </si>
  <si>
    <t>0104351788</t>
  </si>
  <si>
    <t>ALFONSO CARRIO Y CALLE DE GUADALUPANO</t>
  </si>
  <si>
    <t>naulaana287@gmail.com</t>
  </si>
  <si>
    <t>0959178384</t>
  </si>
  <si>
    <t>C02282</t>
  </si>
  <si>
    <t>C02385</t>
  </si>
  <si>
    <t>C02487</t>
  </si>
  <si>
    <t>C02606</t>
  </si>
  <si>
    <t>C02718</t>
  </si>
  <si>
    <t>173</t>
  </si>
  <si>
    <t>CLAVIJO PALTIN MAYRA ISABEL</t>
  </si>
  <si>
    <t>172.16.7.3</t>
  </si>
  <si>
    <t>0104935382</t>
  </si>
  <si>
    <t>CEMENTERIO BAÑOS</t>
  </si>
  <si>
    <t>issa_cp@hotmail.com</t>
  </si>
  <si>
    <t>0983790205 0995344139</t>
  </si>
  <si>
    <t>173bamayrac</t>
  </si>
  <si>
    <t>C02221</t>
  </si>
  <si>
    <t>C02326</t>
  </si>
  <si>
    <t>C02434</t>
  </si>
  <si>
    <t>2/3/2026</t>
  </si>
  <si>
    <t>C02551</t>
  </si>
  <si>
    <t>C02665</t>
  </si>
  <si>
    <t>174</t>
  </si>
  <si>
    <t>ANDRADE VERA MARIA DEL CISNE</t>
  </si>
  <si>
    <t>172.16.4.28</t>
  </si>
  <si>
    <t>1105351421</t>
  </si>
  <si>
    <t>SECTOR LA PACHANGA</t>
  </si>
  <si>
    <t>ma3512722@gmail.com</t>
  </si>
  <si>
    <t>0984624829 0979354921</t>
  </si>
  <si>
    <t>175</t>
  </si>
  <si>
    <t>DURAN DURAN MARGARITA CLEMENTINA</t>
  </si>
  <si>
    <t>172.16.4.7</t>
  </si>
  <si>
    <t>0104272109</t>
  </si>
  <si>
    <t>patinodome5@gmail.com</t>
  </si>
  <si>
    <t>0968610951 0968248035</t>
  </si>
  <si>
    <r>
      <rPr>
        <u/>
        <sz val="10"/>
        <color rgb="FF00FF00"/>
        <rFont val="Arial"/>
        <charset val="134"/>
      </rPr>
      <t>175bamargaritad</t>
    </r>
  </si>
  <si>
    <t>C02327</t>
  </si>
  <si>
    <t>176</t>
  </si>
  <si>
    <t>JURIDICO</t>
  </si>
  <si>
    <t>177</t>
  </si>
  <si>
    <t>CEDILLO RODRIGUEZ CARLOS FREDDY</t>
  </si>
  <si>
    <t>172.16.5.23</t>
  </si>
  <si>
    <t>0106672033</t>
  </si>
  <si>
    <t>CALLE ESTANCIA Y CALE 12 DE DICIEMBRE</t>
  </si>
  <si>
    <t>freddycedillo45@gmail.com</t>
  </si>
  <si>
    <t>0993993354 0960447591</t>
  </si>
  <si>
    <t>177bacarlosc</t>
  </si>
  <si>
    <t>178</t>
  </si>
  <si>
    <t>CASTILLO OTORONGO VERONICA GUADALUPE</t>
  </si>
  <si>
    <t>172.16.5.24</t>
  </si>
  <si>
    <t>0107624074</t>
  </si>
  <si>
    <t>Av Ricardo Duran y las Peñas</t>
  </si>
  <si>
    <t>veronicacastillootorongo@gmail.com</t>
  </si>
  <si>
    <t>0994945345 0981796904</t>
  </si>
  <si>
    <t>178baveronicac</t>
  </si>
  <si>
    <t>C02283</t>
  </si>
  <si>
    <t>C02386</t>
  </si>
  <si>
    <t>C02488</t>
  </si>
  <si>
    <t>23/3/2026</t>
  </si>
  <si>
    <t>C02607</t>
  </si>
  <si>
    <t>C02719</t>
  </si>
  <si>
    <t>179</t>
  </si>
  <si>
    <t>SILVA GUEVARA GUIDO HERNAN</t>
  </si>
  <si>
    <t>172.16.1.79</t>
  </si>
  <si>
    <t>0603065087</t>
  </si>
  <si>
    <t>VIA COCHAPAMBA CERCA DE LA IGLESIA</t>
  </si>
  <si>
    <t>0939821024 0986437734</t>
  </si>
  <si>
    <t>180</t>
  </si>
  <si>
    <t>GUAMAN PALTIN OLGA YOLANDA</t>
  </si>
  <si>
    <t>172.16.7.5</t>
  </si>
  <si>
    <t>0104046438</t>
  </si>
  <si>
    <t>SUBIDA AL CALVARIO FRENTE A LAS AGUAS POTABLES</t>
  </si>
  <si>
    <t>yolandaguman107@gmail.com</t>
  </si>
  <si>
    <t>0959583939</t>
  </si>
  <si>
    <t>C02205</t>
  </si>
  <si>
    <t>C02315</t>
  </si>
  <si>
    <t>C02424</t>
  </si>
  <si>
    <t>17/3/2026</t>
  </si>
  <si>
    <t>C02537</t>
  </si>
  <si>
    <t>C02651</t>
  </si>
  <si>
    <t>181</t>
  </si>
  <si>
    <t>LOJA NAULA JOHNNY ALEXANDER</t>
  </si>
  <si>
    <t>172.16.6.7</t>
  </si>
  <si>
    <t>0107375131</t>
  </si>
  <si>
    <t>SUBIDA A PACCHA</t>
  </si>
  <si>
    <t>luinaula23@gmail.com</t>
  </si>
  <si>
    <t>0986508086 0979600415</t>
  </si>
  <si>
    <r>
      <rPr>
        <u/>
        <sz val="10"/>
        <color rgb="FFFF0000"/>
        <rFont val="Arial"/>
        <charset val="134"/>
      </rPr>
      <t>181bajohnnyl</t>
    </r>
  </si>
  <si>
    <t>182</t>
  </si>
  <si>
    <t>MOCHA ZHINGRI CHRISTIAN RONALDO</t>
  </si>
  <si>
    <t>AV RICARDO DURAN 4 ESQUINAS</t>
  </si>
  <si>
    <t>letmy.4@hotmail.com</t>
  </si>
  <si>
    <t>0990302664 0967602850</t>
  </si>
  <si>
    <t>182bachristianm</t>
  </si>
  <si>
    <t>C02222</t>
  </si>
  <si>
    <t>15/1/2026</t>
  </si>
  <si>
    <t>C02328</t>
  </si>
  <si>
    <t>C02435</t>
  </si>
  <si>
    <t>C02552</t>
  </si>
  <si>
    <t>C02666</t>
  </si>
  <si>
    <t>183</t>
  </si>
  <si>
    <t>GUAMANRRIGRA MOCHA CARMEN HORTENCIA</t>
  </si>
  <si>
    <t>172.16.4.10</t>
  </si>
  <si>
    <t>0103882916</t>
  </si>
  <si>
    <t>AV RICARDO DURA Y ALFONSO CARRION</t>
  </si>
  <si>
    <t>carmenguamrrigra@gmail.com</t>
  </si>
  <si>
    <t>0995597522</t>
  </si>
  <si>
    <t>C02206</t>
  </si>
  <si>
    <t>C02316</t>
  </si>
  <si>
    <t>C02425</t>
  </si>
  <si>
    <t>C02538</t>
  </si>
  <si>
    <t>17/4/2026</t>
  </si>
  <si>
    <t>C02652</t>
  </si>
  <si>
    <t>184</t>
  </si>
  <si>
    <t>NAREA JADAN JOSE MIGUEL</t>
  </si>
  <si>
    <t>172.16.8.4</t>
  </si>
  <si>
    <t>0101426559</t>
  </si>
  <si>
    <t>jnarea297@gmail.com</t>
  </si>
  <si>
    <t>0988884161</t>
  </si>
  <si>
    <t>184bajosen</t>
  </si>
  <si>
    <t>185</t>
  </si>
  <si>
    <t>MACAS NAMCELA ROSA MARIANA</t>
  </si>
  <si>
    <t>172.16.0.47</t>
  </si>
  <si>
    <t>1105947905</t>
  </si>
  <si>
    <t>SECTOR EL CHORRO</t>
  </si>
  <si>
    <t>macas9286@gmail.com</t>
  </si>
  <si>
    <t>0993909352 0993438419</t>
  </si>
  <si>
    <t>C02223</t>
  </si>
  <si>
    <t>C02329</t>
  </si>
  <si>
    <t>186</t>
  </si>
  <si>
    <t>172.16.8.2</t>
  </si>
  <si>
    <r>
      <rPr>
        <b/>
        <sz val="10"/>
        <color theme="1"/>
        <rFont val="Arial"/>
        <charset val="134"/>
      </rPr>
      <t>0968132519</t>
    </r>
    <r>
      <rPr>
        <sz val="10"/>
        <color theme="1"/>
        <rFont val="Arial"/>
        <charset val="134"/>
      </rPr>
      <t xml:space="preserve"> 0997318173 0968132519</t>
    </r>
  </si>
  <si>
    <t>C02387</t>
  </si>
  <si>
    <t>C02489</t>
  </si>
  <si>
    <t>187</t>
  </si>
  <si>
    <t>MOCHA GUAMAN ELSA BEATRIZ</t>
  </si>
  <si>
    <t>172.16.5.26</t>
  </si>
  <si>
    <t>0107251803</t>
  </si>
  <si>
    <t>CALLE ALFONSO CARRION Y LOS HERVIDEROS</t>
  </si>
  <si>
    <t>elsy.bety2649@hotmail.com</t>
  </si>
  <si>
    <t>0989581226</t>
  </si>
  <si>
    <t>C02224</t>
  </si>
  <si>
    <t>C02330</t>
  </si>
  <si>
    <t>C02436</t>
  </si>
  <si>
    <t>C02553</t>
  </si>
  <si>
    <t>C02667</t>
  </si>
  <si>
    <t>188</t>
  </si>
  <si>
    <t>HERRERA HERRERA MANUEL REMIGIO</t>
  </si>
  <si>
    <t>172.16.4.11</t>
  </si>
  <si>
    <t>0152025359</t>
  </si>
  <si>
    <t xml:space="preserve">CALLE ALFONSO CARRIÓN Y AV RICARDO DURAN </t>
  </si>
  <si>
    <t>0985294785</t>
  </si>
  <si>
    <t xml:space="preserve">GRATIS </t>
  </si>
  <si>
    <t>189</t>
  </si>
  <si>
    <t xml:space="preserve">GORDILLO BERMEO MARIA DEL ROCIO </t>
  </si>
  <si>
    <t>0105504302</t>
  </si>
  <si>
    <t>SECTOR SAN JACINTO PRIMERO DE SEPTIEMBRE</t>
  </si>
  <si>
    <t>erikaaaaa.1609@gmail.com</t>
  </si>
  <si>
    <t>0968158279</t>
  </si>
  <si>
    <t>189barociog</t>
  </si>
  <si>
    <t>C02284</t>
  </si>
  <si>
    <t>C02388</t>
  </si>
  <si>
    <t>C02490</t>
  </si>
  <si>
    <t>C02608</t>
  </si>
  <si>
    <t>C02720</t>
  </si>
  <si>
    <t>190</t>
  </si>
  <si>
    <t>172.16.12.3</t>
  </si>
  <si>
    <t>SECTOR BORJA</t>
  </si>
  <si>
    <t>C02285</t>
  </si>
  <si>
    <t>C02389</t>
  </si>
  <si>
    <t>C02491</t>
  </si>
  <si>
    <t>C02609</t>
  </si>
  <si>
    <t>C02721</t>
  </si>
  <si>
    <t>191</t>
  </si>
  <si>
    <t>PINDO PINEDA CINTHYA DEYANIRA</t>
  </si>
  <si>
    <t>172.16.5.28</t>
  </si>
  <si>
    <t>0705944049</t>
  </si>
  <si>
    <t>BARRIO REINA DEL CISNE</t>
  </si>
  <si>
    <t>deyanirapindo@gmail.com</t>
  </si>
  <si>
    <t>0967525876 0989250456</t>
  </si>
  <si>
    <t>191bapindoc</t>
  </si>
  <si>
    <t>C02225</t>
  </si>
  <si>
    <t>C02331</t>
  </si>
  <si>
    <t>C02437</t>
  </si>
  <si>
    <t>C02554</t>
  </si>
  <si>
    <t>C02668</t>
  </si>
  <si>
    <t>192</t>
  </si>
  <si>
    <t>MOROCHO MOROCHO RICHARD FABRICIO</t>
  </si>
  <si>
    <t>172.16.0.49</t>
  </si>
  <si>
    <t>0105442321</t>
  </si>
  <si>
    <t>EL CHORRO</t>
  </si>
  <si>
    <t>fabrimoro.1995@gmail.com</t>
  </si>
  <si>
    <t>0981192172 0983463575 0998234591</t>
  </si>
  <si>
    <t>C02226</t>
  </si>
  <si>
    <t>C02512</t>
  </si>
  <si>
    <t>4/3/3036</t>
  </si>
  <si>
    <t>C02555</t>
  </si>
  <si>
    <t>C02669</t>
  </si>
  <si>
    <t>193</t>
  </si>
  <si>
    <t>172.16.12.6</t>
  </si>
  <si>
    <t>PENDIENTE</t>
  </si>
  <si>
    <t>CALLE LAS ESCONDIDAS Y TRES EN RAYA</t>
  </si>
  <si>
    <t>194</t>
  </si>
  <si>
    <t>SEAVICHAY BRITO MARITZA PRISCILLA</t>
  </si>
  <si>
    <t>172.16.2.30</t>
  </si>
  <si>
    <t>0302890249</t>
  </si>
  <si>
    <t>bmaritza268@gmail.com</t>
  </si>
  <si>
    <t>0958807130</t>
  </si>
  <si>
    <t>C02227</t>
  </si>
  <si>
    <t>C02332</t>
  </si>
  <si>
    <t>C02438</t>
  </si>
  <si>
    <t>C02556</t>
  </si>
  <si>
    <t>13/4/2926</t>
  </si>
  <si>
    <t>C02670</t>
  </si>
  <si>
    <t>195</t>
  </si>
  <si>
    <t>MOGROVEJO TOAPANTE VERONICA ELIZABETH</t>
  </si>
  <si>
    <t>172.16.2.31</t>
  </si>
  <si>
    <t>0151242294</t>
  </si>
  <si>
    <t>0991850826</t>
  </si>
  <si>
    <t>196</t>
  </si>
  <si>
    <t>VIZHCO ALBARRACIN PIEDAD MAGDALENA</t>
  </si>
  <si>
    <t>172.16.7.7</t>
  </si>
  <si>
    <t>0104408299</t>
  </si>
  <si>
    <t xml:space="preserve">SECTOR MINAS </t>
  </si>
  <si>
    <t>piedadvizhco@gmail.com</t>
  </si>
  <si>
    <t>0994595792</t>
  </si>
  <si>
    <t>C02228</t>
  </si>
  <si>
    <t>C02333</t>
  </si>
  <si>
    <t>C02439</t>
  </si>
  <si>
    <t>C02557</t>
  </si>
  <si>
    <t>4/7/2026</t>
  </si>
  <si>
    <t>C02671</t>
  </si>
  <si>
    <t>197</t>
  </si>
  <si>
    <t>172.16.1.78</t>
  </si>
  <si>
    <t>silvestresolitario3@gmail.com</t>
  </si>
  <si>
    <t>197baedwina</t>
  </si>
  <si>
    <t>198</t>
  </si>
  <si>
    <t>URGILES LARGO GERMAN ALBINO</t>
  </si>
  <si>
    <t>172.16.5.29</t>
  </si>
  <si>
    <t>0102567658</t>
  </si>
  <si>
    <t>CALLE 12 DE DICIEMBRE</t>
  </si>
  <si>
    <t>gaul1963@gmail.com</t>
  </si>
  <si>
    <t>0989501222</t>
  </si>
  <si>
    <t>198bagermanu</t>
  </si>
  <si>
    <t>C02229</t>
  </si>
  <si>
    <t>C02334</t>
  </si>
  <si>
    <t>C02440</t>
  </si>
  <si>
    <t>14/03/2026</t>
  </si>
  <si>
    <t>C02558 C02559</t>
  </si>
  <si>
    <t>C02672</t>
  </si>
  <si>
    <t>199</t>
  </si>
  <si>
    <t>PINTADO PASACA JORGE PATRICIO</t>
  </si>
  <si>
    <t>172.16.4.15</t>
  </si>
  <si>
    <t>0104377924</t>
  </si>
  <si>
    <t>CALLE 1 DE SEPTIEMBLE Y S/N</t>
  </si>
  <si>
    <t>patricio_pintaddo@outlook.com</t>
  </si>
  <si>
    <t>0982517041</t>
  </si>
  <si>
    <t>199bajorgep</t>
  </si>
  <si>
    <t>C02286</t>
  </si>
  <si>
    <t>C02390</t>
  </si>
  <si>
    <t>C02492</t>
  </si>
  <si>
    <t>C02610</t>
  </si>
  <si>
    <t>C02722</t>
  </si>
  <si>
    <t>200</t>
  </si>
  <si>
    <t>IZAZA ROMERO ROBY ALIDA</t>
  </si>
  <si>
    <t>172.16.4.16</t>
  </si>
  <si>
    <t>1724459399</t>
  </si>
  <si>
    <t>HUIZHIL</t>
  </si>
  <si>
    <t>izazaalida@gmail.com</t>
  </si>
  <si>
    <t>0993229236</t>
  </si>
  <si>
    <t>200barobyi</t>
  </si>
  <si>
    <t>C02287</t>
  </si>
  <si>
    <t>C02391</t>
  </si>
  <si>
    <t>C02493</t>
  </si>
  <si>
    <t>C02611</t>
  </si>
  <si>
    <t>C02723</t>
  </si>
  <si>
    <t>201</t>
  </si>
  <si>
    <t>QUITUISACA VIZHÑAY JOSELINE VALERIA</t>
  </si>
  <si>
    <t>172.16.4.18</t>
  </si>
  <si>
    <t>1805335096</t>
  </si>
  <si>
    <t>8 DE SEPTIEMBRE Y AV. RICARDO DURAN</t>
  </si>
  <si>
    <t>amore.cafeteria2025@gmail.com</t>
  </si>
  <si>
    <t>0981460233 0959551234</t>
  </si>
  <si>
    <t>201bajoselineq</t>
  </si>
  <si>
    <t>C02230</t>
  </si>
  <si>
    <t>C02335</t>
  </si>
  <si>
    <t>C02441</t>
  </si>
  <si>
    <t>C02560</t>
  </si>
  <si>
    <t>16/04/2026</t>
  </si>
  <si>
    <t>C02673</t>
  </si>
  <si>
    <t>202</t>
  </si>
  <si>
    <t>LOJA YUPANGUI ELSA YOLANDA</t>
  </si>
  <si>
    <t>172.16.7.8</t>
  </si>
  <si>
    <t>0105293096</t>
  </si>
  <si>
    <t>COCHAPAMBA BAÑOS</t>
  </si>
  <si>
    <t>lojaelsa40@gmail.com</t>
  </si>
  <si>
    <t>0969839670</t>
  </si>
  <si>
    <t>202baelsal</t>
  </si>
  <si>
    <t>C02231</t>
  </si>
  <si>
    <t>C02336</t>
  </si>
  <si>
    <t>C02442</t>
  </si>
  <si>
    <t>C02561</t>
  </si>
  <si>
    <t>C02674</t>
  </si>
  <si>
    <t>203</t>
  </si>
  <si>
    <t>VIZHCO ALBARRACIN JOSE ROMAN</t>
  </si>
  <si>
    <t>172.16.7.9</t>
  </si>
  <si>
    <t>0107377392</t>
  </si>
  <si>
    <t>0969238685 0982942011</t>
  </si>
  <si>
    <t>204</t>
  </si>
  <si>
    <t>PULLA DUCHI MANUEL JUAN BAUTISTA</t>
  </si>
  <si>
    <t>172.16.6.8</t>
  </si>
  <si>
    <t>0101167989</t>
  </si>
  <si>
    <t>SECTOR ZHIPATA</t>
  </si>
  <si>
    <t>pullajuan98@gmail.com</t>
  </si>
  <si>
    <t>0968560034</t>
  </si>
  <si>
    <t>205</t>
  </si>
  <si>
    <t>TENEPAGUAY SANGURIMA TRANSITO DOLORES</t>
  </si>
  <si>
    <t>172.16.1.80</t>
  </si>
  <si>
    <t>1802784353</t>
  </si>
  <si>
    <t>0991007482</t>
  </si>
  <si>
    <t>206</t>
  </si>
  <si>
    <t>SOLORZANO CHUQUI LILIANA NATALY</t>
  </si>
  <si>
    <t>172.16.5.33</t>
  </si>
  <si>
    <t>0105446264</t>
  </si>
  <si>
    <t>natalysolorzano44@gmail.com</t>
  </si>
  <si>
    <t>0981449150 0980759194</t>
  </si>
  <si>
    <t>C02232</t>
  </si>
  <si>
    <t>C02337</t>
  </si>
  <si>
    <t>C02443</t>
  </si>
  <si>
    <t>16/03/2026</t>
  </si>
  <si>
    <t>207</t>
  </si>
  <si>
    <t>GUAMAN ALVARRACIN LUIS ELIECER</t>
  </si>
  <si>
    <t>172.16.7.10</t>
  </si>
  <si>
    <t>0101337020</t>
  </si>
  <si>
    <t>1 (872) 801-0268 0959583939</t>
  </si>
  <si>
    <t>3/2/2026</t>
  </si>
  <si>
    <t>208</t>
  </si>
  <si>
    <t>TOAPANTE AREVALO ANDREA DEL CARMEN</t>
  </si>
  <si>
    <t>172.16.7.11</t>
  </si>
  <si>
    <t>0151175742</t>
  </si>
  <si>
    <t>andreatoapante3@gmail.com</t>
  </si>
  <si>
    <t>0939668837</t>
  </si>
  <si>
    <t>C02233</t>
  </si>
  <si>
    <t>C02338</t>
  </si>
  <si>
    <t>C02444</t>
  </si>
  <si>
    <t>C02562</t>
  </si>
  <si>
    <t>C02675</t>
  </si>
  <si>
    <t>209</t>
  </si>
  <si>
    <t>TUAPANTE TORRES KLEYSNER DANIEL</t>
  </si>
  <si>
    <t>172.16.7.12</t>
  </si>
  <si>
    <t>1450184799</t>
  </si>
  <si>
    <t>danieltorresg2504@gmail.com</t>
  </si>
  <si>
    <t>0987388288</t>
  </si>
  <si>
    <t>C02288</t>
  </si>
  <si>
    <t>C02392</t>
  </si>
  <si>
    <t>C02494</t>
  </si>
  <si>
    <t>C02612</t>
  </si>
  <si>
    <t>C02724</t>
  </si>
  <si>
    <t>210</t>
  </si>
  <si>
    <t>PATINO CHUBA MILTON LENIN</t>
  </si>
  <si>
    <t>172.16.7.13</t>
  </si>
  <si>
    <t>1400849194</t>
  </si>
  <si>
    <t>miltonlenin99@hotmail.com</t>
  </si>
  <si>
    <t>0968180766</t>
  </si>
  <si>
    <t>211</t>
  </si>
  <si>
    <t>CABRERA TENECELA MAYRA ALEXANDRA</t>
  </si>
  <si>
    <t>172.16.1.83</t>
  </si>
  <si>
    <t>0150571230</t>
  </si>
  <si>
    <t>CALLE DE GUADALUPANO</t>
  </si>
  <si>
    <t>alexandratepan2000@gmail.com</t>
  </si>
  <si>
    <t>0968846842 0981582786</t>
  </si>
  <si>
    <t>211bacabreram</t>
  </si>
  <si>
    <t>212</t>
  </si>
  <si>
    <t>ZHAGUI AYORA EDWIN PATRICIO</t>
  </si>
  <si>
    <t>172.16.1.81</t>
  </si>
  <si>
    <t>0150043610</t>
  </si>
  <si>
    <t>edwinzhagui7@gmail.com</t>
  </si>
  <si>
    <t>0985635247 0985441739</t>
  </si>
  <si>
    <t>C02234</t>
  </si>
  <si>
    <t>C02339</t>
  </si>
  <si>
    <t>C02445</t>
  </si>
  <si>
    <t>C02563</t>
  </si>
  <si>
    <t>C02676</t>
  </si>
  <si>
    <t>213</t>
  </si>
  <si>
    <t>PINTADO GUAMANRRIGRA MARIA GUADALUPE</t>
  </si>
  <si>
    <t>172.16.7.14</t>
  </si>
  <si>
    <t>0103624268</t>
  </si>
  <si>
    <t>mariapintado111@gmail.com</t>
  </si>
  <si>
    <t>0969852886</t>
  </si>
  <si>
    <t>213bapintadom</t>
  </si>
  <si>
    <t>C02235</t>
  </si>
  <si>
    <t>C02340</t>
  </si>
  <si>
    <t>C02446</t>
  </si>
  <si>
    <t>C02564</t>
  </si>
  <si>
    <t>C02677</t>
  </si>
  <si>
    <t>214</t>
  </si>
  <si>
    <t xml:space="preserve">MUZHA IÑAGUAZO JOHN STALIN </t>
  </si>
  <si>
    <t>172.16.0.53</t>
  </si>
  <si>
    <t>0106634298</t>
  </si>
  <si>
    <t>GUADALUPANO ALTO SECTOR EL CHORRO</t>
  </si>
  <si>
    <t>jhon.muzha12@gmail.com</t>
  </si>
  <si>
    <t>0989073716 0968745835</t>
  </si>
  <si>
    <t>214bamuzhaj</t>
  </si>
  <si>
    <t>C02236</t>
  </si>
  <si>
    <t>C02341</t>
  </si>
  <si>
    <t>C02447</t>
  </si>
  <si>
    <t>C02565</t>
  </si>
  <si>
    <t>C02678</t>
  </si>
  <si>
    <t>215</t>
  </si>
  <si>
    <t xml:space="preserve">PULLA ZHIÑIN ANDREA NOEMI </t>
  </si>
  <si>
    <t>172.16.6.9</t>
  </si>
  <si>
    <t>0705731867</t>
  </si>
  <si>
    <t>SECTOR COCHABAMBA, ZHIPATA</t>
  </si>
  <si>
    <t>noemipulla242@gmail.com</t>
  </si>
  <si>
    <t>0959064439</t>
  </si>
  <si>
    <t>216</t>
  </si>
  <si>
    <t>CHABLA LOJA JENNIFER PAOLA</t>
  </si>
  <si>
    <t>172.16.6.10</t>
  </si>
  <si>
    <t>150478543</t>
  </si>
  <si>
    <t>marialoja838@gmail.com</t>
  </si>
  <si>
    <t>0991675405</t>
  </si>
  <si>
    <t>216bachablaj</t>
  </si>
  <si>
    <t>C02289</t>
  </si>
  <si>
    <t>C02393</t>
  </si>
  <si>
    <t>C02495</t>
  </si>
  <si>
    <t>C02613</t>
  </si>
  <si>
    <t>C02725</t>
  </si>
  <si>
    <t>217</t>
  </si>
  <si>
    <t>MOROCHO MENDEZ JOHNY ARMANDO</t>
  </si>
  <si>
    <t>172.16.5.34</t>
  </si>
  <si>
    <t>0106038607</t>
  </si>
  <si>
    <t>C. 1 DE SEPTIEMBRE Y C.12 DE SEPTIEMBRE</t>
  </si>
  <si>
    <t>armando17jarmando@gmail.com</t>
  </si>
  <si>
    <t>0967550911</t>
  </si>
  <si>
    <t>C02290</t>
  </si>
  <si>
    <t>C02394</t>
  </si>
  <si>
    <t>C02496</t>
  </si>
  <si>
    <t>C02614</t>
  </si>
  <si>
    <t>C02726</t>
  </si>
  <si>
    <t>218</t>
  </si>
  <si>
    <t>RAMON VERGARA RUTH NORMA</t>
  </si>
  <si>
    <t>172.16.5.35</t>
  </si>
  <si>
    <t>0103667200</t>
  </si>
  <si>
    <t>PRIEMERO DE SEPTIEMBRE, CERCA DE ENTRADA CABALLO CAMPANA</t>
  </si>
  <si>
    <t>ruthramon2074@icloud.com</t>
  </si>
  <si>
    <t>0979922241</t>
  </si>
  <si>
    <t>C02237</t>
  </si>
  <si>
    <t xml:space="preserve">219 </t>
  </si>
  <si>
    <t>TORAL DUCHI JESSICA ANDREA (ANTENAS)</t>
  </si>
  <si>
    <t>172.16.1.82</t>
  </si>
  <si>
    <t>AV. RICARDO DURAN Y CALLE LA CALIZA</t>
  </si>
  <si>
    <t>0990666507</t>
  </si>
  <si>
    <t>220</t>
  </si>
  <si>
    <t>MAXI GUAMBAÑA FREDDY ABERROES</t>
  </si>
  <si>
    <t>172.16.5.36</t>
  </si>
  <si>
    <t>0106442692</t>
  </si>
  <si>
    <t>CAMINO VIEJO A BAÑOS Y CANTON STA CLARA</t>
  </si>
  <si>
    <t>freddymaxi1984@gmail.com</t>
  </si>
  <si>
    <t>0990817927</t>
  </si>
  <si>
    <t>C02238</t>
  </si>
  <si>
    <t>C02342 C02403</t>
  </si>
  <si>
    <t>221</t>
  </si>
  <si>
    <t>ROMERO MEDINA ANTONHY ALEXANDER</t>
  </si>
  <si>
    <t>172.16.5.37</t>
  </si>
  <si>
    <t>0107836389</t>
  </si>
  <si>
    <t>REINA DE CISNE Y 12 DE DICIEMBRE</t>
  </si>
  <si>
    <t>anthonyromero23@gmail.com</t>
  </si>
  <si>
    <t>0981114173 0993558497</t>
  </si>
  <si>
    <t>C02239</t>
  </si>
  <si>
    <t>C02343</t>
  </si>
  <si>
    <t>C02448</t>
  </si>
  <si>
    <t>222</t>
  </si>
  <si>
    <t>172.16.5.38</t>
  </si>
  <si>
    <t>C02207</t>
  </si>
  <si>
    <t>C02317</t>
  </si>
  <si>
    <t>C02426</t>
  </si>
  <si>
    <t>C02539</t>
  </si>
  <si>
    <t>C02653</t>
  </si>
  <si>
    <t>223</t>
  </si>
  <si>
    <t xml:space="preserve">GREFA ALVARADO INDIRA YAJAIRA </t>
  </si>
  <si>
    <t>172.16.11.8</t>
  </si>
  <si>
    <t>1501222309</t>
  </si>
  <si>
    <t>CALLE SAN VICENTE</t>
  </si>
  <si>
    <t>auroramg330@gmail.com</t>
  </si>
  <si>
    <r>
      <rPr>
        <sz val="10"/>
        <color theme="1"/>
        <rFont val="Arial"/>
        <charset val="134"/>
      </rPr>
      <t xml:space="preserve">0993747017 0959539641 </t>
    </r>
    <r>
      <rPr>
        <b/>
        <sz val="10"/>
        <color theme="1"/>
        <rFont val="Arial"/>
        <charset val="134"/>
      </rPr>
      <t>0980871161</t>
    </r>
  </si>
  <si>
    <t>7/24/2025</t>
  </si>
  <si>
    <t>C02513</t>
  </si>
  <si>
    <t>C02566</t>
  </si>
  <si>
    <t>C02679</t>
  </si>
  <si>
    <t>224</t>
  </si>
  <si>
    <t>SAN MARTIN ARIAS BRYAM SEBASTIAN</t>
  </si>
  <si>
    <t>172.16.0.54</t>
  </si>
  <si>
    <t>0150487478</t>
  </si>
  <si>
    <t>VIRGEN DEL QUINCHE</t>
  </si>
  <si>
    <t>bryansanmartin2005@gmail.com</t>
  </si>
  <si>
    <t>0988862606</t>
  </si>
  <si>
    <t>225</t>
  </si>
  <si>
    <t>GARZON JUCA CHRISTIAN JOSUE</t>
  </si>
  <si>
    <t>172.16.4.20</t>
  </si>
  <si>
    <t>0107087579</t>
  </si>
  <si>
    <t>christiang.j16@gmail.com</t>
  </si>
  <si>
    <t>0986356687 0981313415</t>
  </si>
  <si>
    <t>C02240</t>
  </si>
  <si>
    <t>C02344</t>
  </si>
  <si>
    <t>C02449</t>
  </si>
  <si>
    <t>C02567</t>
  </si>
  <si>
    <t>C02680</t>
  </si>
  <si>
    <t>226</t>
  </si>
  <si>
    <t>172.16.6.12</t>
  </si>
  <si>
    <t>1(646)2077179</t>
  </si>
  <si>
    <t>C02208</t>
  </si>
  <si>
    <t>C02318</t>
  </si>
  <si>
    <t>C02427</t>
  </si>
  <si>
    <t>C02540</t>
  </si>
  <si>
    <t>C02654</t>
  </si>
  <si>
    <t>227</t>
  </si>
  <si>
    <t>VALAREZO SANJINES ALLISON MAYERLI</t>
  </si>
  <si>
    <t>172.16.11.12</t>
  </si>
  <si>
    <t>0706591062</t>
  </si>
  <si>
    <t>alissonmayerli07122001@gmail.com</t>
  </si>
  <si>
    <t>0995727044 0991004677</t>
  </si>
  <si>
    <t>C02241</t>
  </si>
  <si>
    <t>C02345</t>
  </si>
  <si>
    <t>C02450</t>
  </si>
  <si>
    <t>228</t>
  </si>
  <si>
    <t>CHUNCHU QUINDE FELIPE MARCELO</t>
  </si>
  <si>
    <t>172.16.0.55</t>
  </si>
  <si>
    <t>0104699301</t>
  </si>
  <si>
    <t>NARANCAY ALTO LAS PEÑAS</t>
  </si>
  <si>
    <t>felipao7111@gmail.com</t>
  </si>
  <si>
    <t>0994311427</t>
  </si>
  <si>
    <t>700M/700M</t>
  </si>
  <si>
    <t>229</t>
  </si>
  <si>
    <t>ZAMBRANO LOOR HERVERT FERNANDO</t>
  </si>
  <si>
    <t>172.16.4.26</t>
  </si>
  <si>
    <t>1312584228</t>
  </si>
  <si>
    <t>CALLE 12 DE SEPTIEMBRE</t>
  </si>
  <si>
    <t>e.zambrano24@gmail.com</t>
  </si>
  <si>
    <t>0980377972 0981421820</t>
  </si>
  <si>
    <t>230</t>
  </si>
  <si>
    <t>BERMEO BARROS MARCELO ISRAEL</t>
  </si>
  <si>
    <t>172.16.1.84</t>
  </si>
  <si>
    <t>0104477476</t>
  </si>
  <si>
    <t>mbermeob@hotmail.es</t>
  </si>
  <si>
    <t>0983468069</t>
  </si>
  <si>
    <t>C02514</t>
  </si>
  <si>
    <t>C02541</t>
  </si>
  <si>
    <t>C02655</t>
  </si>
  <si>
    <t>231</t>
  </si>
  <si>
    <t>YUNGA BARROS RUBEN TARQUINO</t>
  </si>
  <si>
    <t>0102617610</t>
  </si>
  <si>
    <t>CALLE DE LA GUADALUPANO</t>
  </si>
  <si>
    <t>tarquino1967@hotmail.com</t>
  </si>
  <si>
    <t>0996454768</t>
  </si>
  <si>
    <t>C02515</t>
  </si>
  <si>
    <t>C02617</t>
  </si>
  <si>
    <t>C02728</t>
  </si>
  <si>
    <t>232</t>
  </si>
  <si>
    <t>RUPERTO MARCELO BERMEO MALDONADO</t>
  </si>
  <si>
    <t>172.16.1.85</t>
  </si>
  <si>
    <t>0102210408</t>
  </si>
  <si>
    <t>CALLE LA CALIZA Y PASEO DE LA GUADALUPANO</t>
  </si>
  <si>
    <t>bermeomarcelo80@hotmail.com</t>
  </si>
  <si>
    <t>0994453864</t>
  </si>
  <si>
    <t>C02516</t>
  </si>
  <si>
    <t>C02618</t>
  </si>
  <si>
    <t>C02729</t>
  </si>
  <si>
    <t>233</t>
  </si>
  <si>
    <t xml:space="preserve">MOGROVEJO JACOME JONNATHAN  FERNANDO </t>
  </si>
  <si>
    <t>172.16.5.41</t>
  </si>
  <si>
    <t>0106905805</t>
  </si>
  <si>
    <t>CALLE LAS PEÑAS, SECTOR BARRIO LAS PEÑAS</t>
  </si>
  <si>
    <t>jonna_fer@hotmail.com</t>
  </si>
  <si>
    <t>0992314352 0992132167</t>
  </si>
  <si>
    <t>C02517</t>
  </si>
  <si>
    <t>C02619</t>
  </si>
  <si>
    <t>C02730</t>
  </si>
  <si>
    <t>234</t>
  </si>
  <si>
    <t>GONZALES AUCAY ROSA UMBELINA</t>
  </si>
  <si>
    <t>172.16.4.21</t>
  </si>
  <si>
    <t>0106129182</t>
  </si>
  <si>
    <t>rosaumbelinagonzalez@gmail.com</t>
  </si>
  <si>
    <t>0990694992</t>
  </si>
  <si>
    <t>C02346</t>
  </si>
  <si>
    <t>C02451</t>
  </si>
  <si>
    <t>C02568</t>
  </si>
  <si>
    <t>C02681</t>
  </si>
  <si>
    <t>235</t>
  </si>
  <si>
    <t>GUAMAN COCHANCELA NATHALY JHOANNA</t>
  </si>
  <si>
    <t>172.16.5.42</t>
  </si>
  <si>
    <t>0107747800</t>
  </si>
  <si>
    <t>SECTOR C.12 DE DICIEMBRE CERCA CANCHA PUCARA</t>
  </si>
  <si>
    <t>natalinguaman@gmail.com</t>
  </si>
  <si>
    <t>0991429614</t>
  </si>
  <si>
    <t>C02242</t>
  </si>
  <si>
    <t>C02347</t>
  </si>
  <si>
    <t>C02452</t>
  </si>
  <si>
    <t>C02569</t>
  </si>
  <si>
    <t>C02682</t>
  </si>
  <si>
    <t>236</t>
  </si>
  <si>
    <t>NAULA LOJA MILTON GEOVANNY</t>
  </si>
  <si>
    <t>172.16.7.15</t>
  </si>
  <si>
    <t>0105084206</t>
  </si>
  <si>
    <t>CALLE ALFONSO CARRION HEREDIA Y VIA MINAS</t>
  </si>
  <si>
    <t>naulaenojon@gmail.com</t>
  </si>
  <si>
    <t>0981478641 0991556055</t>
  </si>
  <si>
    <t>C02243</t>
  </si>
  <si>
    <t>C02348</t>
  </si>
  <si>
    <t>C02453</t>
  </si>
  <si>
    <t>C02570</t>
  </si>
  <si>
    <t>C02683</t>
  </si>
  <si>
    <t>237</t>
  </si>
  <si>
    <t>AUCAY CAMBISACA MONICA FERNANDA</t>
  </si>
  <si>
    <t>172.16.7.16</t>
  </si>
  <si>
    <t>0107573362</t>
  </si>
  <si>
    <t>VIA MINAS, CERCA DEL CEMENTERIO</t>
  </si>
  <si>
    <t>aucaymonica03@gmail.com</t>
  </si>
  <si>
    <t>0981957081 0994865856</t>
  </si>
  <si>
    <t>C02518</t>
  </si>
  <si>
    <t>C02571</t>
  </si>
  <si>
    <t>C02684</t>
  </si>
  <si>
    <t>238</t>
  </si>
  <si>
    <t>LLIVICOTA GUAMAN ANTONY ISMAEL</t>
  </si>
  <si>
    <t>172.16.4.22</t>
  </si>
  <si>
    <t>0650478746</t>
  </si>
  <si>
    <t>AV. RICARDO DURAN S/N Y ALFONSO CARRION</t>
  </si>
  <si>
    <t>antonyllivicota666@gmail.com</t>
  </si>
  <si>
    <t>0985608240 0962031652</t>
  </si>
  <si>
    <t>239</t>
  </si>
  <si>
    <t>MOCHA GUANGA ROSA GUILLERMINA</t>
  </si>
  <si>
    <t>172.16.6.13</t>
  </si>
  <si>
    <t>0102002029001</t>
  </si>
  <si>
    <t>rosamocha22@gmail.com</t>
  </si>
  <si>
    <t>0990641846 0979072839</t>
  </si>
  <si>
    <t>240</t>
  </si>
  <si>
    <t>172.16.0.56</t>
  </si>
  <si>
    <t>C02519</t>
  </si>
  <si>
    <t>C02620</t>
  </si>
  <si>
    <t>C02731</t>
  </si>
  <si>
    <t>241</t>
  </si>
  <si>
    <t>POLO MENDOZA JOSE MIGUEL</t>
  </si>
  <si>
    <t>172.16.2.33</t>
  </si>
  <si>
    <t>0152828299</t>
  </si>
  <si>
    <t>polomendozajoseluis57@gmail.com</t>
  </si>
  <si>
    <t>0968249221</t>
  </si>
  <si>
    <t>C02244</t>
  </si>
  <si>
    <t>C02349</t>
  </si>
  <si>
    <t>C02454</t>
  </si>
  <si>
    <t>C02572</t>
  </si>
  <si>
    <t>C02685</t>
  </si>
  <si>
    <t>242</t>
  </si>
  <si>
    <t>MICHAY UYAGUARI CARLOS SEBASTIAN</t>
  </si>
  <si>
    <t>172.16.4.23</t>
  </si>
  <si>
    <t>0106107717</t>
  </si>
  <si>
    <t>carlosmichaymichay@gmail.com</t>
  </si>
  <si>
    <t>0988112089 0959053462</t>
  </si>
  <si>
    <t>243</t>
  </si>
  <si>
    <t>ALVARRACIN ALVARRACIN JUAN DANIEL</t>
  </si>
  <si>
    <t>172.16.6.14</t>
  </si>
  <si>
    <t>0104011507</t>
  </si>
  <si>
    <t>SECTOR IGLESIA ZHIPATA</t>
  </si>
  <si>
    <t>alvarracinjuan@gmail.com</t>
  </si>
  <si>
    <t>0968589783 0959560606 0992111907</t>
  </si>
  <si>
    <t>C02350</t>
  </si>
  <si>
    <t>C02455</t>
  </si>
  <si>
    <t>C02573</t>
  </si>
  <si>
    <t>C02686</t>
  </si>
  <si>
    <t>244</t>
  </si>
  <si>
    <t>VILLA VILLA JORGE BELISARIO</t>
  </si>
  <si>
    <t>172.16.5.43</t>
  </si>
  <si>
    <t>0105005425</t>
  </si>
  <si>
    <t>CALLE LA PASADA Y CALLE S/N SECTOR S/N</t>
  </si>
  <si>
    <t>jorgevlla190@gmail.com</t>
  </si>
  <si>
    <t>0999124814</t>
  </si>
  <si>
    <t>245</t>
  </si>
  <si>
    <t>AGUILAR HERRERA EDISON DAVID</t>
  </si>
  <si>
    <t>172.16.3.8</t>
  </si>
  <si>
    <t>1105402232</t>
  </si>
  <si>
    <t>CALLE VILLALOBOS Y CARRETERA PANAMERICANA</t>
  </si>
  <si>
    <t>aguilardavid200agui@gmail.com</t>
  </si>
  <si>
    <t>0968039729</t>
  </si>
  <si>
    <t>C02351</t>
  </si>
  <si>
    <t>246</t>
  </si>
  <si>
    <t>PINTADO PESANTEZ MANUEL NORBERTO</t>
  </si>
  <si>
    <t>172.16.4.24</t>
  </si>
  <si>
    <t>0100937697</t>
  </si>
  <si>
    <t>C. 1 DE SEPTIEMBRE SECTOR HUIZHL</t>
  </si>
  <si>
    <t>247</t>
  </si>
  <si>
    <t>ALVARRACIN JARAMA LUIS EDUARDO</t>
  </si>
  <si>
    <t>172.16.6.15</t>
  </si>
  <si>
    <t>0150555670</t>
  </si>
  <si>
    <t>IGLESIA ZHIPATA</t>
  </si>
  <si>
    <t>eduardoaj543@gmail.com</t>
  </si>
  <si>
    <t>0983615973</t>
  </si>
  <si>
    <t>C02745</t>
  </si>
  <si>
    <t>248</t>
  </si>
  <si>
    <t>GUAMAN OCHOA LUIS PAUL</t>
  </si>
  <si>
    <t>172.16.5.45</t>
  </si>
  <si>
    <t>0150644722</t>
  </si>
  <si>
    <t>EL PARAISO</t>
  </si>
  <si>
    <t>paulguaman802@gmail.com</t>
  </si>
  <si>
    <t>0993268600 0967121740</t>
  </si>
  <si>
    <t>249</t>
  </si>
  <si>
    <t>LOJA LOJA LAURA INES</t>
  </si>
  <si>
    <t>172.16.6.16</t>
  </si>
  <si>
    <t>0150227643</t>
  </si>
  <si>
    <t>SUBIDA A ZHIPATA</t>
  </si>
  <si>
    <t>lauraloja630@gmail.com</t>
  </si>
  <si>
    <t>0985436028</t>
  </si>
  <si>
    <t>9/4/2026</t>
  </si>
  <si>
    <t>250</t>
  </si>
  <si>
    <t>251</t>
  </si>
  <si>
    <t>DELGADO GALLEGOS JOHN JAIRO</t>
  </si>
  <si>
    <t>172.16.1.86</t>
  </si>
  <si>
    <t>1727703793</t>
  </si>
  <si>
    <t>CALLE LA CALIZA Y AV RICARDO DURAN</t>
  </si>
  <si>
    <t>neymarchanano@gmail.com</t>
  </si>
  <si>
    <t>0984969443 0997982761</t>
  </si>
  <si>
    <t>252</t>
  </si>
  <si>
    <t>172.16.2.34</t>
  </si>
  <si>
    <t>24/03/2026</t>
  </si>
  <si>
    <t>253</t>
  </si>
  <si>
    <t xml:space="preserve">GRANIZO SANCHEZ MONICA GABRIELA </t>
  </si>
  <si>
    <t>172.16.0.57</t>
  </si>
  <si>
    <t>0103405080</t>
  </si>
  <si>
    <t>ANTONIO ULLOA Y RIO ORINOCO</t>
  </si>
  <si>
    <t>gabrielagranizo@gmail.com</t>
  </si>
  <si>
    <t>0983862860 0999968556</t>
  </si>
  <si>
    <t>254</t>
  </si>
  <si>
    <t>VIZHCO MONTALEZA LUIS ROBERTO</t>
  </si>
  <si>
    <t>172.16.7.17</t>
  </si>
  <si>
    <t>0101783736</t>
  </si>
  <si>
    <t>vizhco4@gmail.com</t>
  </si>
  <si>
    <t>0959471555 0981193958</t>
  </si>
  <si>
    <t>255</t>
  </si>
  <si>
    <t>TORRES ZAMBRANO MARCOS GENARO</t>
  </si>
  <si>
    <t>172.16.12.2</t>
  </si>
  <si>
    <t>0908018120</t>
  </si>
  <si>
    <t>CAMINO VIEJO A BAÑOS Y ANTONIO LOREN</t>
  </si>
  <si>
    <t>marctorres@hotmail.com</t>
  </si>
  <si>
    <t>0967016452</t>
  </si>
  <si>
    <t>750M/750M</t>
  </si>
  <si>
    <t>256</t>
  </si>
  <si>
    <t xml:space="preserve">CUENCA GUAMAN ALISON MARIUXI </t>
  </si>
  <si>
    <t>172.16.4.25</t>
  </si>
  <si>
    <t>1754213252</t>
  </si>
  <si>
    <t>alitocuenca3@gmail.com</t>
  </si>
  <si>
    <t>0962031652 0985608240</t>
  </si>
  <si>
    <t>22/04/2026</t>
  </si>
  <si>
    <t>257</t>
  </si>
  <si>
    <t>MONCAYO CORREA LUIS ALBERTO</t>
  </si>
  <si>
    <t>172.16.11.2</t>
  </si>
  <si>
    <t>0300058872</t>
  </si>
  <si>
    <t>S/N HUIZHIL LOS TILOS</t>
  </si>
  <si>
    <t>luismoncayocorrea@gmail.com</t>
  </si>
  <si>
    <t>0987231687 0964090660</t>
  </si>
  <si>
    <t>C02404</t>
  </si>
  <si>
    <t>C02630 C02631</t>
  </si>
  <si>
    <t>258</t>
  </si>
  <si>
    <t>ALVAREZ SUQUILANDA ELSA GUADALUPE</t>
  </si>
  <si>
    <t>172.16.6.17</t>
  </si>
  <si>
    <t>0102905668</t>
  </si>
  <si>
    <t>SECTOR COCHAPAMBA</t>
  </si>
  <si>
    <t>alvarezedison980@gmail.com</t>
  </si>
  <si>
    <t>0980873461</t>
  </si>
  <si>
    <t>16/12/2025</t>
  </si>
  <si>
    <t>259</t>
  </si>
  <si>
    <t>JARAMA CABRERA MARIA DOLORES</t>
  </si>
  <si>
    <t>172.16.6.18</t>
  </si>
  <si>
    <t>0103655890</t>
  </si>
  <si>
    <t>maria.jarama1993@gmail.com</t>
  </si>
  <si>
    <t>1(845)7212452 0997883510</t>
  </si>
  <si>
    <t>C02746</t>
  </si>
  <si>
    <t>260</t>
  </si>
  <si>
    <t xml:space="preserve">ARPI ARPI LUZ MARGARITA </t>
  </si>
  <si>
    <t>172.16.11.9</t>
  </si>
  <si>
    <t>0105349674</t>
  </si>
  <si>
    <t>MISICATA</t>
  </si>
  <si>
    <t>LA UNION ALTA JUNTO A LA ASOCIACIÓN 10 DE AGOSTO</t>
  </si>
  <si>
    <t>margaritaarpiarpi@gmail.com</t>
  </si>
  <si>
    <t>0993117091</t>
  </si>
  <si>
    <t>261</t>
  </si>
  <si>
    <t>ARPI DUTAN ROSA LUSMILA</t>
  </si>
  <si>
    <t>172.16.11.10</t>
  </si>
  <si>
    <t>0102742657</t>
  </si>
  <si>
    <t>262</t>
  </si>
  <si>
    <t>LLIVICURA QUINDE SAMANTHA LISSETH</t>
  </si>
  <si>
    <t>172.16.2.35</t>
  </si>
  <si>
    <t>0105428825</t>
  </si>
  <si>
    <t>quindesamy22@gmail.com</t>
  </si>
  <si>
    <t>0981515665</t>
  </si>
  <si>
    <t>263</t>
  </si>
  <si>
    <t>SANGURIMA CHUQUIGUANGA MIGUEL ANGEL</t>
  </si>
  <si>
    <t>172.16.1.87</t>
  </si>
  <si>
    <t>0101496016</t>
  </si>
  <si>
    <t>lsangurimat@gmail.com</t>
  </si>
  <si>
    <t>264</t>
  </si>
  <si>
    <t>172.16.4.27</t>
  </si>
  <si>
    <t>AV RICARDO DURAN Y CALLE LA PASADA</t>
  </si>
  <si>
    <t>15/04/2026</t>
  </si>
  <si>
    <t>265</t>
  </si>
  <si>
    <t>VELASQUEZ LOPEZ JOAN ANTONIO</t>
  </si>
  <si>
    <t>172.16.5.46</t>
  </si>
  <si>
    <t>1351540883</t>
  </si>
  <si>
    <t>itsjoan333@gmail.com</t>
  </si>
  <si>
    <t>0988774150</t>
  </si>
  <si>
    <t>266</t>
  </si>
  <si>
    <t>GUAMANRRIGRA TENESACA RUBEN DARIO</t>
  </si>
  <si>
    <t>172.16.0.58</t>
  </si>
  <si>
    <t>0107593774</t>
  </si>
  <si>
    <t>NARANCAY ALTO</t>
  </si>
  <si>
    <t>tenesacamaria42@gmail.com</t>
  </si>
  <si>
    <t>0988344050 0984251680</t>
  </si>
  <si>
    <t>267</t>
  </si>
  <si>
    <t>MOGROVEJO TOAPANTE MESIAS PAUL</t>
  </si>
  <si>
    <t>172.16.5.47</t>
  </si>
  <si>
    <t>0107546764</t>
  </si>
  <si>
    <t>VIRGEN DEL CISNE</t>
  </si>
  <si>
    <t>paulmogrovejomogrovejo@gmail.com</t>
  </si>
  <si>
    <t>0993421487</t>
  </si>
  <si>
    <t>268</t>
  </si>
  <si>
    <t>TASA MORAN JUAN DIEGO</t>
  </si>
  <si>
    <t>172.16.5.48</t>
  </si>
  <si>
    <t>0150732808</t>
  </si>
  <si>
    <t>tasajuan17@gmail.com</t>
  </si>
  <si>
    <t>0985950943 0991850826</t>
  </si>
  <si>
    <t>269</t>
  </si>
  <si>
    <t>CUGUSHI CHIRIAP MAYCOL RAFAEL</t>
  </si>
  <si>
    <t>172.16.7.19</t>
  </si>
  <si>
    <t>1450306046</t>
  </si>
  <si>
    <t>maycolcugushi@gmail.com</t>
  </si>
  <si>
    <t>0963237856 0958733307</t>
  </si>
  <si>
    <t>270</t>
  </si>
  <si>
    <t>LOJA CAMBISACA MARIA LORENA</t>
  </si>
  <si>
    <t>172.16.8.5</t>
  </si>
  <si>
    <t>0107156788</t>
  </si>
  <si>
    <t>VIA PACCHA</t>
  </si>
  <si>
    <t>lorenaloja97@hotmail.com</t>
  </si>
  <si>
    <t>0959209182 0982579757</t>
  </si>
  <si>
    <t>271</t>
  </si>
  <si>
    <t>LOZANO GOMEZ EDITH YASBEK</t>
  </si>
  <si>
    <t>172.16.4.29</t>
  </si>
  <si>
    <t>1105357303</t>
  </si>
  <si>
    <t>yasbeklozano656@gmail.com</t>
  </si>
  <si>
    <t>0990812478</t>
  </si>
  <si>
    <t>272</t>
  </si>
  <si>
    <t>VIZHCO CASTILLO DIANA JANETH</t>
  </si>
  <si>
    <t>172.16.6.19</t>
  </si>
  <si>
    <t>0106639685</t>
  </si>
  <si>
    <t>janeth2304vc@gmail.com</t>
  </si>
  <si>
    <t>0989293190</t>
  </si>
  <si>
    <t>273</t>
  </si>
  <si>
    <t>ROJAS PINTO ANA KARINA</t>
  </si>
  <si>
    <t>172.16.4.30</t>
  </si>
  <si>
    <t>0152632576</t>
  </si>
  <si>
    <t>anarojas.20.26@gmail.com</t>
  </si>
  <si>
    <t>0995835971 0978871690</t>
  </si>
  <si>
    <t>274</t>
  </si>
  <si>
    <t>TAMAY TENEZACA PORFIRIO</t>
  </si>
  <si>
    <t>172.16.12.8</t>
  </si>
  <si>
    <t>0604225656</t>
  </si>
  <si>
    <t>AV. RICARDO DURAN Y CALLE DE LOS ZANCOS</t>
  </si>
  <si>
    <t>tamaypirfirio@gmail.com</t>
  </si>
  <si>
    <t>0998221202 0969346359</t>
  </si>
  <si>
    <t>C02621</t>
  </si>
  <si>
    <t>C02633</t>
  </si>
  <si>
    <t>275</t>
  </si>
  <si>
    <t>TASA VILLA MANUEL ALFONSO</t>
  </si>
  <si>
    <t>172.16.5.49</t>
  </si>
  <si>
    <t>0102735131</t>
  </si>
  <si>
    <t>CALLE LA ESTANCIA Y CALLE 12 DE DICIEMBRE</t>
  </si>
  <si>
    <t>0988743948</t>
  </si>
  <si>
    <t>276</t>
  </si>
  <si>
    <t>SALAS PAUCAR HILDA DIOSELINA</t>
  </si>
  <si>
    <t>172.16.7.20</t>
  </si>
  <si>
    <t>0101488914</t>
  </si>
  <si>
    <t>hildadios21@gmail.com</t>
  </si>
  <si>
    <t>0998879299</t>
  </si>
  <si>
    <t>277</t>
  </si>
  <si>
    <t>PARRA ERAS MARIO TOBIAS</t>
  </si>
  <si>
    <t>172.16.12.9</t>
  </si>
  <si>
    <t>0103042255001</t>
  </si>
  <si>
    <t>marioparraeras@gmail.com</t>
  </si>
  <si>
    <t>0998386838</t>
  </si>
  <si>
    <t>C02629</t>
  </si>
  <si>
    <t>FACTURAR CON RUC</t>
  </si>
  <si>
    <t>278</t>
  </si>
  <si>
    <t>MEDINA MEDINA MANUEL JUVENTINO</t>
  </si>
  <si>
    <t>172.16.0.59</t>
  </si>
  <si>
    <t>1103178792</t>
  </si>
  <si>
    <t>VIA NARANCAY SECTOR EL CHORO</t>
  </si>
  <si>
    <t>jorgemedina8971@gmail.com</t>
  </si>
  <si>
    <t>0984412882 0963009458</t>
  </si>
  <si>
    <t>279</t>
  </si>
  <si>
    <t>VERA SUQUILANDA MARIA DEL CARMEN</t>
  </si>
  <si>
    <t>172.16.0.60</t>
  </si>
  <si>
    <t>1105106494</t>
  </si>
  <si>
    <t>cv6664015@gmail.com</t>
  </si>
  <si>
    <t>0959034365 0986191014</t>
  </si>
  <si>
    <t>280</t>
  </si>
  <si>
    <t>PILLACELA MOROCHO CELIO IVAN</t>
  </si>
  <si>
    <t>172.16.12.10</t>
  </si>
  <si>
    <t>0107255101</t>
  </si>
  <si>
    <t>MARIANO GODOY Y ROSA ZARATE</t>
  </si>
  <si>
    <t>morochofabia464@gmail.com</t>
  </si>
  <si>
    <t>0969581954</t>
  </si>
  <si>
    <t>10/4/1016</t>
  </si>
  <si>
    <t>10/5/1016</t>
  </si>
  <si>
    <t>281</t>
  </si>
  <si>
    <t>ALBARRACIN PULLA DIANA ALEXANDRA</t>
  </si>
  <si>
    <t>172.16.1.89</t>
  </si>
  <si>
    <t>0150358562</t>
  </si>
  <si>
    <t>dinanapulla@gamil.com</t>
  </si>
  <si>
    <t>0959529833</t>
  </si>
  <si>
    <t>282</t>
  </si>
  <si>
    <t>MOROCHO LITUMA ROSA IRENE</t>
  </si>
  <si>
    <t>172.16.1.90</t>
  </si>
  <si>
    <t>0105103501</t>
  </si>
  <si>
    <t>culcaypaola5@gmail.com</t>
  </si>
  <si>
    <t>0991296695</t>
  </si>
  <si>
    <t>283</t>
  </si>
  <si>
    <t>MOGROVEJO TOAPANTE MARIA ESTEFANIA</t>
  </si>
  <si>
    <t>172.16.5.50</t>
  </si>
  <si>
    <t>284</t>
  </si>
  <si>
    <t>REALPE ALBAN TULIA XIMENA</t>
  </si>
  <si>
    <t>172.16.1.91</t>
  </si>
  <si>
    <t>0802785774</t>
  </si>
  <si>
    <t>trealpe@pichincha.com</t>
  </si>
  <si>
    <t>0987666653</t>
  </si>
  <si>
    <t>285</t>
  </si>
  <si>
    <t>MACAS VASQUEZ ANA MACRINA</t>
  </si>
  <si>
    <t>172.16.0.61</t>
  </si>
  <si>
    <t>286</t>
  </si>
  <si>
    <t>ANGAMARCA CHICA KATRHERYNE ROCIO</t>
  </si>
  <si>
    <t>172.16.4.31</t>
  </si>
  <si>
    <t>287</t>
  </si>
  <si>
    <t>ORDOÑEZ TORRES ANA LUCIA</t>
  </si>
  <si>
    <t>288</t>
  </si>
  <si>
    <t>ZHAGUI GUARQUILA PAUL ANDRES</t>
  </si>
  <si>
    <t>289</t>
  </si>
  <si>
    <t>BARROS LOJANO MAYRA CATALINA</t>
  </si>
  <si>
    <t>TIEMPO</t>
  </si>
  <si>
    <t>FACT DE DIC</t>
  </si>
  <si>
    <t>DECEMBER</t>
  </si>
  <si>
    <t>TV</t>
  </si>
  <si>
    <t>001</t>
  </si>
  <si>
    <t>YANEZ OCHOA MICHAEL LEONARDO</t>
  </si>
  <si>
    <t>172.18.4.5</t>
  </si>
  <si>
    <t>0105542450</t>
  </si>
  <si>
    <t>SAYAUSI</t>
  </si>
  <si>
    <t>ORDOÑEZ LASSO SECTOR SANTA MARIA</t>
  </si>
  <si>
    <t>yaneztarquino91@gmail.com</t>
  </si>
  <si>
    <t>0959229482 0980598322  0980650419 +593 98 079 8919</t>
  </si>
  <si>
    <t>128542</t>
  </si>
  <si>
    <t>138498</t>
  </si>
  <si>
    <t>19/4/2026</t>
  </si>
  <si>
    <t>142032</t>
  </si>
  <si>
    <t xml:space="preserve">PACHECO PRADO FELIX JOSE </t>
  </si>
  <si>
    <t>172.18.2.9</t>
  </si>
  <si>
    <t>0104107701</t>
  </si>
  <si>
    <t>ORDOÑEZ LASSO FRENTE GASOLINERA PRIMAX</t>
  </si>
  <si>
    <t>0986600649  0999790946</t>
  </si>
  <si>
    <t>02sayafelixp</t>
  </si>
  <si>
    <t>GUTAMA EHUÑIR DIGNA NOEMI</t>
  </si>
  <si>
    <t>172.18.2.4</t>
  </si>
  <si>
    <t>0107345217</t>
  </si>
  <si>
    <t>ORDOÑEZ LASSO Y HIERBA LUISA</t>
  </si>
  <si>
    <t>dignagutama9@hotmail.com</t>
  </si>
  <si>
    <t>0986096326</t>
  </si>
  <si>
    <t>007</t>
  </si>
  <si>
    <t>FONSECA SILVA MARCOS ENRIQUE</t>
  </si>
  <si>
    <t>172.18.2.55</t>
  </si>
  <si>
    <t>0152598603</t>
  </si>
  <si>
    <t>VIA DEL TEJAR</t>
  </si>
  <si>
    <t>fonsecam199.5@gmail.com</t>
  </si>
  <si>
    <t xml:space="preserve">0963154411 0978797350 </t>
  </si>
  <si>
    <t>C0360</t>
  </si>
  <si>
    <t>129768</t>
  </si>
  <si>
    <t>C0408</t>
  </si>
  <si>
    <t>138500</t>
  </si>
  <si>
    <t>C0453</t>
  </si>
  <si>
    <t>C0497</t>
  </si>
  <si>
    <t>009</t>
  </si>
  <si>
    <t>PACHO VILLA NORMA MAGDALENA</t>
  </si>
  <si>
    <t>172.18.2.6</t>
  </si>
  <si>
    <t>0105168165</t>
  </si>
  <si>
    <t>ORDOÑEZ LASSO FRENTE A LA BOMBA PRIMAX</t>
  </si>
  <si>
    <t>villanorma755@gmail.com</t>
  </si>
  <si>
    <t>0986963187 0980269740</t>
  </si>
  <si>
    <t>52sayanormap</t>
  </si>
  <si>
    <t>VELECELA GUNCAY MARTHA LUCIA</t>
  </si>
  <si>
    <t>172.18.1.3</t>
  </si>
  <si>
    <t>0104301726</t>
  </si>
  <si>
    <t>LA HERMITA SAYAUSI</t>
  </si>
  <si>
    <t>mvelecela.1981@gmail.com</t>
  </si>
  <si>
    <t>0997365619  0997439598</t>
  </si>
  <si>
    <t>C0361</t>
  </si>
  <si>
    <t>C0409</t>
  </si>
  <si>
    <t>C0454</t>
  </si>
  <si>
    <t>28/04/2026</t>
  </si>
  <si>
    <t>C0498</t>
  </si>
  <si>
    <t>GOMEZ SANGURIMA MARCO OSWALDO</t>
  </si>
  <si>
    <t>172.18.1.4</t>
  </si>
  <si>
    <t>0106626161</t>
  </si>
  <si>
    <t>SAN MIGUEL - LA HERMITA</t>
  </si>
  <si>
    <t>marco-gomez04@hotmail.com</t>
  </si>
  <si>
    <t>0983509196 0992504946 074189279</t>
  </si>
  <si>
    <t>21/1/2026</t>
  </si>
  <si>
    <t>CAJAMARCA FAJARDO CLAUDIO RIGOBERTO</t>
  </si>
  <si>
    <t>172.18.2.10</t>
  </si>
  <si>
    <t>0104009352</t>
  </si>
  <si>
    <t>AV. TEJAR Y CAMINO SAN MIGUEL DE PUTUSHI</t>
  </si>
  <si>
    <t>claudio78cajamarca@gmail.com</t>
  </si>
  <si>
    <r>
      <rPr>
        <b/>
        <sz val="10"/>
        <color theme="1"/>
        <rFont val="Arial"/>
        <charset val="134"/>
      </rPr>
      <t>0979416436</t>
    </r>
    <r>
      <rPr>
        <sz val="10"/>
        <color theme="1"/>
        <rFont val="Arial"/>
        <charset val="134"/>
      </rPr>
      <t xml:space="preserve"> 0991275404</t>
    </r>
  </si>
  <si>
    <t>12sayasoniaa</t>
  </si>
  <si>
    <t>26/26/2026</t>
  </si>
  <si>
    <t>MORALES TENEGAÑAY JESSICA LUCIA</t>
  </si>
  <si>
    <t>172.18.1.34</t>
  </si>
  <si>
    <t>0105659502</t>
  </si>
  <si>
    <t>SUBIDA A SAN MIGUEL SECTOR IGLESIA NUEVA</t>
  </si>
  <si>
    <t>rosiparedes714@gmail.com</t>
  </si>
  <si>
    <t>0992964104</t>
  </si>
  <si>
    <t>017</t>
  </si>
  <si>
    <t xml:space="preserve">LEON VILLA SEGUNDO RODOLFO </t>
  </si>
  <si>
    <t>10.67.2.254</t>
  </si>
  <si>
    <t>0103229399</t>
  </si>
  <si>
    <t>SAN MIGUEL SECTOR TEMPLO CHINO</t>
  </si>
  <si>
    <t>0993568122  0995674041</t>
  </si>
  <si>
    <t>018</t>
  </si>
  <si>
    <t>CEDILLO PALTA ANGEL AMBROCIO</t>
  </si>
  <si>
    <t>172.18.2.15</t>
  </si>
  <si>
    <t>0102600814</t>
  </si>
  <si>
    <t>ORDOÑEZ LASO Y ROSAL</t>
  </si>
  <si>
    <t>angelambrosiocedillo@hotmail.com</t>
  </si>
  <si>
    <t>0992304985 4193019</t>
  </si>
  <si>
    <t>ROSERO CAJAMARCA EDUARDO MARCIAL</t>
  </si>
  <si>
    <t>172.18.2.17</t>
  </si>
  <si>
    <t>2100399233</t>
  </si>
  <si>
    <t>ORDOÑEZ LASO Y HIERBA LUISA</t>
  </si>
  <si>
    <t>eduardorosero2012@hotmail.com</t>
  </si>
  <si>
    <t>0962191932</t>
  </si>
  <si>
    <t>129770</t>
  </si>
  <si>
    <t>141504</t>
  </si>
  <si>
    <t>PACHECO PANGOL JENNY MARISOL</t>
  </si>
  <si>
    <t>172.18.1.5</t>
  </si>
  <si>
    <t>0104551742</t>
  </si>
  <si>
    <t>SAN MIGUEL SECTOR HERMITA</t>
  </si>
  <si>
    <t>marcocalu1710@gmail.com</t>
  </si>
  <si>
    <t>0980870614 0997132402</t>
  </si>
  <si>
    <t>C0362</t>
  </si>
  <si>
    <t>C0410</t>
  </si>
  <si>
    <t>C0455</t>
  </si>
  <si>
    <t>C0499</t>
  </si>
  <si>
    <t>LEON PAREDES ROSA ESPERANZA</t>
  </si>
  <si>
    <t>172.18.1.6</t>
  </si>
  <si>
    <t>0107040628</t>
  </si>
  <si>
    <t>rosaleon5681@gmail.com</t>
  </si>
  <si>
    <t>099 986 9789</t>
  </si>
  <si>
    <t xml:space="preserve">SANCHEZ CONDO MILTON BOLIVAR </t>
  </si>
  <si>
    <t>172.18.2.19</t>
  </si>
  <si>
    <t>0703816272</t>
  </si>
  <si>
    <t>ORDOÑEZ LAZO FRENTE A LA BOMBA PRIMAX</t>
  </si>
  <si>
    <t>miltonbolivarsanchezcondo@gmail.com</t>
  </si>
  <si>
    <t>0991340276 0968925246</t>
  </si>
  <si>
    <t>04/12/2021</t>
  </si>
  <si>
    <t>027</t>
  </si>
  <si>
    <t>LEON PINTADO JOSE MIGUEL</t>
  </si>
  <si>
    <t>172.18.1.56</t>
  </si>
  <si>
    <t>0101814556</t>
  </si>
  <si>
    <t>SECTOR LA HERMITA</t>
  </si>
  <si>
    <t>0988570402 0968739394</t>
  </si>
  <si>
    <t>130637</t>
  </si>
  <si>
    <t>C0403</t>
  </si>
  <si>
    <t>142088</t>
  </si>
  <si>
    <t>028</t>
  </si>
  <si>
    <t>BARRIONUEVO FERNANDEZ FANNY SUSANA</t>
  </si>
  <si>
    <t>172.18.2.21</t>
  </si>
  <si>
    <t>ESTA EN EL CHAT</t>
  </si>
  <si>
    <t>1203804750</t>
  </si>
  <si>
    <t>SECTOR QUINTA CARMITA</t>
  </si>
  <si>
    <t>fernandezsusy052@gmail.com</t>
  </si>
  <si>
    <t xml:space="preserve">0992051025 0969063324 0989454709 0985313311 </t>
  </si>
  <si>
    <r>
      <rPr>
        <u/>
        <sz val="10"/>
        <color rgb="FF00FF00"/>
        <rFont val="Poppins, sans-serif"/>
        <charset val="134"/>
      </rPr>
      <t>28safanny</t>
    </r>
    <r>
      <rPr>
        <u/>
        <sz val="10"/>
        <color rgb="FF00FF00"/>
        <rFont val="Poppins"/>
        <charset val="134"/>
      </rPr>
      <t>b</t>
    </r>
  </si>
  <si>
    <t>C0363</t>
  </si>
  <si>
    <t>C0411</t>
  </si>
  <si>
    <t>C0456</t>
  </si>
  <si>
    <t>C0500</t>
  </si>
  <si>
    <t>MOROCHO LEON ANGELA ANDREA</t>
  </si>
  <si>
    <t>172.18.1.9</t>
  </si>
  <si>
    <t>0107166399</t>
  </si>
  <si>
    <t>SAN MIGUEL - SECTOR LA HERMITA</t>
  </si>
  <si>
    <t>morochoangela704@gmail.com</t>
  </si>
  <si>
    <t>0991151608 0990222192 0994631432</t>
  </si>
  <si>
    <t>C0364</t>
  </si>
  <si>
    <t>128538</t>
  </si>
  <si>
    <t>C0412</t>
  </si>
  <si>
    <t>137514</t>
  </si>
  <si>
    <t>C0457</t>
  </si>
  <si>
    <t>C0501</t>
  </si>
  <si>
    <t xml:space="preserve">ROBLES PERALTA LUIS ALBERTO </t>
  </si>
  <si>
    <t>172.18.2.22</t>
  </si>
  <si>
    <t>0940305378</t>
  </si>
  <si>
    <t>ORDOÑEZ LAZO Y HIERBA LUISA</t>
  </si>
  <si>
    <t>ortizjenny716@gmail.com</t>
  </si>
  <si>
    <t>0985621316 0992136760</t>
  </si>
  <si>
    <t>MUÑOZ ORTEGA JUAN ESTEBAN</t>
  </si>
  <si>
    <t>172.18.4.3</t>
  </si>
  <si>
    <t>0101866556</t>
  </si>
  <si>
    <t>LA LIBERTAD SECTOR LA PIEDRA GRANDE</t>
  </si>
  <si>
    <t>jmunoz@cdazuay.com</t>
  </si>
  <si>
    <t>0994922373 0997012335</t>
  </si>
  <si>
    <t>32samunozj</t>
  </si>
  <si>
    <t>C0365</t>
  </si>
  <si>
    <t>129772</t>
  </si>
  <si>
    <t>C0413</t>
  </si>
  <si>
    <t>138504</t>
  </si>
  <si>
    <t>C0458</t>
  </si>
  <si>
    <t>C0502</t>
  </si>
  <si>
    <t>TENEPAGUAY PULLA MARIA ISABEL</t>
  </si>
  <si>
    <t>172.18.1.12</t>
  </si>
  <si>
    <t>0103343687</t>
  </si>
  <si>
    <t>isabeltenempaguay@gmail.com</t>
  </si>
  <si>
    <t xml:space="preserve">0982780021 0991891662 0998871453 </t>
  </si>
  <si>
    <t>034</t>
  </si>
  <si>
    <t>BERMEO SANGURIMA MANUELA BEATRIZ</t>
  </si>
  <si>
    <t>172.18.1.13</t>
  </si>
  <si>
    <t>0102236015</t>
  </si>
  <si>
    <t>SAN MIGUEL SECTOR LA HERMITA</t>
  </si>
  <si>
    <t>0997060665 0984939313</t>
  </si>
  <si>
    <t>C0353</t>
  </si>
  <si>
    <t>131108</t>
  </si>
  <si>
    <t>C0385</t>
  </si>
  <si>
    <t>137516</t>
  </si>
  <si>
    <t>C0435</t>
  </si>
  <si>
    <t>C02734</t>
  </si>
  <si>
    <t>QUIROZ ORTIZ EDGAR FERNANDO</t>
  </si>
  <si>
    <t>172.18.1.14</t>
  </si>
  <si>
    <t>0103305363</t>
  </si>
  <si>
    <t>edgarfq22@gmail.com</t>
  </si>
  <si>
    <t>0991699938 0987501595</t>
  </si>
  <si>
    <t>SALDAÑA TENEPAGUAY ESTEBAN XAVIER</t>
  </si>
  <si>
    <t>172.18.1.23</t>
  </si>
  <si>
    <t>0107173551</t>
  </si>
  <si>
    <t>ORDOÑEZ LAZO CINCO ESQUINAS</t>
  </si>
  <si>
    <t>stebanxavier@outlook.es</t>
  </si>
  <si>
    <t>0984275252 0983897071</t>
  </si>
  <si>
    <t>C0366</t>
  </si>
  <si>
    <t>C0414</t>
  </si>
  <si>
    <t>138502</t>
  </si>
  <si>
    <t>C0459</t>
  </si>
  <si>
    <t>C0503</t>
  </si>
  <si>
    <t>MOSQUERA MORENO CARLOS VICENTE</t>
  </si>
  <si>
    <t>172.18.2.23</t>
  </si>
  <si>
    <t>0103071072</t>
  </si>
  <si>
    <t>AV EL TEJAR Y LA ORTIGA</t>
  </si>
  <si>
    <t>carlosmosqueramoreno@hotmail.com</t>
  </si>
  <si>
    <t>0994132660 0998214894</t>
  </si>
  <si>
    <t>C0367</t>
  </si>
  <si>
    <t>C0415</t>
  </si>
  <si>
    <t>C0460</t>
  </si>
  <si>
    <t>C0504</t>
  </si>
  <si>
    <t>LEON PAREDES ANGEL RIGOBERTO</t>
  </si>
  <si>
    <t>172.18.1.15</t>
  </si>
  <si>
    <t>0105463962</t>
  </si>
  <si>
    <t>LA LOMA DE LA HERMITA</t>
  </si>
  <si>
    <t>leonparedes2001@gmail.com</t>
  </si>
  <si>
    <t>0995282564 4138425</t>
  </si>
  <si>
    <t>134508</t>
  </si>
  <si>
    <t>FAJARDO ALVARRACIN NELI ESPERANZA</t>
  </si>
  <si>
    <t>172.18.2.24</t>
  </si>
  <si>
    <t>0103747374</t>
  </si>
  <si>
    <t>AV DEL TEJAR CERCA A LA ESCUAELA JESUS V</t>
  </si>
  <si>
    <t>0987610096</t>
  </si>
  <si>
    <t>TENEPAGUAY PANGOL ENMA JOHANA</t>
  </si>
  <si>
    <t>172.18.1.26</t>
  </si>
  <si>
    <t>0104728498</t>
  </si>
  <si>
    <t>SAN MIGUEL LA HERMITA</t>
  </si>
  <si>
    <t>johannatenepaguay@gmail.com</t>
  </si>
  <si>
    <r>
      <rPr>
        <sz val="10"/>
        <color rgb="FFFF0000"/>
        <rFont val="Arial"/>
        <charset val="134"/>
      </rPr>
      <t>0983586299</t>
    </r>
    <r>
      <rPr>
        <sz val="10"/>
        <color theme="1"/>
        <rFont val="Arial"/>
        <charset val="134"/>
      </rPr>
      <t xml:space="preserve"> 0986251027 1 (929) 507-2392 </t>
    </r>
  </si>
  <si>
    <t>C0368</t>
  </si>
  <si>
    <t>C0416</t>
  </si>
  <si>
    <t>C0461</t>
  </si>
  <si>
    <t>C0505</t>
  </si>
  <si>
    <t>041</t>
  </si>
  <si>
    <t>SANGURIMA BERMEO JORGE TEODORO</t>
  </si>
  <si>
    <t>172.18.1.16</t>
  </si>
  <si>
    <t>0302101902</t>
  </si>
  <si>
    <t>SAYAUSI - SECTOR LA HERMITA</t>
  </si>
  <si>
    <t>georgesangurima@hotmail.com</t>
  </si>
  <si>
    <t>0982322878 0999141729</t>
  </si>
  <si>
    <t>RAMON  ORDOÑEZ JESSICA ALEXANDRA</t>
  </si>
  <si>
    <t>10.68.2.254</t>
  </si>
  <si>
    <t>0105768022</t>
  </si>
  <si>
    <t>LOS LADRILLEROS</t>
  </si>
  <si>
    <t>jessicaalexis52510@gmail.com</t>
  </si>
  <si>
    <t>0997192807 0968967821</t>
  </si>
  <si>
    <t>BACULIMA LEON LUZ VERONICA</t>
  </si>
  <si>
    <t>172.18.1.18</t>
  </si>
  <si>
    <t>0103995767</t>
  </si>
  <si>
    <t>SAN MIGUEL SECTOR EL PROGRESO</t>
  </si>
  <si>
    <t>veronicabaculima@gmail.com</t>
  </si>
  <si>
    <t>0959616296 4189060</t>
  </si>
  <si>
    <t>C0354</t>
  </si>
  <si>
    <t>C0386</t>
  </si>
  <si>
    <t>14/3/2026</t>
  </si>
  <si>
    <t>C0436</t>
  </si>
  <si>
    <t>C02735</t>
  </si>
  <si>
    <t>MUÑOZ MUÑOZ AIDA JOSEFA</t>
  </si>
  <si>
    <t>172.18.6.3</t>
  </si>
  <si>
    <t>0106036081</t>
  </si>
  <si>
    <t>BUENOS AIRES SECTOR CEBADAPAMBA</t>
  </si>
  <si>
    <t>CONSUMIDOR FINAL</t>
  </si>
  <si>
    <t>0969499237</t>
  </si>
  <si>
    <t>138510</t>
  </si>
  <si>
    <t>SOLIS GUITIERRES HECTOR ROMAN</t>
  </si>
  <si>
    <t>172.18.6.2</t>
  </si>
  <si>
    <t>36</t>
  </si>
  <si>
    <t>0103487575</t>
  </si>
  <si>
    <t>BUENOS AIRES SECTOR MUYERINA</t>
  </si>
  <si>
    <t>mauricioguarango385@gmail.com</t>
  </si>
  <si>
    <t>0963004541 0998828811</t>
  </si>
  <si>
    <t>128529</t>
  </si>
  <si>
    <t>142038</t>
  </si>
  <si>
    <t>GOMEZ SANGURIMA MARCO OSWALDO (PAPAS)</t>
  </si>
  <si>
    <t>172.18.1.20</t>
  </si>
  <si>
    <t>0992504946  074189279</t>
  </si>
  <si>
    <t>PAREDES TENEPAGUAY MIRIAM JANETH</t>
  </si>
  <si>
    <t>172.18.1.21</t>
  </si>
  <si>
    <t>0105753040</t>
  </si>
  <si>
    <r>
      <rPr>
        <sz val="10"/>
        <color theme="1"/>
        <rFont val="Arial"/>
        <charset val="134"/>
      </rPr>
      <t>0983923428</t>
    </r>
    <r>
      <rPr>
        <sz val="10"/>
        <color theme="1"/>
        <rFont val="Arial"/>
        <charset val="134"/>
      </rPr>
      <t xml:space="preserve"> 0984032934</t>
    </r>
  </si>
  <si>
    <t>C0369</t>
  </si>
  <si>
    <t>C0417</t>
  </si>
  <si>
    <t>C0462</t>
  </si>
  <si>
    <t>C0506</t>
  </si>
  <si>
    <t>SOLIS GUTIERRES LUIS ABELARDO</t>
  </si>
  <si>
    <t>172.18.1.52</t>
  </si>
  <si>
    <t>0103909123</t>
  </si>
  <si>
    <t>BUENOS AIRES, SECTOR MOLLERINA</t>
  </si>
  <si>
    <t>0983435461</t>
  </si>
  <si>
    <t>ALVARADO JIMENEZ SANDRA PATRICIA</t>
  </si>
  <si>
    <t>172.18.2.30</t>
  </si>
  <si>
    <t>0105391759</t>
  </si>
  <si>
    <t>SAN MIGUEL SECTOR QUINTA CARMITA</t>
  </si>
  <si>
    <t>alevizh01@gmail.com</t>
  </si>
  <si>
    <t>0969675884 0986364408</t>
  </si>
  <si>
    <t>C02405</t>
  </si>
  <si>
    <t>128531</t>
  </si>
  <si>
    <t>C0418</t>
  </si>
  <si>
    <t>C0463</t>
  </si>
  <si>
    <t>C0507</t>
  </si>
  <si>
    <t>GARCIA SOLIS JULIA LETICIA</t>
  </si>
  <si>
    <t>172.18.2.31</t>
  </si>
  <si>
    <t>0102072923</t>
  </si>
  <si>
    <t>AV. ORDOÑEZ LAZO SECTOR 5 ESQUINAS</t>
  </si>
  <si>
    <t>juliag1887@gmail.com</t>
  </si>
  <si>
    <t>0988281009 0994145780</t>
  </si>
  <si>
    <t>ORTIZ QUIROZ JONNATHAN FABRICIO</t>
  </si>
  <si>
    <t>172.18.6.7</t>
  </si>
  <si>
    <t>0105716641</t>
  </si>
  <si>
    <t>CAMINO DEL TEJAR Y DE LA MENTA</t>
  </si>
  <si>
    <t>jhonlion2107@gmail.com</t>
  </si>
  <si>
    <t>0990795612 0990893872</t>
  </si>
  <si>
    <t>056sayajonnathano</t>
  </si>
  <si>
    <t>125419</t>
  </si>
  <si>
    <t>141506</t>
  </si>
  <si>
    <t>GRANDA MOROCHO MACLOVIA MERCEDES</t>
  </si>
  <si>
    <t>172.18.1.22</t>
  </si>
  <si>
    <t>0104854542</t>
  </si>
  <si>
    <t>0983385789</t>
  </si>
  <si>
    <t>C0355</t>
  </si>
  <si>
    <t>129774</t>
  </si>
  <si>
    <t>C0387</t>
  </si>
  <si>
    <t>C0437</t>
  </si>
  <si>
    <t>142040</t>
  </si>
  <si>
    <t>C02736</t>
  </si>
  <si>
    <t>059</t>
  </si>
  <si>
    <t>CORTE VALENCIA ESTHER GUILLERMINA</t>
  </si>
  <si>
    <t>172.18.2.34</t>
  </si>
  <si>
    <t>0105119705</t>
  </si>
  <si>
    <t>AV. ORDONEZ LASSO</t>
  </si>
  <si>
    <t>corteandrea11@gmail.com</t>
  </si>
  <si>
    <t>0994972993 0993469867 0989692689 0991025960</t>
  </si>
  <si>
    <t>C0370</t>
  </si>
  <si>
    <t>133870</t>
  </si>
  <si>
    <t>C0419</t>
  </si>
  <si>
    <t>C0464</t>
  </si>
  <si>
    <t>C0508</t>
  </si>
  <si>
    <t>060</t>
  </si>
  <si>
    <t>SOLORZANO CALLE KAISER APOLINARIO</t>
  </si>
  <si>
    <t>172.18.2.35</t>
  </si>
  <si>
    <t>0105471767</t>
  </si>
  <si>
    <t>AV. ORNODEZ LASSO Y DE LA ORTIGA</t>
  </si>
  <si>
    <t>geovannyminchala123@gmail.com</t>
  </si>
  <si>
    <t>0959157268 0968551601</t>
  </si>
  <si>
    <t>133872</t>
  </si>
  <si>
    <t>143113</t>
  </si>
  <si>
    <t>SOLORZANO CALLE KAISER APOLINARIO (LOCAL)</t>
  </si>
  <si>
    <t>172.18.2.49</t>
  </si>
  <si>
    <t>CALLE DEL TEJAR Y VIA A SAN MIGUEL</t>
  </si>
  <si>
    <t>0959157268  09686551601</t>
  </si>
  <si>
    <t>133874</t>
  </si>
  <si>
    <t>143115</t>
  </si>
  <si>
    <t>064</t>
  </si>
  <si>
    <t xml:space="preserve">MOROCHO ROMERO DIANA MARLENE </t>
  </si>
  <si>
    <t>172.18.2.39</t>
  </si>
  <si>
    <t>1105991945</t>
  </si>
  <si>
    <t>AV. ORDOÑEZ LASSO Y HIERVA LUISA</t>
  </si>
  <si>
    <t>marlemfresita02@gmail.com</t>
  </si>
  <si>
    <t>0991356989 0990278334</t>
  </si>
  <si>
    <t>ZARUMA SANGURIMA CRUZ CELINDA</t>
  </si>
  <si>
    <t>172.18.1.50</t>
  </si>
  <si>
    <t>0105398747</t>
  </si>
  <si>
    <t>SECTOR INGAPIRCA SAYAUSI</t>
  </si>
  <si>
    <t>sangurimacelinda@gmail.com</t>
  </si>
  <si>
    <r>
      <rPr>
        <sz val="10"/>
        <color theme="1"/>
        <rFont val="Arial"/>
        <charset val="134"/>
      </rPr>
      <t xml:space="preserve">0964072104 0939368877 0995341685 </t>
    </r>
    <r>
      <rPr>
        <b/>
        <sz val="10"/>
        <color theme="1"/>
        <rFont val="Arial"/>
        <charset val="134"/>
      </rPr>
      <t>0958726529</t>
    </r>
  </si>
  <si>
    <t>C0371</t>
  </si>
  <si>
    <t>C0420</t>
  </si>
  <si>
    <t>C0465</t>
  </si>
  <si>
    <t>9/04/2026</t>
  </si>
  <si>
    <t>C0485</t>
  </si>
  <si>
    <t>068</t>
  </si>
  <si>
    <t>MORALES TIÑAGAÑAY JORGE ENRIQUE (ENTRADA SAN MIGUEL)</t>
  </si>
  <si>
    <t>172.18.2.42</t>
  </si>
  <si>
    <t>0107113441</t>
  </si>
  <si>
    <t>CALLE CARLOS ELIZABETH VELASQUEZ Y ENTRADA A SAN MIGUEL</t>
  </si>
  <si>
    <t>jorge.enrique14@hotmail.com</t>
  </si>
  <si>
    <r>
      <rPr>
        <b/>
        <sz val="10"/>
        <color theme="1"/>
        <rFont val="Arial"/>
        <charset val="134"/>
      </rPr>
      <t>0968917250</t>
    </r>
    <r>
      <rPr>
        <sz val="10"/>
        <color theme="1"/>
        <rFont val="Arial"/>
        <charset val="134"/>
      </rPr>
      <t xml:space="preserve"> 0983851053 0964161277</t>
    </r>
  </si>
  <si>
    <t>CORTE VALENCIA MARIA CLOTILDE</t>
  </si>
  <si>
    <t>172.18.1.24</t>
  </si>
  <si>
    <t>0106357635</t>
  </si>
  <si>
    <t>SAN MIGUEL SECTOR MEDIA HERMITA</t>
  </si>
  <si>
    <r>
      <rPr>
        <sz val="10"/>
        <color theme="1"/>
        <rFont val="Arial"/>
        <charset val="134"/>
      </rPr>
      <t>0986216436</t>
    </r>
    <r>
      <rPr>
        <sz val="10"/>
        <color theme="1"/>
        <rFont val="Arial"/>
        <charset val="134"/>
      </rPr>
      <t xml:space="preserve"> 0989186536 0989692689</t>
    </r>
  </si>
  <si>
    <t>C0372</t>
  </si>
  <si>
    <t>C0421</t>
  </si>
  <si>
    <t>C0466</t>
  </si>
  <si>
    <t>C0509</t>
  </si>
  <si>
    <t>CAJAMARCA QUITUISACA MARIA MANUELA</t>
  </si>
  <si>
    <t>172.18.1.25</t>
  </si>
  <si>
    <t>0102457447</t>
  </si>
  <si>
    <t>SAN MIGUEL MEDIA LA HERMITA</t>
  </si>
  <si>
    <t>kevinuyga@gmail.com</t>
  </si>
  <si>
    <t>0939085236 0994043203</t>
  </si>
  <si>
    <t>20/1/2026</t>
  </si>
  <si>
    <t>125421</t>
  </si>
  <si>
    <t>141508</t>
  </si>
  <si>
    <t>PEÑALOZA DOMINGUEZ HECTOR GABRIEL</t>
  </si>
  <si>
    <t>172.18.2.43</t>
  </si>
  <si>
    <t>0104862024</t>
  </si>
  <si>
    <t>AV. ORDOÑEZ LASSO Y SIN RETORNO</t>
  </si>
  <si>
    <t>penalozahector400@gmail.com</t>
  </si>
  <si>
    <t>0992672160</t>
  </si>
  <si>
    <t>C0373</t>
  </si>
  <si>
    <t>C0422</t>
  </si>
  <si>
    <t>C0467</t>
  </si>
  <si>
    <t>C0510</t>
  </si>
  <si>
    <t>GUNCAY MOROCHO RUTH SELENA</t>
  </si>
  <si>
    <t>172.18.1.27</t>
  </si>
  <si>
    <t>0107413965</t>
  </si>
  <si>
    <t xml:space="preserve">VIA SAN MIGUEL Y TEODORO LEON </t>
  </si>
  <si>
    <t>selenaguncay8@gmail.com</t>
  </si>
  <si>
    <r>
      <rPr>
        <sz val="10"/>
        <color theme="1"/>
        <rFont val="Arial"/>
        <charset val="134"/>
      </rPr>
      <t>0995674041</t>
    </r>
    <r>
      <rPr>
        <sz val="10"/>
        <color theme="1"/>
        <rFont val="Arial"/>
        <charset val="134"/>
      </rPr>
      <t xml:space="preserve"> 0984903456</t>
    </r>
  </si>
  <si>
    <t>2/15/2023</t>
  </si>
  <si>
    <t>SARANGO PERALTA MONICA ALEXANDRA</t>
  </si>
  <si>
    <t>172.18.2.45</t>
  </si>
  <si>
    <t>0105359020</t>
  </si>
  <si>
    <t>ELIZABETH VELASQUEZ Y CAMINO A SAN MIGUEL DE PUTUSHI</t>
  </si>
  <si>
    <t>dcmoni_sp@hotmail.es</t>
  </si>
  <si>
    <t>0984730996 074189496</t>
  </si>
  <si>
    <t>24/04/2026</t>
  </si>
  <si>
    <t>075</t>
  </si>
  <si>
    <t xml:space="preserve">GUAMAN CRIOLLO ERIKA GABRIELA </t>
  </si>
  <si>
    <t>172.18.2.46</t>
  </si>
  <si>
    <t>0106760457</t>
  </si>
  <si>
    <t>CALLE HIERBA LUISA Y AV. DEL TEJAR</t>
  </si>
  <si>
    <t>eryka69@outlook.es</t>
  </si>
  <si>
    <t>0992938044 0992933044 0984045561</t>
  </si>
  <si>
    <t>129776</t>
  </si>
  <si>
    <t>137518</t>
  </si>
  <si>
    <t>141510</t>
  </si>
  <si>
    <t>076</t>
  </si>
  <si>
    <t>LOJA ORELLANA TANIA MARISOL</t>
  </si>
  <si>
    <t>172.18.2.47</t>
  </si>
  <si>
    <t>0106839558</t>
  </si>
  <si>
    <t>CALLE HIERBA LUISA ENTRE AV. ORDOÑEZ LASSO Y TEJAR</t>
  </si>
  <si>
    <t>0939875522  0992270068</t>
  </si>
  <si>
    <t>76sayatanial</t>
  </si>
  <si>
    <t>144634</t>
  </si>
  <si>
    <t>MALO ANDRADE JESSICA KARINA</t>
  </si>
  <si>
    <t>172.18.2.48</t>
  </si>
  <si>
    <t>0151311164</t>
  </si>
  <si>
    <t>AV. ORDOÑEZ LASSO Y HIERBA LUISA</t>
  </si>
  <si>
    <t>rosendo2000zeas@gmail.com</t>
  </si>
  <si>
    <t>0992886082</t>
  </si>
  <si>
    <t>C0374</t>
  </si>
  <si>
    <t>128533</t>
  </si>
  <si>
    <t>C0423</t>
  </si>
  <si>
    <t>C0468</t>
  </si>
  <si>
    <t>142042</t>
  </si>
  <si>
    <t>C0511</t>
  </si>
  <si>
    <t>079</t>
  </si>
  <si>
    <t>ORTEGA GUAZHAMBO ALEXANDRA JAQUELINE</t>
  </si>
  <si>
    <t>172.18.2.50</t>
  </si>
  <si>
    <t>0102909355</t>
  </si>
  <si>
    <t>AV. TEJAR Y CDLA. ORTIGA</t>
  </si>
  <si>
    <t>alex_ortega37@hotmail.com</t>
  </si>
  <si>
    <t>0979416070  0927103326</t>
  </si>
  <si>
    <t>C0384</t>
  </si>
  <si>
    <t>17.04</t>
  </si>
  <si>
    <t>HERNANDEZ SANCHEZ EDWARD JOSE (FML)</t>
  </si>
  <si>
    <t>172.18.2.53</t>
  </si>
  <si>
    <t>0152128260</t>
  </si>
  <si>
    <t>AV. ORDOÑEZ LASSO FRENTE GASOLINERA PRIMAX</t>
  </si>
  <si>
    <t>edwjosher@gmail.com</t>
  </si>
  <si>
    <t>0981990894 0979409621 0995818946  0981718224</t>
  </si>
  <si>
    <t>CALLE PERALTA CLARA FILOMENA</t>
  </si>
  <si>
    <t>172.18.2.54</t>
  </si>
  <si>
    <t>0102330420</t>
  </si>
  <si>
    <t>AV. DEL TEJAR ENTRE CALLE LA MENTA Y HIERBALUISA</t>
  </si>
  <si>
    <t>0998534381  0959157268</t>
  </si>
  <si>
    <t>HUNT BETTY JANE</t>
  </si>
  <si>
    <t>LK931490</t>
  </si>
  <si>
    <t>VIA SAN MIGUEL DE PUTUZHI</t>
  </si>
  <si>
    <t>amberlee101@protonmail.com</t>
  </si>
  <si>
    <t>0978797350 0963154411</t>
  </si>
  <si>
    <t>YUMBO ANDI FABIAN JHONATAN</t>
  </si>
  <si>
    <t>172.18.2.56</t>
  </si>
  <si>
    <t>2200433205</t>
  </si>
  <si>
    <t>CALLE DEL OREGANO Y AV. ORDOÑEZ LASSO</t>
  </si>
  <si>
    <t>lojat1990@gmail.com</t>
  </si>
  <si>
    <t>0939782332</t>
  </si>
  <si>
    <t>83safabiany</t>
  </si>
  <si>
    <t>C0375</t>
  </si>
  <si>
    <t>128536</t>
  </si>
  <si>
    <t>C0424</t>
  </si>
  <si>
    <t>C0469</t>
  </si>
  <si>
    <t>142092</t>
  </si>
  <si>
    <t>C0512</t>
  </si>
  <si>
    <t xml:space="preserve">SEVILLANO ULLOA LEIDY MARIA </t>
  </si>
  <si>
    <t>172.18.1.28</t>
  </si>
  <si>
    <t>0804132140</t>
  </si>
  <si>
    <t>sevillanoleidymaria@gmail.com</t>
  </si>
  <si>
    <t>0999379038 0997033774 0985587882</t>
  </si>
  <si>
    <t>086sayaleidys</t>
  </si>
  <si>
    <t>C0376</t>
  </si>
  <si>
    <t>215996</t>
  </si>
  <si>
    <t>C0425</t>
  </si>
  <si>
    <t>C0470</t>
  </si>
  <si>
    <t>C0513</t>
  </si>
  <si>
    <t>087</t>
  </si>
  <si>
    <t>SEGARRA VALAREZO PRISCILA ELIZABETH</t>
  </si>
  <si>
    <t>172.18.2.29</t>
  </si>
  <si>
    <t>0704288737</t>
  </si>
  <si>
    <t>AV. ORDOÑEZ LASSO FRENTE A LA BOMBA PRIMAX</t>
  </si>
  <si>
    <t>priscilasegarra6@gmail.com</t>
  </si>
  <si>
    <t>0988347319</t>
  </si>
  <si>
    <t>PINTADO SANGURIMA VIVIANA ESTEFANIA</t>
  </si>
  <si>
    <t>172.18.1.30</t>
  </si>
  <si>
    <t>0107197253</t>
  </si>
  <si>
    <t>LA HERMITA SAN MIGUEL</t>
  </si>
  <si>
    <t>stevensangurima05@hotmail.com</t>
  </si>
  <si>
    <t>0985738258 0979433402</t>
  </si>
  <si>
    <t>88sayavivianap</t>
  </si>
  <si>
    <t>AJILA ORELLANA CARLOS HIGINIO</t>
  </si>
  <si>
    <t>172.18.2.59</t>
  </si>
  <si>
    <t>0703488247</t>
  </si>
  <si>
    <t>ajilacarlos158@gmail.com</t>
  </si>
  <si>
    <t>0991880500 0989485278</t>
  </si>
  <si>
    <t>128540</t>
  </si>
  <si>
    <t>138506</t>
  </si>
  <si>
    <t>143117</t>
  </si>
  <si>
    <t>MORALES TENEGAÑAY JORGE ENRIQUE (SAN MIGUEL)</t>
  </si>
  <si>
    <t>172.18.2.61</t>
  </si>
  <si>
    <t>SN</t>
  </si>
  <si>
    <t>CAMINO SAN MIGUEL DE PUTUSHI</t>
  </si>
  <si>
    <t xml:space="preserve">0939114040 0983137827 </t>
  </si>
  <si>
    <t>129778</t>
  </si>
  <si>
    <t>092</t>
  </si>
  <si>
    <t>OCHOA HURTADO HORTENCIA GUILLERMINA</t>
  </si>
  <si>
    <t>172.18.2.62</t>
  </si>
  <si>
    <t>0103562120</t>
  </si>
  <si>
    <t>CALLE DE LA MENTA Y LOS MATORRALES</t>
  </si>
  <si>
    <t>betty0210@live.com</t>
  </si>
  <si>
    <t>0983451887 0981228718</t>
  </si>
  <si>
    <t>ZEAS PRADO LUIS MARIO</t>
  </si>
  <si>
    <t>172.18.4.4</t>
  </si>
  <si>
    <t>0102302643</t>
  </si>
  <si>
    <t>AV. ORDOÑEZ LASSO (BARRIO SANTA MARÍA)</t>
  </si>
  <si>
    <t>Zeasbraulio29@gmail.com</t>
  </si>
  <si>
    <t>0939294084</t>
  </si>
  <si>
    <t>C0356</t>
  </si>
  <si>
    <t>125423</t>
  </si>
  <si>
    <t>C0388</t>
  </si>
  <si>
    <t>C0438</t>
  </si>
  <si>
    <t>141512</t>
  </si>
  <si>
    <t>C02737</t>
  </si>
  <si>
    <t>094</t>
  </si>
  <si>
    <t>SOLANO QUEZADA RAUL FERNANDO</t>
  </si>
  <si>
    <t>172.18.2.64</t>
  </si>
  <si>
    <t>1727301028</t>
  </si>
  <si>
    <t>raulsolano455@gmail.com</t>
  </si>
  <si>
    <t>0960234479</t>
  </si>
  <si>
    <t>94sayarauls</t>
  </si>
  <si>
    <t>C0377</t>
  </si>
  <si>
    <t>C0426</t>
  </si>
  <si>
    <t>C0471</t>
  </si>
  <si>
    <t>C0514</t>
  </si>
  <si>
    <t>095</t>
  </si>
  <si>
    <t>ALVARRACIN GUTAMA JONATHAN RAFAEL</t>
  </si>
  <si>
    <t>172.18.2.65</t>
  </si>
  <si>
    <t>0106757537</t>
  </si>
  <si>
    <t>CALLE AV. EL TEJAR Y DE LA ORTIGA</t>
  </si>
  <si>
    <t>jhonagutama3@gmail.com</t>
  </si>
  <si>
    <r>
      <rPr>
        <sz val="10"/>
        <color theme="1"/>
        <rFont val="Arial"/>
        <charset val="134"/>
      </rPr>
      <t xml:space="preserve">0968301253 </t>
    </r>
    <r>
      <rPr>
        <b/>
        <sz val="10"/>
        <color theme="1"/>
        <rFont val="Arial"/>
        <charset val="134"/>
      </rPr>
      <t>+593 99 337 7095</t>
    </r>
  </si>
  <si>
    <t>95sayamarlona</t>
  </si>
  <si>
    <t>LIBRE ED ERICK</t>
  </si>
  <si>
    <t>ESPINOZA QUEVEDO BARBARA</t>
  </si>
  <si>
    <t>172.18.2.67</t>
  </si>
  <si>
    <t>2100551122</t>
  </si>
  <si>
    <t>barbaraespinoza90@gmail.com</t>
  </si>
  <si>
    <t>0958839333</t>
  </si>
  <si>
    <t>LOJA GUAILLAS ERICK FABRICIO (EDIFICIO) (WILMER)</t>
  </si>
  <si>
    <t>172.18.3.16</t>
  </si>
  <si>
    <t>0105785976</t>
  </si>
  <si>
    <t>erickloja.notificaciones@gmail.com</t>
  </si>
  <si>
    <t>0962709482 0984843198</t>
  </si>
  <si>
    <t>098sayaerickl</t>
  </si>
  <si>
    <t>VELEZ MALDONADO JOHANA MARITZA</t>
  </si>
  <si>
    <t>172.18.3.20</t>
  </si>
  <si>
    <t>0107184632</t>
  </si>
  <si>
    <t>jvelezmaldonado8@gmail.com</t>
  </si>
  <si>
    <t>0968907019 0994610909</t>
  </si>
  <si>
    <t>TACURI PULLA JUAN PABLO</t>
  </si>
  <si>
    <t>172.18.3.2</t>
  </si>
  <si>
    <t>0106181191</t>
  </si>
  <si>
    <t>jpablo-tacuri@hotmail.com</t>
  </si>
  <si>
    <t>0960086627</t>
  </si>
  <si>
    <t>100sayajuant</t>
  </si>
  <si>
    <t>C0347</t>
  </si>
  <si>
    <t>C0390</t>
  </si>
  <si>
    <t>C0440</t>
  </si>
  <si>
    <t>C02739</t>
  </si>
  <si>
    <t>1/5/2026</t>
  </si>
  <si>
    <t>SANCHEZ OROZCO VERONICA ALEXANDRA (HERMANO)</t>
  </si>
  <si>
    <t>172.18.3.3</t>
  </si>
  <si>
    <t>0601840119</t>
  </si>
  <si>
    <t>AV. DEL TEJAR Y CALLE LA MENTA</t>
  </si>
  <si>
    <t>sanchezalexandra@live.com</t>
  </si>
  <si>
    <t>0989830701</t>
  </si>
  <si>
    <t>102sayaveronicas</t>
  </si>
  <si>
    <t>SANCHEZ OROZCO VERONICA ALEXANDRA</t>
  </si>
  <si>
    <t>172.18.3.4</t>
  </si>
  <si>
    <t>AV.DEL TEJAR Y CALLE LA MENTA</t>
  </si>
  <si>
    <t>CARCHI CABRERA ERIKA JOHANNA</t>
  </si>
  <si>
    <t>172.18.3.5</t>
  </si>
  <si>
    <t>0106853328</t>
  </si>
  <si>
    <t>erikacarchicabrera@gmail.com</t>
  </si>
  <si>
    <t>0988860160</t>
  </si>
  <si>
    <t>103sayaerikac</t>
  </si>
  <si>
    <t>C0348</t>
  </si>
  <si>
    <t>C0391</t>
  </si>
  <si>
    <t>C0441</t>
  </si>
  <si>
    <t>C02740</t>
  </si>
  <si>
    <t>AZOCAR GUERRA DARYANA CAROLINA</t>
  </si>
  <si>
    <t>172.18.2.86</t>
  </si>
  <si>
    <t>V26.720.952</t>
  </si>
  <si>
    <t>SUBIDA A SAN MIGUEL</t>
  </si>
  <si>
    <t>azocardari@gmail.com</t>
  </si>
  <si>
    <t>0963854218</t>
  </si>
  <si>
    <r>
      <rPr>
        <u/>
        <sz val="10"/>
        <color rgb="FF00FF00"/>
        <rFont val="Arial"/>
        <charset val="134"/>
      </rPr>
      <t>104sayadaryanaa</t>
    </r>
  </si>
  <si>
    <t>128818</t>
  </si>
  <si>
    <t xml:space="preserve">BUESTAN GUTIERREZ PABLO FABIAN </t>
  </si>
  <si>
    <t>172.18.3.7</t>
  </si>
  <si>
    <t>SIN</t>
  </si>
  <si>
    <r>
      <rPr>
        <u/>
        <sz val="10"/>
        <color rgb="FFFF0000"/>
        <rFont val="Arial"/>
        <charset val="134"/>
      </rPr>
      <t>105sayapablob</t>
    </r>
  </si>
  <si>
    <t>TENECORA ORELLANA RUBENIA MARGOTH</t>
  </si>
  <si>
    <t>172.18.3.8</t>
  </si>
  <si>
    <t>0104119821</t>
  </si>
  <si>
    <t>rubenia_tenecora27@hotmail.com</t>
  </si>
  <si>
    <t>0998625573</t>
  </si>
  <si>
    <r>
      <rPr>
        <u/>
        <sz val="10"/>
        <color rgb="FF00FF00"/>
        <rFont val="Arial"/>
        <charset val="134"/>
      </rPr>
      <t>106sayarubeniam</t>
    </r>
  </si>
  <si>
    <t>GUAILLAS CARANQUI CARLOS RAMIRO</t>
  </si>
  <si>
    <t>172.18.3.9</t>
  </si>
  <si>
    <t>0103762134</t>
  </si>
  <si>
    <t>liderazgoyestudio@gmail.com</t>
  </si>
  <si>
    <t>0963273939</t>
  </si>
  <si>
    <t>C0358</t>
  </si>
  <si>
    <t>C0392</t>
  </si>
  <si>
    <t>C0442</t>
  </si>
  <si>
    <t>C02741</t>
  </si>
  <si>
    <t xml:space="preserve">SIGUENCIA DELGADO LUIS ANGEL </t>
  </si>
  <si>
    <t>172.18.1.43</t>
  </si>
  <si>
    <t>0928998673</t>
  </si>
  <si>
    <t>luchoflow1990@gmail.com</t>
  </si>
  <si>
    <t>0999853460 0989892052</t>
  </si>
  <si>
    <r>
      <rPr>
        <u/>
        <sz val="10"/>
        <color rgb="FF00FF00"/>
        <rFont val="Arial"/>
        <charset val="134"/>
      </rPr>
      <t>108sayaluiss</t>
    </r>
  </si>
  <si>
    <t>MINCHALO RIERA WILSON CIRILO</t>
  </si>
  <si>
    <t>172.18.1.31</t>
  </si>
  <si>
    <t>0104154216</t>
  </si>
  <si>
    <t xml:space="preserve">SAN MIGUEL </t>
  </si>
  <si>
    <t>wilsonminchalo76@gmail.com</t>
  </si>
  <si>
    <t>0997593462</t>
  </si>
  <si>
    <t>109sayawilsonm</t>
  </si>
  <si>
    <t>C0378</t>
  </si>
  <si>
    <t>133878</t>
  </si>
  <si>
    <t>C0427</t>
  </si>
  <si>
    <t>C0472</t>
  </si>
  <si>
    <t>C0515</t>
  </si>
  <si>
    <t>QUINDE CAICEDO NICOLE</t>
  </si>
  <si>
    <t>172.18.3.11</t>
  </si>
  <si>
    <t>0941072506001</t>
  </si>
  <si>
    <t>AV. TEJAR Y CALLE DE LA MENTA</t>
  </si>
  <si>
    <t>caicedonicole720@gmail.com</t>
  </si>
  <si>
    <t>0981417874</t>
  </si>
  <si>
    <t>110sayamiriamm</t>
  </si>
  <si>
    <t>C0359</t>
  </si>
  <si>
    <t>C0393</t>
  </si>
  <si>
    <t>C0443</t>
  </si>
  <si>
    <t>C02742</t>
  </si>
  <si>
    <t>ENRIQUEZ ENRIQUEZ MONICA DEL ROSARIO</t>
  </si>
  <si>
    <t>172.18.2.71</t>
  </si>
  <si>
    <t>0105696017</t>
  </si>
  <si>
    <t>monyenr26@gmail.com</t>
  </si>
  <si>
    <t>0968021224</t>
  </si>
  <si>
    <t>96sayamonicae</t>
  </si>
  <si>
    <t>C0349</t>
  </si>
  <si>
    <t>129780</t>
  </si>
  <si>
    <t>C0394</t>
  </si>
  <si>
    <t>C0444</t>
  </si>
  <si>
    <t>C02743</t>
  </si>
  <si>
    <t>QUIÑONEZ QUIÑONEZ MARIA DIANA</t>
  </si>
  <si>
    <t>172.18.1.32</t>
  </si>
  <si>
    <t>0918912486</t>
  </si>
  <si>
    <t>dianaquinonez624@gmail.com</t>
  </si>
  <si>
    <t>0988363530 0994465266</t>
  </si>
  <si>
    <r>
      <rPr>
        <u/>
        <sz val="10"/>
        <color rgb="FF00FF00"/>
        <rFont val="Arial"/>
        <charset val="134"/>
      </rPr>
      <t>112sayamariaq</t>
    </r>
  </si>
  <si>
    <t>C0379</t>
  </si>
  <si>
    <t>C0428</t>
  </si>
  <si>
    <t>C0473</t>
  </si>
  <si>
    <t>322193</t>
  </si>
  <si>
    <t>C0516</t>
  </si>
  <si>
    <t>172.18.1.33</t>
  </si>
  <si>
    <t>SUBIDA A LA HERMITA</t>
  </si>
  <si>
    <t>0980444195</t>
  </si>
  <si>
    <t>113sayajhoanac</t>
  </si>
  <si>
    <t>.800M/800M</t>
  </si>
  <si>
    <t>MUÑOZ ALVAREZ LILIAN MARLENE</t>
  </si>
  <si>
    <t>172.18.1.35</t>
  </si>
  <si>
    <t>0104769963</t>
  </si>
  <si>
    <t>lilianmunoz414@gmail.com</t>
  </si>
  <si>
    <t>0983149695</t>
  </si>
  <si>
    <t>CRISANTO MOSQUERA DIOGO KLEVER</t>
  </si>
  <si>
    <t>172.18.2.72</t>
  </si>
  <si>
    <t>115sayadiogoc</t>
  </si>
  <si>
    <t>ILLESCAS PATINO EVELYN DANIELA (ED SRA KARLA)</t>
  </si>
  <si>
    <t>172.18.3.12</t>
  </si>
  <si>
    <t>0107065880</t>
  </si>
  <si>
    <t>evelyn19.illescas@gmail.com</t>
  </si>
  <si>
    <t>0999855857</t>
  </si>
  <si>
    <t>116sayaevelyni</t>
  </si>
  <si>
    <t xml:space="preserve">ZAMBRANO GUAILLAS WILMER ANDRES </t>
  </si>
  <si>
    <t>172.18.3.17</t>
  </si>
  <si>
    <t>0106693153</t>
  </si>
  <si>
    <t>AV.DEL TEJAR Y CALLE LA ORTIGA</t>
  </si>
  <si>
    <t>wazg97@gmail.com</t>
  </si>
  <si>
    <t>0962709482</t>
  </si>
  <si>
    <t>117sayawilmerz</t>
  </si>
  <si>
    <t>C02406</t>
  </si>
  <si>
    <t>C0429</t>
  </si>
  <si>
    <t>C0474</t>
  </si>
  <si>
    <t>C0517</t>
  </si>
  <si>
    <t>118</t>
  </si>
  <si>
    <t>ZUMBA SANCHEZ JOHANNA VERONICA</t>
  </si>
  <si>
    <t>172.18.1.36</t>
  </si>
  <si>
    <t>0104587464</t>
  </si>
  <si>
    <t xml:space="preserve">SUBIDA A SAN MIGUEL </t>
  </si>
  <si>
    <t>zujove070899@gmail.com</t>
  </si>
  <si>
    <t>0969063324 0959467166</t>
  </si>
  <si>
    <t>118sayajohannaz</t>
  </si>
  <si>
    <t>SICHA LOJA EVELYN DAYANNA  (ESTEBAN GUTAMA)</t>
  </si>
  <si>
    <t>172.18.3.13</t>
  </si>
  <si>
    <t>0106666142</t>
  </si>
  <si>
    <t>AV. TEJAR Y DE LA ORTIGA</t>
  </si>
  <si>
    <t>evelyndayanna01@gmail.com</t>
  </si>
  <si>
    <t>0987829567 0967001605</t>
  </si>
  <si>
    <t>GOMEZ SANGURIMA ELIANA JACQUELINE</t>
  </si>
  <si>
    <t>172.18.1.37</t>
  </si>
  <si>
    <t>0105364087</t>
  </si>
  <si>
    <t>du.l.cejaky@hotmail.com</t>
  </si>
  <si>
    <t xml:space="preserve">0989109410 0939351271 0989109410 </t>
  </si>
  <si>
    <t>120sayaelianag</t>
  </si>
  <si>
    <t>C0380</t>
  </si>
  <si>
    <t>C0430</t>
  </si>
  <si>
    <t>C0475</t>
  </si>
  <si>
    <t>C0518</t>
  </si>
  <si>
    <t>121</t>
  </si>
  <si>
    <t>GUTAMA CHUNIR RUT FAVIOLA</t>
  </si>
  <si>
    <t>172.18.2.74</t>
  </si>
  <si>
    <t>0105050892</t>
  </si>
  <si>
    <t>SANTA MARIA</t>
  </si>
  <si>
    <t>guutamaruth6@gmail.com</t>
  </si>
  <si>
    <t>0991343433 0998338650</t>
  </si>
  <si>
    <r>
      <rPr>
        <u/>
        <sz val="10"/>
        <color rgb="FF00FF00"/>
        <rFont val="Arial"/>
        <charset val="134"/>
      </rPr>
      <t>121sayaruthg</t>
    </r>
  </si>
  <si>
    <t>C0381</t>
  </si>
  <si>
    <t>129782</t>
  </si>
  <si>
    <t>C0431</t>
  </si>
  <si>
    <t>C0476</t>
  </si>
  <si>
    <t>141514</t>
  </si>
  <si>
    <t>C0519</t>
  </si>
  <si>
    <t>GALARZA CHALCO HOMERO ANIBAL</t>
  </si>
  <si>
    <t>172.18.2.75</t>
  </si>
  <si>
    <t>0104789029</t>
  </si>
  <si>
    <t>CALLE SAN MIGUEL Y CALLE LAS BREVAS</t>
  </si>
  <si>
    <t>anibal.galarza1310@gmail.com</t>
  </si>
  <si>
    <t>0987400084</t>
  </si>
  <si>
    <r>
      <rPr>
        <u/>
        <sz val="10"/>
        <color rgb="FF00FF00"/>
        <rFont val="Arial"/>
        <charset val="134"/>
      </rPr>
      <t>122sayahomerog</t>
    </r>
  </si>
  <si>
    <t>CORONEL JIMENEZ JESSICA ANDREINA</t>
  </si>
  <si>
    <t>172.18.2.76</t>
  </si>
  <si>
    <t>0106348139</t>
  </si>
  <si>
    <t>LAS GROSELLAS SAN MIGUEL</t>
  </si>
  <si>
    <t>jessy22coronel@gmail.com</t>
  </si>
  <si>
    <t>0984305729</t>
  </si>
  <si>
    <r>
      <rPr>
        <u/>
        <sz val="10"/>
        <color rgb="FF00FF00"/>
        <rFont val="Arial"/>
        <charset val="134"/>
      </rPr>
      <t>123sajessicac</t>
    </r>
  </si>
  <si>
    <t>TENEPAGUAY LEON ALEXANDRA PATRICIA</t>
  </si>
  <si>
    <t>172.18.1.38</t>
  </si>
  <si>
    <t>0105778336</t>
  </si>
  <si>
    <t>SAN MIGUEL</t>
  </si>
  <si>
    <t>tenenpaguayalexandra@gmail.com</t>
  </si>
  <si>
    <t>0998396524 0982322878</t>
  </si>
  <si>
    <r>
      <rPr>
        <u/>
        <sz val="10"/>
        <color rgb="FF1155CC"/>
        <rFont val="Arial"/>
        <charset val="134"/>
      </rPr>
      <t>124sayaalexandrat</t>
    </r>
  </si>
  <si>
    <t>CARDENAS VALLADARES VICENTE RODRIGO</t>
  </si>
  <si>
    <t>172.18.3.14</t>
  </si>
  <si>
    <t>0105392559</t>
  </si>
  <si>
    <t>AV. ORDOÑEZ LASSO Y CALLE DEL TEJAR</t>
  </si>
  <si>
    <t>cardenasvicente012@gmail.com</t>
  </si>
  <si>
    <t>0984473370 0993766373</t>
  </si>
  <si>
    <t>C0344</t>
  </si>
  <si>
    <t>C0395</t>
  </si>
  <si>
    <t>C0446</t>
  </si>
  <si>
    <t>CABRERA BURI KARLA FABIOLA</t>
  </si>
  <si>
    <t>172.18.5.3</t>
  </si>
  <si>
    <t>0705912640</t>
  </si>
  <si>
    <t>BUENOS AIRES</t>
  </si>
  <si>
    <t>cabreraburik@gmail.com</t>
  </si>
  <si>
    <t>0984604015 0997228600</t>
  </si>
  <si>
    <t>LARGO CHUQUIMARCA SEGUNDO EUCLIDES</t>
  </si>
  <si>
    <t>172.18.5.4</t>
  </si>
  <si>
    <t>1724780513</t>
  </si>
  <si>
    <t>0990056834</t>
  </si>
  <si>
    <r>
      <rPr>
        <u/>
        <sz val="10"/>
        <color rgb="FF00FF00"/>
        <rFont val="Arial"/>
        <charset val="134"/>
      </rPr>
      <t>126sayasegundoe</t>
    </r>
  </si>
  <si>
    <t>QUINDE PINTADO MARIA MERCEDES</t>
  </si>
  <si>
    <t>172.18.5.5</t>
  </si>
  <si>
    <t>0103471868</t>
  </si>
  <si>
    <t>mercedesqp1976@gmail.com</t>
  </si>
  <si>
    <t>0979353815</t>
  </si>
  <si>
    <r>
      <rPr>
        <u/>
        <sz val="10"/>
        <color rgb="FF00FF00"/>
        <rFont val="Arial"/>
        <charset val="134"/>
      </rPr>
      <t>128sayamariaq</t>
    </r>
  </si>
  <si>
    <t>C0382</t>
  </si>
  <si>
    <t>C0432</t>
  </si>
  <si>
    <t>C0477</t>
  </si>
  <si>
    <t>C0520</t>
  </si>
  <si>
    <t>GUERRERO MORA JUAN ANDRES</t>
  </si>
  <si>
    <t>172.18.3.18</t>
  </si>
  <si>
    <t>0105475552</t>
  </si>
  <si>
    <t>AV. TEJAR Y LA ORTIGA</t>
  </si>
  <si>
    <t>andresguerrero2186@gmail.com</t>
  </si>
  <si>
    <t xml:space="preserve">0984255082 0988420483 </t>
  </si>
  <si>
    <t>C0346</t>
  </si>
  <si>
    <t>C0396</t>
  </si>
  <si>
    <t>C0445</t>
  </si>
  <si>
    <t>C02744</t>
  </si>
  <si>
    <t>SANMARTIN ARIAS BRYAM SEBASTIAN</t>
  </si>
  <si>
    <t>172.18.3.15</t>
  </si>
  <si>
    <t>0988862606 0981835608</t>
  </si>
  <si>
    <t>S</t>
  </si>
  <si>
    <t>ORDOÑEZ JIMENEZ BRYAN XAVIER (WILMER)</t>
  </si>
  <si>
    <t>172.18.2.78</t>
  </si>
  <si>
    <t>0106812415</t>
  </si>
  <si>
    <t>bryamordonez3163@gmail.com</t>
  </si>
  <si>
    <r>
      <rPr>
        <b/>
        <sz val="10"/>
        <color theme="1"/>
        <rFont val="Arial"/>
        <charset val="134"/>
      </rPr>
      <t>0979486821</t>
    </r>
    <r>
      <rPr>
        <sz val="10"/>
        <color theme="1"/>
        <rFont val="Arial"/>
        <charset val="134"/>
      </rPr>
      <t xml:space="preserve"> 0962709482 </t>
    </r>
  </si>
  <si>
    <t xml:space="preserve">WHITE WILLIAM JOSEPH </t>
  </si>
  <si>
    <t>172.18.6.4</t>
  </si>
  <si>
    <t>0150983334</t>
  </si>
  <si>
    <t>MUYERINA SAYAUSI</t>
  </si>
  <si>
    <t>tblairus@yahoo.com</t>
  </si>
  <si>
    <t>0984000057 0939055399</t>
  </si>
  <si>
    <t>GUAMAN NARVAEZ TERESA DE JESUS</t>
  </si>
  <si>
    <t>172.18.6.9</t>
  </si>
  <si>
    <t>0104251483</t>
  </si>
  <si>
    <t>CAMINO A CULEBRILLAS</t>
  </si>
  <si>
    <t>teresaguaman80@hotmail.com</t>
  </si>
  <si>
    <t>0986953201</t>
  </si>
  <si>
    <t>25/4/2026</t>
  </si>
  <si>
    <t>REALPE GARCIA JOHN MAURICIO</t>
  </si>
  <si>
    <t>172.18.6.5</t>
  </si>
  <si>
    <t>0105905251001</t>
  </si>
  <si>
    <t>johnmaury1986@gamil.com</t>
  </si>
  <si>
    <t>0959177514</t>
  </si>
  <si>
    <t>134sayajohnr</t>
  </si>
  <si>
    <t>400M/400M</t>
  </si>
  <si>
    <t xml:space="preserve">BERMEO URGILES GENRI WELINTON </t>
  </si>
  <si>
    <t>172.18.2.79</t>
  </si>
  <si>
    <t>0919998211</t>
  </si>
  <si>
    <t>henrywbermeo22@gmail.com</t>
  </si>
  <si>
    <t>0988944620</t>
  </si>
  <si>
    <t>98sayahenryb</t>
  </si>
  <si>
    <t>ALVAREZ BARROS ANDREA ESTEFANIA</t>
  </si>
  <si>
    <t>172.18.6.6</t>
  </si>
  <si>
    <t>0107582777</t>
  </si>
  <si>
    <t>MOLLERINA, BUENOS AIRES</t>
  </si>
  <si>
    <t>andrea40402@gmail.com</t>
  </si>
  <si>
    <t>0983806943</t>
  </si>
  <si>
    <t>136sayaandreaa</t>
  </si>
  <si>
    <t>LANDIVAR VEGA EDISON DARIO</t>
  </si>
  <si>
    <t>172.18.6.10</t>
  </si>
  <si>
    <t>GARCIA SOLIS JULIO RODRIGO</t>
  </si>
  <si>
    <t>172.18.2.80</t>
  </si>
  <si>
    <t>0102301843</t>
  </si>
  <si>
    <t>0993887454</t>
  </si>
  <si>
    <t>172.18.2.81</t>
  </si>
  <si>
    <t>AV DEL TEJAR Y CALLE DE LA ORTIGA</t>
  </si>
  <si>
    <t>0994610909</t>
  </si>
  <si>
    <t xml:space="preserve">MENDIETA BARSALLO WILLIAN XAVIER </t>
  </si>
  <si>
    <t>172.18.2.82</t>
  </si>
  <si>
    <t>1729934610</t>
  </si>
  <si>
    <t>AV ORDOÑEZ LASSO ATRAS BOMBA PRIMAX</t>
  </si>
  <si>
    <t>william2000mendieta@gmail.com</t>
  </si>
  <si>
    <t>0982824357</t>
  </si>
  <si>
    <t>C0383</t>
  </si>
  <si>
    <t>C0433</t>
  </si>
  <si>
    <t>140959</t>
  </si>
  <si>
    <t>C0478</t>
  </si>
  <si>
    <t>C0521</t>
  </si>
  <si>
    <t>BERMEO URGILES JENNY MARITZA</t>
  </si>
  <si>
    <t>172.18.2.83</t>
  </si>
  <si>
    <t>0105191043</t>
  </si>
  <si>
    <t>papeleriaybazar2021@gmail.com</t>
  </si>
  <si>
    <t>0968432708 0999852349</t>
  </si>
  <si>
    <t>C02400</t>
  </si>
  <si>
    <t>C0397</t>
  </si>
  <si>
    <t>C0447</t>
  </si>
  <si>
    <t>C0490</t>
  </si>
  <si>
    <t>GUAZHA BELTRAN FRANKILN PATRICIO</t>
  </si>
  <si>
    <t>172.18.2.84</t>
  </si>
  <si>
    <t>0106431463</t>
  </si>
  <si>
    <t>AV ORDOÑEZ LASSO FRENTE BOMBA PRIMAX</t>
  </si>
  <si>
    <t>franklinguazha999@gmail.com</t>
  </si>
  <si>
    <t>0980828659</t>
  </si>
  <si>
    <t>125425</t>
  </si>
  <si>
    <t>142096</t>
  </si>
  <si>
    <t xml:space="preserve">BOLIVAR LAYA ANIBAL STIWER </t>
  </si>
  <si>
    <t>172.18.3.22</t>
  </si>
  <si>
    <t>0152527982</t>
  </si>
  <si>
    <t>AV. DEL TEJAR Y CALLE DE LA ORTIGA</t>
  </si>
  <si>
    <t>anibalbolivar41@gmail.com</t>
  </si>
  <si>
    <t>0963614855 0987069614</t>
  </si>
  <si>
    <t>C0350</t>
  </si>
  <si>
    <t>C0398</t>
  </si>
  <si>
    <t>5/3/2026</t>
  </si>
  <si>
    <t>C0448</t>
  </si>
  <si>
    <t>C0491</t>
  </si>
  <si>
    <t>PONCE ESPINOZA MARTHA PAMELA</t>
  </si>
  <si>
    <t>172.18.2.85</t>
  </si>
  <si>
    <t>0957514193</t>
  </si>
  <si>
    <t>maicolsalazaryagual20@gmail.com</t>
  </si>
  <si>
    <t>0986330216</t>
  </si>
  <si>
    <t>144sayaponcem</t>
  </si>
  <si>
    <t>SALCEDO VERA AURIS MARIAN</t>
  </si>
  <si>
    <t>172.18.2.87</t>
  </si>
  <si>
    <t>0152005195</t>
  </si>
  <si>
    <t>salcedoauris6@gmail.com</t>
  </si>
  <si>
    <t>0963359664</t>
  </si>
  <si>
    <t>C0351</t>
  </si>
  <si>
    <t>125427</t>
  </si>
  <si>
    <t>C0399</t>
  </si>
  <si>
    <t>C0449</t>
  </si>
  <si>
    <t>142098</t>
  </si>
  <si>
    <t>C0492</t>
  </si>
  <si>
    <t>CONTRERAS SINCHI JAIME REMIGIO</t>
  </si>
  <si>
    <t>172.18.6.8</t>
  </si>
  <si>
    <t>0107215147</t>
  </si>
  <si>
    <t>sinchicontreras1994@gmail.com</t>
  </si>
  <si>
    <t>0986706647 0989938935</t>
  </si>
  <si>
    <t>FRIAS CRESPO MAURICIO BOLIVAR</t>
  </si>
  <si>
    <t>172.18.3.23</t>
  </si>
  <si>
    <t>0705261931</t>
  </si>
  <si>
    <t>AV. TEJAR Y CALLE DE LA ORTIGA</t>
  </si>
  <si>
    <t>mauri_frias94@hotmail.com</t>
  </si>
  <si>
    <t>0993778222</t>
  </si>
  <si>
    <t>C02401</t>
  </si>
  <si>
    <t>C0400</t>
  </si>
  <si>
    <t>C0450</t>
  </si>
  <si>
    <t>C0493</t>
  </si>
  <si>
    <t>172.18.1.54</t>
  </si>
  <si>
    <t>SAN MIGUEL DE PUTUSHI</t>
  </si>
  <si>
    <t>ROMERO ORELLANA WILSON PATRICIO</t>
  </si>
  <si>
    <t>172.18.9.2</t>
  </si>
  <si>
    <t>0703754275</t>
  </si>
  <si>
    <t>SAN JUAQUIN</t>
  </si>
  <si>
    <t>romeroorellana967@gmail.com</t>
  </si>
  <si>
    <t>0997054632 0994421550</t>
  </si>
  <si>
    <t>C0404</t>
  </si>
  <si>
    <t>MATAILO CHIMBO CARLOS BOLIVAR</t>
  </si>
  <si>
    <t>172.18.9.3</t>
  </si>
  <si>
    <t>0107536864</t>
  </si>
  <si>
    <t>carlitosmatailo07@gmail.com</t>
  </si>
  <si>
    <t>0986262853</t>
  </si>
  <si>
    <t>13/04/2026</t>
  </si>
  <si>
    <t>LOPEZ YUNGA GABRIELA ESTEFANIA</t>
  </si>
  <si>
    <t>172.18.9.4</t>
  </si>
  <si>
    <t>0106130925</t>
  </si>
  <si>
    <t>MON SR LEONIDAS PROAÑO</t>
  </si>
  <si>
    <t>secretariaunlugarparatodos@gmail.com</t>
  </si>
  <si>
    <t>0980166785</t>
  </si>
  <si>
    <t>PEÑAFIEL FAREZ ALEXIS MANUEL</t>
  </si>
  <si>
    <t>172.18.9.5</t>
  </si>
  <si>
    <t>0105042881</t>
  </si>
  <si>
    <t>alexis_penafiel@hotmail.com</t>
  </si>
  <si>
    <t>0983996990</t>
  </si>
  <si>
    <t>102243</t>
  </si>
  <si>
    <t>SINCHE QUITO CARLOS XAVIER</t>
  </si>
  <si>
    <t>172.18.9.6</t>
  </si>
  <si>
    <t>0102854148</t>
  </si>
  <si>
    <t>SAN JUAQUIN MON SR. LEONIDAS PROAÑO</t>
  </si>
  <si>
    <t>xaviersq80@gmail.com</t>
  </si>
  <si>
    <t>0980474525 0999093588</t>
  </si>
  <si>
    <t>C0405</t>
  </si>
  <si>
    <t>9/2/2026</t>
  </si>
  <si>
    <t>BERMEO MOROCHO LEONARDO XAVIER</t>
  </si>
  <si>
    <t>172.18.2.88</t>
  </si>
  <si>
    <t>0106831845</t>
  </si>
  <si>
    <t>AV.DEL TEJAR Y CALLE SAN MIGUEL DE PUTUSHI</t>
  </si>
  <si>
    <t>leobemo2021@gmail.com</t>
  </si>
  <si>
    <t>0984590644</t>
  </si>
  <si>
    <t>C0357</t>
  </si>
  <si>
    <t>C0389</t>
  </si>
  <si>
    <t>C0439</t>
  </si>
  <si>
    <t>142100</t>
  </si>
  <si>
    <t>C02738</t>
  </si>
  <si>
    <t>172.18.4.2</t>
  </si>
  <si>
    <t>AV. CUENCA, MOLLETURO - NARANJAL  Y CALLE DEL JENJIBRE</t>
  </si>
  <si>
    <t>C0352</t>
  </si>
  <si>
    <t>C0401</t>
  </si>
  <si>
    <t>C0451</t>
  </si>
  <si>
    <t>C0494</t>
  </si>
  <si>
    <t>GALARZA OSCAR VICTOR</t>
  </si>
  <si>
    <t>172.18.9.7</t>
  </si>
  <si>
    <t>0100997980</t>
  </si>
  <si>
    <t>MON SR LEONIDAS PROAÑA</t>
  </si>
  <si>
    <t>0990421933</t>
  </si>
  <si>
    <t>CALLE NAULA ERIKA MICHELLE</t>
  </si>
  <si>
    <t>172.18.11.2</t>
  </si>
  <si>
    <t>0106200959</t>
  </si>
  <si>
    <t>CALLE FRANCISCO JAVIER Y VICTOR VILACIS</t>
  </si>
  <si>
    <t>erikmish12@gmail.com</t>
  </si>
  <si>
    <t>0998354685 0985783398</t>
  </si>
  <si>
    <t>C0406</t>
  </si>
  <si>
    <t>BALANCEADO SOL DE ORO OROBAL</t>
  </si>
  <si>
    <t>172.18.9.8</t>
  </si>
  <si>
    <t>0190506495001</t>
  </si>
  <si>
    <t>orobalorobalcialtda@gmail.com</t>
  </si>
  <si>
    <t>0993804952 0959563362</t>
  </si>
  <si>
    <t>C0342</t>
  </si>
  <si>
    <t>C0343</t>
  </si>
  <si>
    <t>C0434</t>
  </si>
  <si>
    <t>C0479</t>
  </si>
  <si>
    <t>C0486</t>
  </si>
  <si>
    <t>BARBECHO BENALCAZAR EDISON ALFONSO</t>
  </si>
  <si>
    <t>172.18.9.9</t>
  </si>
  <si>
    <t>0106783392</t>
  </si>
  <si>
    <t>edib332@hotmail.com</t>
  </si>
  <si>
    <t>0989919748 0982532379</t>
  </si>
  <si>
    <t>12/4/2026</t>
  </si>
  <si>
    <t>GUARANGO SANCHEZ ROSA CONCEPCION</t>
  </si>
  <si>
    <t>172.18.11.3</t>
  </si>
  <si>
    <t>0103452926</t>
  </si>
  <si>
    <t>CUENCA MOLLETURO AUTOPISTA</t>
  </si>
  <si>
    <t>lilibuhe46@gmail.com</t>
  </si>
  <si>
    <t>0997374367</t>
  </si>
  <si>
    <t>ANDRADE SIGUA JOSUE EDUARDO</t>
  </si>
  <si>
    <t>172.18.11.4</t>
  </si>
  <si>
    <t>0150666485</t>
  </si>
  <si>
    <t>CARLOS ARIZAGA VEGA Y CUENCA MOLLETURO</t>
  </si>
  <si>
    <t>0986277571 0999763989</t>
  </si>
  <si>
    <t>SIMBAÑA FERNANDEZ JOSE EFRAIN</t>
  </si>
  <si>
    <t>172.18.9.10</t>
  </si>
  <si>
    <t>0150368397</t>
  </si>
  <si>
    <t>zoeysimbana2024@gmail.com</t>
  </si>
  <si>
    <t>0968443797 0969496379</t>
  </si>
  <si>
    <t xml:space="preserve">CURIPOMA ANGAMARCA EDDY JAVIER </t>
  </si>
  <si>
    <t>172.18.10.2</t>
  </si>
  <si>
    <t>0106387517</t>
  </si>
  <si>
    <t>MEDIO EJIDO CANCHAS EL BULLET</t>
  </si>
  <si>
    <t>javico.livem@gmail.com</t>
  </si>
  <si>
    <t>0984830066 0968864607</t>
  </si>
  <si>
    <t>C02180</t>
  </si>
  <si>
    <t>C0407</t>
  </si>
  <si>
    <t>C0522</t>
  </si>
  <si>
    <t>JIMENEZ CAJAMARCA OMAR LEONEL</t>
  </si>
  <si>
    <t>172.18.9.11</t>
  </si>
  <si>
    <t>0107436909</t>
  </si>
  <si>
    <t>CALLE PADRE FERNANDO VEGA SEVERO ESPINOZA</t>
  </si>
  <si>
    <t>omarjimenezcajamarca@gmail.com</t>
  </si>
  <si>
    <t>0985751612 0994879357</t>
  </si>
  <si>
    <t>C0345</t>
  </si>
  <si>
    <t>C0402</t>
  </si>
  <si>
    <t>C0452</t>
  </si>
  <si>
    <t>C0495</t>
  </si>
  <si>
    <t>MESIAS PERALTA PEDRO ISMAEL</t>
  </si>
  <si>
    <t>172.18.7.2</t>
  </si>
  <si>
    <t>0302320536</t>
  </si>
  <si>
    <t>SAN SEBASTIAN</t>
  </si>
  <si>
    <t>LOS BABACOS Y LOS CEREZOS</t>
  </si>
  <si>
    <t>ismael.mesias0812@gmail.com</t>
  </si>
  <si>
    <t>0995344410 0983364230</t>
  </si>
  <si>
    <t>C02497 C02498</t>
  </si>
  <si>
    <t>C0483 C0484</t>
  </si>
  <si>
    <t>ABRIGO PULGARIN CAROLINA ESTEFANIA</t>
  </si>
  <si>
    <t>172.18.5.2</t>
  </si>
  <si>
    <t>0107153694</t>
  </si>
  <si>
    <t>AV. ORDOÑEZ LASSO SECTOR LAS CABAÑAS</t>
  </si>
  <si>
    <t>caroabrigo02@gmail.com</t>
  </si>
  <si>
    <t>0999089610</t>
  </si>
  <si>
    <t>CARDENAS ORELLANA LUZ ELVIRA</t>
  </si>
  <si>
    <t>172.18.1.57</t>
  </si>
  <si>
    <t>0301285680</t>
  </si>
  <si>
    <t>luisgranja777@gmail.com</t>
  </si>
  <si>
    <t>0959198588</t>
  </si>
  <si>
    <t xml:space="preserve">ARIAS ALVARADO JOSE LUIS </t>
  </si>
  <si>
    <t>172.18.10.3</t>
  </si>
  <si>
    <t>0104016266</t>
  </si>
  <si>
    <t>CHACARUMI BAJO</t>
  </si>
  <si>
    <t>facturas.cardosoyasociados@gmail.com</t>
  </si>
  <si>
    <t>0991327077 0997696433</t>
  </si>
  <si>
    <t>ALVARADO LEON LUIS BELISARIO</t>
  </si>
  <si>
    <t>172.18.10.4</t>
  </si>
  <si>
    <t>0300108206</t>
  </si>
  <si>
    <t>belisarioalvaradoleon@gmail.com</t>
  </si>
  <si>
    <t>0999767324</t>
  </si>
  <si>
    <t>PINTADO PINTADO GUILLERMO ISRAEL</t>
  </si>
  <si>
    <t>172.18.9.12</t>
  </si>
  <si>
    <t>0105437701</t>
  </si>
  <si>
    <t>AV MON SR LEONIDAS PROAÑO</t>
  </si>
  <si>
    <t>memobox22@gmail.com</t>
  </si>
  <si>
    <t>0988559125</t>
  </si>
  <si>
    <t>SOLANO ORELLANA MIGUEL ARTURO</t>
  </si>
  <si>
    <t>172.18.10.5</t>
  </si>
  <si>
    <t>0101357705</t>
  </si>
  <si>
    <t>CRUZ VERDE</t>
  </si>
  <si>
    <t>yolandaquiz@hotmail.com</t>
  </si>
  <si>
    <t>0982569932 0990391487</t>
  </si>
  <si>
    <t>CAMPOVERDE BACULIMA YOLANDA ELIZABETH</t>
  </si>
  <si>
    <t>172.18.4.6</t>
  </si>
  <si>
    <t>0104081310</t>
  </si>
  <si>
    <t>michellejimbo4@gmail.com</t>
  </si>
  <si>
    <t>0992423721</t>
  </si>
  <si>
    <t>SOLANO JUMBO WALTER ASUNCION</t>
  </si>
  <si>
    <t>172.18.2.89</t>
  </si>
  <si>
    <t>1710596295</t>
  </si>
  <si>
    <t>CAMINO DEL TEJAR Y SAN MIGUEL DE PUTUSHI</t>
  </si>
  <si>
    <t>sw7_aries@hotmail.com</t>
  </si>
  <si>
    <t>0997398467 0968250073</t>
  </si>
  <si>
    <t xml:space="preserve">GUANGA PUGO FREDDY GEOVANNY </t>
  </si>
  <si>
    <t>172.18.2.91</t>
  </si>
  <si>
    <t>0105446900</t>
  </si>
  <si>
    <r>
      <rPr>
        <u/>
        <sz val="10"/>
        <rFont val="Arial"/>
        <charset val="134"/>
      </rPr>
      <t>www.freddyg</t>
    </r>
    <r>
      <rPr>
        <sz val="10"/>
        <rFont val="Arial"/>
        <charset val="134"/>
      </rPr>
      <t>@hotmail.com</t>
    </r>
  </si>
  <si>
    <t>0985092987</t>
  </si>
  <si>
    <t>CORDERO GARCIA ROMERIO MESIAS</t>
  </si>
  <si>
    <t>172.18.2.90</t>
  </si>
  <si>
    <t>0102724093</t>
  </si>
  <si>
    <t>0988608565 0985092987</t>
  </si>
  <si>
    <t>141516</t>
  </si>
  <si>
    <t>LIMA PAQUI LOURDES MARIBEL</t>
  </si>
  <si>
    <t>172.18.9.13</t>
  </si>
  <si>
    <t>1150526190</t>
  </si>
  <si>
    <t>SAN JOAQUIN</t>
  </si>
  <si>
    <t>limapaquilourdesm@gmail.com</t>
  </si>
  <si>
    <t>0990584718</t>
  </si>
  <si>
    <t>BARROS ROLDAN JOSE ANTONIO</t>
  </si>
  <si>
    <t>172.18.10.6</t>
  </si>
  <si>
    <t>0101109239</t>
  </si>
  <si>
    <t>CARLOS ARIZAGA Y SN</t>
  </si>
  <si>
    <t>ramirez1999.5@hotmail.com</t>
  </si>
  <si>
    <t>0985695071</t>
  </si>
  <si>
    <t>MOROCHO NAULA DIANA ANGELITA</t>
  </si>
  <si>
    <t>172.18.9.14</t>
  </si>
  <si>
    <t>0104386826</t>
  </si>
  <si>
    <t>PADRE FERNANDO VEGA A 100M DE SAN JOAQUIN</t>
  </si>
  <si>
    <t>dmorocho425@gmail.com</t>
  </si>
  <si>
    <t>0990158186 0991005317</t>
  </si>
  <si>
    <t xml:space="preserve">LARREA GALINDO RAFAEL ISRAEL </t>
  </si>
  <si>
    <t>172.18.4.7</t>
  </si>
  <si>
    <t>0105872600</t>
  </si>
  <si>
    <t>AV. ORDOÑEZ LASSO Y ENTRADA A BUENOS AIRES</t>
  </si>
  <si>
    <t>rafa1227_g@hotmail.com</t>
  </si>
  <si>
    <t>0997061321</t>
  </si>
  <si>
    <t>C0482</t>
  </si>
  <si>
    <t>CEPEDA AYAVACA MARTIN WILLIAM</t>
  </si>
  <si>
    <t>172.18.2.92</t>
  </si>
  <si>
    <t>0106764301</t>
  </si>
  <si>
    <t>ELIZABETH VELASQUEZ Y SIN RETORNO</t>
  </si>
  <si>
    <t>matincepedacpa@gmail.com</t>
  </si>
  <si>
    <t>0984718140 0958791307</t>
  </si>
  <si>
    <t>C0481</t>
  </si>
  <si>
    <t>C0487</t>
  </si>
  <si>
    <t>VINTIMILLA GUERRERO JUAN PABLO</t>
  </si>
  <si>
    <t>172.18.9.15</t>
  </si>
  <si>
    <t>0107868788</t>
  </si>
  <si>
    <t>SECTOR LOS CIPRECES Y CALLE PADRE FERNANDO VEGA</t>
  </si>
  <si>
    <t>juanpablovintimilla12@gmail.com</t>
  </si>
  <si>
    <t>0989169952 0994411780</t>
  </si>
  <si>
    <t>BERMEO FAREZ CRISTIAN BORIS</t>
  </si>
  <si>
    <t>172.18.11.5</t>
  </si>
  <si>
    <t>0105955413</t>
  </si>
  <si>
    <t>BARABON CHICO</t>
  </si>
  <si>
    <t>farezboris@gmail.com</t>
  </si>
  <si>
    <t>0994866983</t>
  </si>
  <si>
    <t>GUAZHAMBO GUAZHAMBO SANDRA CATALINA</t>
  </si>
  <si>
    <t>172.18.11.6</t>
  </si>
  <si>
    <t>0105614572</t>
  </si>
  <si>
    <t>katyguazhambo@gmail.com</t>
  </si>
  <si>
    <t>0990695414 0969827433</t>
  </si>
  <si>
    <t>SUESCUN FAVAYD EMILCE</t>
  </si>
  <si>
    <t>172.18.3.24</t>
  </si>
  <si>
    <t>AV. DEL TEJAR Y CALLE LA ORTIGA</t>
  </si>
  <si>
    <t>favayd@gmail.com</t>
  </si>
  <si>
    <t>0984449567 0992715559</t>
  </si>
  <si>
    <t>C0480</t>
  </si>
  <si>
    <t>141518</t>
  </si>
  <si>
    <t>C0496</t>
  </si>
  <si>
    <t>RAMIREZ BARROS SILVIA CRISTINA</t>
  </si>
  <si>
    <t>172.18.10.7</t>
  </si>
  <si>
    <t>0105437289</t>
  </si>
  <si>
    <t xml:space="preserve">SECTOR CRUZ VERDE </t>
  </si>
  <si>
    <t>0983275070</t>
  </si>
  <si>
    <t>MENA SANCHEZ EDWIN ISAAC</t>
  </si>
  <si>
    <t>172.18.4.8</t>
  </si>
  <si>
    <t>0103407284</t>
  </si>
  <si>
    <t>LA PIMIENTA Y S/N</t>
  </si>
  <si>
    <t>agroisleek@gmail.com</t>
  </si>
  <si>
    <t>0984408001 0963398102</t>
  </si>
  <si>
    <t>MEJIA VASQUEZ BRYAN ESTEBAN</t>
  </si>
  <si>
    <t>172.18.11.7</t>
  </si>
  <si>
    <t>0105083679</t>
  </si>
  <si>
    <t>SAN JOJAQUIN</t>
  </si>
  <si>
    <t>SECTOR BARABON CHICO</t>
  </si>
  <si>
    <t>bemv-91@hotmail.com</t>
  </si>
  <si>
    <t>0998074323</t>
  </si>
  <si>
    <t>CARDENAS MORALES NIXON EFRAIN</t>
  </si>
  <si>
    <t>172.18.5.6</t>
  </si>
  <si>
    <t>0106058738</t>
  </si>
  <si>
    <t>AV. ORDOÑEZ LASSO</t>
  </si>
  <si>
    <t>cardenasnixon288@gmail.com</t>
  </si>
  <si>
    <t>0992992736</t>
  </si>
  <si>
    <t>PRADO PRADO NARCISA DEL LOURDES</t>
  </si>
  <si>
    <t>172.18.5.7</t>
  </si>
  <si>
    <t>0102965233</t>
  </si>
  <si>
    <t>narcisaprado@gmail.com</t>
  </si>
  <si>
    <t>0995943147 0985574619</t>
  </si>
  <si>
    <t>ILLESCAS ALVAREZ KEVIN XAVIER</t>
  </si>
  <si>
    <t>172.18.9.16</t>
  </si>
  <si>
    <t>0106278260</t>
  </si>
  <si>
    <t>JUAN PABLO ORELLANA Y SEVERO ESPINOZA</t>
  </si>
  <si>
    <t>kevinxaxvier97@hotmail.com</t>
  </si>
  <si>
    <t>0959524325 0969620054</t>
  </si>
  <si>
    <t>FAREZ GUICHAY DIANA PAOLA</t>
  </si>
  <si>
    <t>172.18.5.9</t>
  </si>
  <si>
    <t>0104706999</t>
  </si>
  <si>
    <t>VIA BELLAVISTA</t>
  </si>
  <si>
    <t>dianafarez28@gmail.com</t>
  </si>
  <si>
    <t>0983826279 072370054</t>
  </si>
  <si>
    <t>SANCHEZ SIGUA CLAUDIO RAMIRO</t>
  </si>
  <si>
    <t>172.18.9.17</t>
  </si>
  <si>
    <t>0103407417</t>
  </si>
  <si>
    <t>CALLE JUAN PABLO ORELLANA</t>
  </si>
  <si>
    <t>sanchezautocenter72@gmail.com</t>
  </si>
  <si>
    <t>0990016079 095217701</t>
  </si>
  <si>
    <t>BAUTISTA FAJARDO VERONICA AZUCENA</t>
  </si>
  <si>
    <t>172.18.5.10</t>
  </si>
  <si>
    <t>0704790203</t>
  </si>
  <si>
    <t>veroazucena.bautista@gmail.com</t>
  </si>
  <si>
    <t>0997117784 0987574370</t>
  </si>
  <si>
    <t xml:space="preserve"> SANCHEZ PILCO RUBEN ELOY</t>
  </si>
  <si>
    <t>172.18.9.18</t>
  </si>
  <si>
    <t>0102222460</t>
  </si>
  <si>
    <t>rubeneloy1964@gmail.com</t>
  </si>
  <si>
    <t>0969661424 0963859395</t>
  </si>
  <si>
    <t>QUIZPHE VILLA NELLY MERCEDES</t>
  </si>
  <si>
    <t>172.18.6.11</t>
  </si>
  <si>
    <t>0103960860</t>
  </si>
  <si>
    <t>nellyqhizhpe23@gmail.com</t>
  </si>
  <si>
    <t>0997433404</t>
  </si>
  <si>
    <t>CRIOLLO PULLA LUIS ANDRES</t>
  </si>
  <si>
    <t>172.18.9.19</t>
  </si>
  <si>
    <t>0105923270</t>
  </si>
  <si>
    <t>andres_dboc@hotmail.com</t>
  </si>
  <si>
    <t>0986877108</t>
  </si>
  <si>
    <t>FAREZ GUICHAY JENNY CECILIA</t>
  </si>
  <si>
    <t>172.18.5.11</t>
  </si>
  <si>
    <t>0104454376</t>
  </si>
  <si>
    <t>AV ORDOÑEZ LASSO</t>
  </si>
  <si>
    <t>farez1983@gmail.com</t>
  </si>
  <si>
    <t>0987876708</t>
  </si>
  <si>
    <t>PESANTEZ BERREZUETA DIANA BERSABETETH</t>
  </si>
  <si>
    <t>172.18.5.12</t>
  </si>
  <si>
    <t>0106164478</t>
  </si>
  <si>
    <t>CALLE LA LIBERTAD Y LA ORTIGA</t>
  </si>
  <si>
    <t>dianapb.2592@gmail.com</t>
  </si>
  <si>
    <t>0986886767</t>
  </si>
  <si>
    <t>172.18.5.13</t>
  </si>
  <si>
    <t>CENTRO DE SAYAUSI ESTADIO</t>
  </si>
  <si>
    <t>VERA REYES NIEVE MONSERRATE</t>
  </si>
  <si>
    <t>172.18.10.8</t>
  </si>
  <si>
    <t>1310393887</t>
  </si>
  <si>
    <t>CALLE S/N  Y CALLE RAFAEL AGUILAR</t>
  </si>
  <si>
    <t>monserratevera180@gmail.com</t>
  </si>
  <si>
    <t>0982723322</t>
  </si>
  <si>
    <t>CALDERON PAUTA JOHN CHRISTIAN</t>
  </si>
  <si>
    <t>172.18.9.20</t>
  </si>
  <si>
    <t>0105248074</t>
  </si>
  <si>
    <t>BALZAY BAJO AV MONSEÑOR Y LEONIDAS PROAÑO</t>
  </si>
  <si>
    <t>cristianpauta1990@gmail.com</t>
  </si>
  <si>
    <t>0991147921</t>
  </si>
  <si>
    <t>C0488 C0489</t>
  </si>
  <si>
    <t>NOMBRE CLIENTE</t>
  </si>
  <si>
    <t>CONTACTO</t>
  </si>
  <si>
    <t>PROVEEDOR</t>
  </si>
  <si>
    <t>USUARIO</t>
  </si>
  <si>
    <t>CONTRASEÑA</t>
  </si>
  <si>
    <t>CUENTAS</t>
  </si>
  <si>
    <t>MAC SMART ONE</t>
  </si>
  <si>
    <t>OBSERVACIONES</t>
  </si>
  <si>
    <t xml:space="preserve">ACTIVO </t>
  </si>
  <si>
    <t>ENERO</t>
  </si>
  <si>
    <t>FACTURA</t>
  </si>
  <si>
    <t>FECHA A PAGAR</t>
  </si>
  <si>
    <t>PAGO</t>
  </si>
  <si>
    <t>BANCO</t>
  </si>
  <si>
    <t>FEBRERO</t>
  </si>
  <si>
    <t>MARZO</t>
  </si>
  <si>
    <t>ABRIL</t>
  </si>
  <si>
    <t>MAYO</t>
  </si>
  <si>
    <t>EVELYN GISSELLE SOLANO HERRERA</t>
  </si>
  <si>
    <t>0979348416</t>
  </si>
  <si>
    <t>Ausayasolano</t>
  </si>
  <si>
    <t>TV2023.@</t>
  </si>
  <si>
    <t xml:space="preserve">CUENTA EN TV Y PC </t>
  </si>
  <si>
    <t>INFINITO</t>
  </si>
  <si>
    <t>2C</t>
  </si>
  <si>
    <t>LUIS EDISON ALQUINGA</t>
  </si>
  <si>
    <t>0979368744</t>
  </si>
  <si>
    <t>Auluisal</t>
  </si>
  <si>
    <t>CUENTA EN QUITO</t>
  </si>
  <si>
    <t>3C</t>
  </si>
  <si>
    <t xml:space="preserve">MESIAS GOMEZ JORGE HUMBERTO </t>
  </si>
  <si>
    <t>074199465    0989392536</t>
  </si>
  <si>
    <t>Aujorgem</t>
  </si>
  <si>
    <t>RENOVACIÓN IKS - 15/08/2024</t>
  </si>
  <si>
    <t>FIJO</t>
  </si>
  <si>
    <t>4C</t>
  </si>
  <si>
    <t>AVILA CUESTA DAVID GUILLERMO</t>
  </si>
  <si>
    <t>0992732555 0983291669</t>
  </si>
  <si>
    <t>Aucueguillermoa</t>
  </si>
  <si>
    <t>TV2024.@</t>
  </si>
  <si>
    <t>CUENTA IKS DOS TV</t>
  </si>
  <si>
    <t>5C</t>
  </si>
  <si>
    <t>TANIA MARCELA CALLE MESIAS</t>
  </si>
  <si>
    <t>0992787096</t>
  </si>
  <si>
    <t>Autaniac</t>
  </si>
  <si>
    <t>6C</t>
  </si>
  <si>
    <t>DIEGO FERNANDO LIMA JUMA</t>
  </si>
  <si>
    <t>0998043204</t>
  </si>
  <si>
    <t>Audiegof</t>
  </si>
  <si>
    <t>LUCIA CALLE RUC</t>
  </si>
  <si>
    <t>99 172 6293</t>
  </si>
  <si>
    <t>C02398</t>
  </si>
  <si>
    <t>C02503</t>
  </si>
  <si>
    <t>C02623</t>
  </si>
  <si>
    <t>7C</t>
  </si>
  <si>
    <t>PENTHOUSE S.A</t>
  </si>
  <si>
    <r>
      <rPr>
        <b/>
        <sz val="10"/>
        <color rgb="FF351C75"/>
        <rFont val="Arial"/>
        <charset val="134"/>
      </rPr>
      <t>0997742952</t>
    </r>
    <r>
      <rPr>
        <sz val="10"/>
        <color theme="1"/>
        <rFont val="Arial"/>
        <charset val="134"/>
      </rPr>
      <t xml:space="preserve"> 0984894015</t>
    </r>
  </si>
  <si>
    <t>Aubalucia</t>
  </si>
  <si>
    <t>HOTEL PENTHOUSE</t>
  </si>
  <si>
    <t>C02399</t>
  </si>
  <si>
    <t>C02502</t>
  </si>
  <si>
    <t>C02624</t>
  </si>
  <si>
    <t>8C</t>
  </si>
  <si>
    <t>JAYA GUALPA GERMANIA JANETH</t>
  </si>
  <si>
    <t>Ausajuanc</t>
  </si>
  <si>
    <t>12C</t>
  </si>
  <si>
    <t>ANA CATALINA MESIAS GUAMAN</t>
  </si>
  <si>
    <t>0987538447</t>
  </si>
  <si>
    <t>Aucamesias</t>
  </si>
  <si>
    <t>14C</t>
  </si>
  <si>
    <t>PABLO FERNANDO SAGBAY CARCHI</t>
  </si>
  <si>
    <t>0962826267</t>
  </si>
  <si>
    <t>Aucuepablos</t>
  </si>
  <si>
    <t>15C</t>
  </si>
  <si>
    <t>CARLOS QUILLE UGUÑA</t>
  </si>
  <si>
    <t>0968381275</t>
  </si>
  <si>
    <t>Aucuecarlosq</t>
  </si>
  <si>
    <t>16C</t>
  </si>
  <si>
    <t xml:space="preserve">JUAN KLEBER CABRERA TERREROS </t>
  </si>
  <si>
    <t>0996003124</t>
  </si>
  <si>
    <t>Aucuemerced</t>
  </si>
  <si>
    <t>LA MERCED</t>
  </si>
  <si>
    <t>IRREGULAR</t>
  </si>
  <si>
    <t>21C</t>
  </si>
  <si>
    <t>JUAN DIEGO AREVALO MARQUEZ</t>
  </si>
  <si>
    <t>0984753950</t>
  </si>
  <si>
    <t>Aucuejuan</t>
  </si>
  <si>
    <t>CLIENTE IRREGULAR</t>
  </si>
  <si>
    <t>SEMIFIJO</t>
  </si>
  <si>
    <t>22C</t>
  </si>
  <si>
    <t>JOSE LUIS QUEZADA</t>
  </si>
  <si>
    <t>0990805284</t>
  </si>
  <si>
    <t>Aubajosel</t>
  </si>
  <si>
    <t>28C</t>
  </si>
  <si>
    <t>GEOVANNA NARCISA AYALA CARDENAS</t>
  </si>
  <si>
    <t>0962291007</t>
  </si>
  <si>
    <t>Auiogeovannaa</t>
  </si>
  <si>
    <t>RECOMENDADO LUIS ALQUINGA</t>
  </si>
  <si>
    <t>29C</t>
  </si>
  <si>
    <t>MARTHA LUZMILA PACHO NAULA</t>
  </si>
  <si>
    <t>0988197965</t>
  </si>
  <si>
    <t>Aucuemarthap</t>
  </si>
  <si>
    <t>31C</t>
  </si>
  <si>
    <t>RENE MAURICIO PATIÑO CARACUNDO</t>
  </si>
  <si>
    <t>0995801983</t>
  </si>
  <si>
    <t>Aucuerenep</t>
  </si>
  <si>
    <t>RECOMENDACION CLIENTE 24C</t>
  </si>
  <si>
    <t>PABLO GUAMAN</t>
  </si>
  <si>
    <t>LUIS ALQUINGA</t>
  </si>
  <si>
    <t>Auiopablog</t>
  </si>
  <si>
    <t>PAGO POR UN AÑO</t>
  </si>
  <si>
    <t>EXTERNO</t>
  </si>
  <si>
    <t>33C</t>
  </si>
  <si>
    <t>LISSETH SEVILLANO</t>
  </si>
  <si>
    <t>0969939630</t>
  </si>
  <si>
    <t>Auextlisseths</t>
  </si>
  <si>
    <t>HERMANA LADY SEVILLANO</t>
  </si>
  <si>
    <t>36C</t>
  </si>
  <si>
    <t xml:space="preserve">KARINA GUAMAN </t>
  </si>
  <si>
    <t>0968471788</t>
  </si>
  <si>
    <t>Aucuekarinag</t>
  </si>
  <si>
    <t>37C</t>
  </si>
  <si>
    <t>ORDOÑEZ ABAD CARLOS RENE</t>
  </si>
  <si>
    <t>0990105069</t>
  </si>
  <si>
    <t>Aureneo</t>
  </si>
  <si>
    <t>40C</t>
  </si>
  <si>
    <t>LEONARDO MANUEL YUNGA CHIMBO</t>
  </si>
  <si>
    <t>Aucueleonardoy</t>
  </si>
  <si>
    <t>38C</t>
  </si>
  <si>
    <t>ADRIANA MAGDALENA NAREA CASTRO</t>
  </si>
  <si>
    <t>17C</t>
  </si>
  <si>
    <t>ROBERTO ZAMBRANO QUEVEDO</t>
  </si>
  <si>
    <t>096 389 4460</t>
  </si>
  <si>
    <t>Auiorobertoz</t>
  </si>
  <si>
    <t>39C</t>
  </si>
  <si>
    <t>0959680752 0958979912</t>
  </si>
  <si>
    <t>CORPORATIVO</t>
  </si>
  <si>
    <t>SABANDO LIDER</t>
  </si>
  <si>
    <t>Auioliders</t>
  </si>
  <si>
    <t xml:space="preserve">GUSTAVO </t>
  </si>
  <si>
    <t>PATRICIO</t>
  </si>
  <si>
    <t>Augigustavop</t>
  </si>
  <si>
    <t xml:space="preserve">SEMIFIJO </t>
  </si>
  <si>
    <t>CHISTIAN P</t>
  </si>
  <si>
    <t>Aucuechristianp</t>
  </si>
  <si>
    <t>42C PE</t>
  </si>
  <si>
    <t>CARLOS ESTEBAN GUAMAN DURAN (VECINO OPSATEL)</t>
  </si>
  <si>
    <t>Aucueestebang</t>
  </si>
  <si>
    <t>TV2025.@</t>
  </si>
  <si>
    <t>CHRISTIAN YUPANGUI</t>
  </si>
  <si>
    <r>
      <rPr>
        <u/>
        <sz val="10"/>
        <color rgb="FF1155CC"/>
        <rFont val="Arial"/>
        <charset val="134"/>
      </rPr>
      <t>Aucuechristiany</t>
    </r>
  </si>
  <si>
    <t>LIMA JUMA LUIS MIGUEL</t>
  </si>
  <si>
    <t>Aucueluisl</t>
  </si>
  <si>
    <t>ALQUINGA</t>
  </si>
  <si>
    <t>Auiosantiagob</t>
  </si>
  <si>
    <t>27C</t>
  </si>
  <si>
    <t>GUSTAVO PALTIN LICORERIA</t>
  </si>
  <si>
    <t>PATRICIO VIZHCO</t>
  </si>
  <si>
    <t>DON IVAN CASA</t>
  </si>
  <si>
    <t>Aucueivano</t>
  </si>
  <si>
    <t>46C</t>
  </si>
  <si>
    <t>CHAVEZ ALMEIDA TITO DAVID</t>
  </si>
  <si>
    <t>0999388706</t>
  </si>
  <si>
    <t>46cchavezt</t>
  </si>
  <si>
    <t>NUEVO</t>
  </si>
  <si>
    <t>47C</t>
  </si>
  <si>
    <t>PESANTEZ GAVILANES DARWIN ISRAEL</t>
  </si>
  <si>
    <t>0991046372</t>
  </si>
  <si>
    <t>Aucuepesantezd</t>
  </si>
  <si>
    <t>RECOMENDADO DON RODOLFO</t>
  </si>
  <si>
    <t>49C</t>
  </si>
  <si>
    <t>ZARUMA QUITUIZACA ELVIS GEOVANNY</t>
  </si>
  <si>
    <t>49czarumae</t>
  </si>
  <si>
    <t>50C</t>
  </si>
  <si>
    <t>BARROS PIEDAD</t>
  </si>
  <si>
    <t>50cbarrosp</t>
  </si>
  <si>
    <t>52C</t>
  </si>
  <si>
    <t>ZUIN MELGAR ESTEBAN PAUL (TECNICO)</t>
  </si>
  <si>
    <t>52czuinp</t>
  </si>
  <si>
    <t>CUENTA PARA PAUL TECNICO</t>
  </si>
  <si>
    <t>53C</t>
  </si>
  <si>
    <t>ARPI  ARPI LINO VINICIO</t>
  </si>
  <si>
    <t>0986541656</t>
  </si>
  <si>
    <t>53carpil</t>
  </si>
  <si>
    <t>54C</t>
  </si>
  <si>
    <t>FANNY MINCHALO</t>
  </si>
  <si>
    <t>54cminchalof</t>
  </si>
  <si>
    <t>55C</t>
  </si>
  <si>
    <t>DANIEL SUAREZ</t>
  </si>
  <si>
    <t>56C</t>
  </si>
  <si>
    <t>BRYAN ANDRES PAUTE LOJA</t>
  </si>
  <si>
    <t>JOSE ASCUNTAR GUERRERO</t>
  </si>
  <si>
    <t>0959680752</t>
  </si>
  <si>
    <t>57C</t>
  </si>
  <si>
    <t>MARIO VASQUEZ</t>
  </si>
  <si>
    <t>57cvasquezm</t>
  </si>
  <si>
    <t xml:space="preserve">Ganador sudamericano </t>
  </si>
  <si>
    <t>58C</t>
  </si>
  <si>
    <t>BRYAN CABRERA</t>
  </si>
  <si>
    <t>58ccabrerab</t>
  </si>
  <si>
    <t>TV2026.@</t>
  </si>
  <si>
    <t>DSPORTS X OPSATV</t>
  </si>
  <si>
    <t>59C</t>
  </si>
  <si>
    <t>ALVARADO FELIX</t>
  </si>
  <si>
    <t>59calvaradof</t>
  </si>
  <si>
    <t>60C</t>
  </si>
  <si>
    <t>REMIGIO TORAL</t>
  </si>
  <si>
    <t>61C</t>
  </si>
  <si>
    <t>MARCELO SIGUA</t>
  </si>
  <si>
    <t>PATRICIO VIZCHO</t>
  </si>
  <si>
    <t>61csiguam</t>
  </si>
  <si>
    <t xml:space="preserve">TV2026.@ </t>
  </si>
  <si>
    <t>CAMARA OFICINA</t>
  </si>
  <si>
    <t>COLCHON 2025</t>
  </si>
  <si>
    <t>EMOV TARJ JOHN</t>
  </si>
  <si>
    <t>OPSATEL AYUDA TO INVERSIONISTA</t>
  </si>
  <si>
    <t>AMAZON PRIME TARJ JOHN</t>
  </si>
  <si>
    <t>SUDAMERICANO</t>
  </si>
  <si>
    <t>TARJETA JOHN CONTROL FIRESTICK</t>
  </si>
  <si>
    <t>OPSATEL RESERVA ENERO</t>
  </si>
  <si>
    <t>CONTRATOS</t>
  </si>
  <si>
    <t>RECARGA TEC</t>
  </si>
  <si>
    <t>OPSATEL FEBRERO</t>
  </si>
  <si>
    <t xml:space="preserve">GECKO </t>
  </si>
  <si>
    <t>CELULAR RECARGA PATRICIO</t>
  </si>
  <si>
    <t>ACEITE</t>
  </si>
  <si>
    <t>ANTRHOPIC</t>
  </si>
  <si>
    <t>VARIOS FERRETERIA</t>
  </si>
  <si>
    <t>LUZ PLATAFORMA</t>
  </si>
  <si>
    <t>INSTALACION CLIENTES WILLIAN ZHAGUI</t>
  </si>
  <si>
    <t>ARREGLO CAMIONETA</t>
  </si>
  <si>
    <t>ARREGLO VENTANA CAMIONETA</t>
  </si>
  <si>
    <t>PROTECTOR CELULAR</t>
  </si>
  <si>
    <t>COPIAS MATRICULA CAMIONETA</t>
  </si>
  <si>
    <t>Pago Enero (Inv N8)</t>
  </si>
  <si>
    <t xml:space="preserve">IMPRESIONES </t>
  </si>
  <si>
    <t>Pago Febrero (Inv N9)</t>
  </si>
  <si>
    <t>camioneta MECANICA</t>
  </si>
  <si>
    <t>CAMIONETA VENTANA</t>
  </si>
  <si>
    <t>Arrendamiento Postes</t>
  </si>
  <si>
    <t>Retencion preyecto ETAPA</t>
  </si>
  <si>
    <t>ZUIN</t>
  </si>
  <si>
    <t>delanto</t>
  </si>
  <si>
    <t>joahn</t>
  </si>
  <si>
    <t>JOHAN</t>
  </si>
  <si>
    <t xml:space="preserve">GASOLINA </t>
  </si>
  <si>
    <t>HDMI HDMI</t>
  </si>
  <si>
    <t>GARAGE</t>
  </si>
  <si>
    <t>HENTEL</t>
  </si>
  <si>
    <t>WILLIAM ZHAGUI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</si>
</sst>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&quot;$&quot;* #,##0.00_ ;_ &quot;$&quot;* \-#,##0.00_ ;_ &quot;$&quot;* &quot;-&quot;??_ ;_ @_ "/>
    <numFmt numFmtId="179" formatCode="d/m/yyyy"/>
    <numFmt numFmtId="180" formatCode="&quot;$&quot;#,##0.00"/>
    <numFmt numFmtId="181" formatCode="_-&quot;$&quot;* #,##0.00_-;_-&quot;$&quot;* \-#,##0.00_-;_-&quot;$&quot;* &quot;-&quot;??_-;_-@"/>
    <numFmt numFmtId="182" formatCode="dd/mm/yyyy"/>
    <numFmt numFmtId="183" formatCode="&quot;$&quot;#,##0.00"/>
    <numFmt numFmtId="184" formatCode="h:mm:ss\ AM/PM"/>
  </numFmts>
  <fonts count="113">
    <font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b/>
      <sz val="18"/>
      <color theme="1"/>
      <name val="Calibri"/>
      <charset val="134"/>
    </font>
    <font>
      <sz val="10"/>
      <name val="Arial"/>
      <charset val="134"/>
      <scheme val="minor"/>
    </font>
    <font>
      <b/>
      <sz val="11"/>
      <color rgb="FF1F1F1F"/>
      <name val="Google Sans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b/>
      <sz val="14"/>
      <color theme="1"/>
      <name val="Calibri"/>
      <charset val="134"/>
    </font>
    <font>
      <b/>
      <sz val="15"/>
      <color theme="1"/>
      <name val="Arial"/>
      <charset val="134"/>
    </font>
    <font>
      <sz val="10"/>
      <color theme="1"/>
      <name val="Lato"/>
      <charset val="134"/>
    </font>
    <font>
      <b/>
      <sz val="16"/>
      <color theme="1"/>
      <name val="Calibri"/>
      <charset val="134"/>
    </font>
    <font>
      <sz val="16"/>
      <color rgb="FF00FF00"/>
      <name val="Calibri"/>
      <charset val="134"/>
    </font>
    <font>
      <b/>
      <sz val="10"/>
      <color rgb="FF00FF00"/>
      <name val="Arial"/>
      <charset val="134"/>
    </font>
    <font>
      <sz val="10"/>
      <color rgb="FF00FF00"/>
      <name val="Arial"/>
      <charset val="134"/>
    </font>
    <font>
      <b/>
      <sz val="10"/>
      <color theme="1"/>
      <name val="Arial"/>
      <charset val="134"/>
    </font>
    <font>
      <sz val="11"/>
      <color rgb="FF00FF00"/>
      <name val="Arial"/>
      <charset val="134"/>
    </font>
    <font>
      <sz val="15"/>
      <color theme="1"/>
      <name val="Calibri"/>
      <charset val="134"/>
    </font>
    <font>
      <sz val="11"/>
      <color theme="1"/>
      <name val="Roboto"/>
      <charset val="134"/>
    </font>
    <font>
      <sz val="11"/>
      <color rgb="FFFF0000"/>
      <name val="Calibri"/>
      <charset val="134"/>
    </font>
    <font>
      <sz val="10"/>
      <color rgb="FFFF0000"/>
      <name val="Arial"/>
      <charset val="134"/>
    </font>
    <font>
      <b/>
      <sz val="11"/>
      <color rgb="FF00FF00"/>
      <name val="Calibri"/>
      <charset val="134"/>
    </font>
    <font>
      <b/>
      <sz val="10"/>
      <color rgb="FF38761D"/>
      <name val="Arial"/>
      <charset val="134"/>
    </font>
    <font>
      <sz val="11"/>
      <color rgb="FF1F1F1F"/>
      <name val="Google Sans"/>
      <charset val="134"/>
    </font>
    <font>
      <sz val="10"/>
      <color theme="1"/>
      <name val="Arial"/>
      <charset val="134"/>
      <scheme val="minor"/>
    </font>
    <font>
      <sz val="10"/>
      <color rgb="FF980000"/>
      <name val="Arial"/>
      <charset val="134"/>
    </font>
    <font>
      <sz val="11"/>
      <color rgb="FF000000"/>
      <name val="Calibri"/>
      <charset val="134"/>
    </font>
    <font>
      <sz val="10"/>
      <color rgb="FF000000"/>
      <name val="Arial"/>
      <charset val="134"/>
    </font>
    <font>
      <u/>
      <sz val="10"/>
      <color rgb="FF1155CC"/>
      <name val="Arial"/>
      <charset val="134"/>
    </font>
    <font>
      <sz val="10"/>
      <color rgb="FFFF9900"/>
      <name val="Arial"/>
      <charset val="134"/>
    </font>
    <font>
      <sz val="10"/>
      <color rgb="FF6C757D"/>
      <name val="Poppins"/>
      <charset val="134"/>
    </font>
    <font>
      <b/>
      <sz val="10"/>
      <color rgb="FFF1C232"/>
      <name val="Arial"/>
      <charset val="134"/>
    </font>
    <font>
      <sz val="10"/>
      <color rgb="FF93C47D"/>
      <name val="Arial"/>
      <charset val="134"/>
    </font>
    <font>
      <b/>
      <sz val="10"/>
      <color rgb="FF000000"/>
      <name val="Arial"/>
      <charset val="134"/>
    </font>
    <font>
      <sz val="10"/>
      <color rgb="FFB4A7D6"/>
      <name val="Arial"/>
      <charset val="134"/>
    </font>
    <font>
      <u/>
      <sz val="10"/>
      <color rgb="FF00FF00"/>
      <name val="Poppins"/>
      <charset val="134"/>
    </font>
    <font>
      <sz val="10"/>
      <color rgb="FF0000FF"/>
      <name val="Arial"/>
      <charset val="134"/>
    </font>
    <font>
      <sz val="10"/>
      <color rgb="FF9900FF"/>
      <name val="Arial"/>
      <charset val="134"/>
    </font>
    <font>
      <sz val="10"/>
      <color rgb="FF3C78D8"/>
      <name val="Arial"/>
      <charset val="134"/>
    </font>
    <font>
      <sz val="9"/>
      <color rgb="FF1F1F1F"/>
      <name val="Arial"/>
      <charset val="134"/>
    </font>
    <font>
      <b/>
      <sz val="10"/>
      <color rgb="FFFF0000"/>
      <name val="Arial"/>
      <charset val="134"/>
    </font>
    <font>
      <sz val="10"/>
      <color theme="1"/>
      <name val="Roboto"/>
      <charset val="134"/>
    </font>
    <font>
      <sz val="9"/>
      <color rgb="FF1F1F1F"/>
      <name val="Google Sans"/>
      <charset val="134"/>
    </font>
    <font>
      <b/>
      <sz val="10"/>
      <color theme="1"/>
      <name val="Arial"/>
      <charset val="134"/>
      <scheme val="minor"/>
    </font>
    <font>
      <sz val="9"/>
      <color rgb="FF6AA84F"/>
      <name val="Google Sans"/>
      <charset val="134"/>
    </font>
    <font>
      <sz val="10"/>
      <color rgb="FFFF9900"/>
      <name val="Arial"/>
      <charset val="134"/>
      <scheme val="minor"/>
    </font>
    <font>
      <sz val="10"/>
      <color rgb="FF6AA84F"/>
      <name val="Arial"/>
      <charset val="134"/>
    </font>
    <font>
      <u/>
      <sz val="10"/>
      <color rgb="FF00FF00"/>
      <name val="Arial"/>
      <charset val="134"/>
    </font>
    <font>
      <u/>
      <sz val="10"/>
      <color rgb="FFFF0000"/>
      <name val="Arial"/>
      <charset val="134"/>
    </font>
    <font>
      <sz val="10"/>
      <color rgb="FFB6D7A8"/>
      <name val="Arial"/>
      <charset val="134"/>
    </font>
    <font>
      <sz val="9"/>
      <color rgb="FFFF0000"/>
      <name val="Arial"/>
      <charset val="134"/>
    </font>
    <font>
      <b/>
      <sz val="10"/>
      <color rgb="FF6AA84F"/>
      <name val="Arial"/>
      <charset val="134"/>
    </font>
    <font>
      <b/>
      <sz val="10"/>
      <color rgb="FF9900FF"/>
      <name val="Arial"/>
      <charset val="134"/>
    </font>
    <font>
      <b/>
      <sz val="11"/>
      <color rgb="FF38761D"/>
      <name val="Arial"/>
      <charset val="134"/>
    </font>
    <font>
      <sz val="11"/>
      <color theme="1"/>
      <name val="Arial"/>
      <charset val="134"/>
    </font>
    <font>
      <sz val="11"/>
      <color rgb="FF000000"/>
      <name val="Arial"/>
      <charset val="134"/>
    </font>
    <font>
      <b/>
      <sz val="10"/>
      <color rgb="FF0000FF"/>
      <name val="Arial"/>
      <charset val="134"/>
    </font>
    <font>
      <sz val="10"/>
      <color rgb="FFFF0000"/>
      <name val="Arial"/>
      <charset val="134"/>
      <scheme val="minor"/>
    </font>
    <font>
      <u/>
      <sz val="10"/>
      <color rgb="FF0000FF"/>
      <name val="Arial"/>
      <charset val="134"/>
    </font>
    <font>
      <sz val="10"/>
      <color rgb="FF38761D"/>
      <name val="Arial"/>
      <charset val="134"/>
    </font>
    <font>
      <sz val="10"/>
      <color rgb="FF34A853"/>
      <name val="Arial"/>
      <charset val="134"/>
    </font>
    <font>
      <sz val="10"/>
      <color rgb="FFCC0000"/>
      <name val="Arial"/>
      <charset val="134"/>
    </font>
    <font>
      <sz val="10"/>
      <color rgb="FFBF9000"/>
      <name val="Arial"/>
      <charset val="134"/>
    </font>
    <font>
      <sz val="10"/>
      <color rgb="FF4A86E8"/>
      <name val="Arial"/>
      <charset val="134"/>
    </font>
    <font>
      <u/>
      <sz val="11"/>
      <color rgb="FF1F1F1F"/>
      <name val="Google Sans"/>
      <charset val="134"/>
    </font>
    <font>
      <sz val="10"/>
      <color rgb="FF741B47"/>
      <name val="Arial"/>
      <charset val="134"/>
    </font>
    <font>
      <sz val="10"/>
      <color rgb="FFEA4335"/>
      <name val="Arial"/>
      <charset val="134"/>
    </font>
    <font>
      <u/>
      <sz val="11"/>
      <color rgb="FF1155CC"/>
      <name val="Google Sans"/>
      <charset val="134"/>
    </font>
    <font>
      <sz val="10"/>
      <color rgb="FF5E5E5E"/>
      <name val="Google Sans"/>
      <charset val="134"/>
    </font>
    <font>
      <sz val="10"/>
      <color rgb="FFFF6D01"/>
      <name val="Arial"/>
      <charset val="134"/>
    </font>
    <font>
      <sz val="10"/>
      <color rgb="FF6AA84F"/>
      <name val="Roboto"/>
      <charset val="134"/>
    </font>
    <font>
      <sz val="11"/>
      <color rgb="FFFF0000"/>
      <name val="Roboto"/>
      <charset val="134"/>
    </font>
    <font>
      <sz val="10"/>
      <color rgb="FFFF0000"/>
      <name val="Roboto"/>
      <charset val="134"/>
    </font>
    <font>
      <b/>
      <sz val="10"/>
      <color rgb="FF93C47D"/>
      <name val="Arial"/>
      <charset val="134"/>
    </font>
    <font>
      <sz val="9"/>
      <color rgb="FFFF0000"/>
      <name val="Google Sans"/>
      <charset val="134"/>
    </font>
    <font>
      <sz val="10"/>
      <color rgb="FF1F1F1F"/>
      <name val="Google Sans"/>
      <charset val="134"/>
    </font>
    <font>
      <sz val="9"/>
      <color rgb="FF38761D"/>
      <name val="Google Sans"/>
      <charset val="134"/>
    </font>
    <font>
      <sz val="11"/>
      <color rgb="FF34A853"/>
      <name val="Google Sans"/>
      <charset val="134"/>
    </font>
    <font>
      <sz val="11"/>
      <color rgb="FFFF0000"/>
      <name val="Google Sans"/>
      <charset val="134"/>
    </font>
    <font>
      <b/>
      <sz val="10"/>
      <color rgb="FF1F1F1F"/>
      <name val="Arial"/>
      <charset val="134"/>
    </font>
    <font>
      <sz val="11"/>
      <color rgb="FF38761D"/>
      <name val="Google Sans"/>
      <charset val="134"/>
    </font>
    <font>
      <sz val="10"/>
      <color rgb="FF000000"/>
      <name val="Lato"/>
      <charset val="134"/>
    </font>
    <font>
      <sz val="10"/>
      <color rgb="FF990000"/>
      <name val="Arial"/>
      <charset val="134"/>
    </font>
    <font>
      <b/>
      <sz val="9"/>
      <color rgb="FF0000FF"/>
      <name val="Google Sans"/>
      <charset val="134"/>
    </font>
    <font>
      <sz val="9"/>
      <color rgb="FF93C47D"/>
      <name val="Google Sans"/>
      <charset val="134"/>
    </font>
    <font>
      <sz val="9"/>
      <color theme="1"/>
      <name val="Google Sans"/>
      <charset val="134"/>
    </font>
    <font>
      <sz val="9"/>
      <color rgb="FF0000FF"/>
      <name val="Google Sans"/>
      <charset val="134"/>
    </font>
    <font>
      <sz val="10"/>
      <color rgb="FF0B5394"/>
      <name val="Arial"/>
      <charset val="134"/>
    </font>
    <font>
      <sz val="10"/>
      <color rgb="FF1155CC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u/>
      <sz val="10"/>
      <name val="Arial"/>
      <charset val="134"/>
    </font>
    <font>
      <sz val="10"/>
      <name val="Arial"/>
      <charset val="134"/>
    </font>
    <font>
      <u/>
      <sz val="10"/>
      <color rgb="FF00FF00"/>
      <name val="Poppins, sans-serif"/>
      <charset val="134"/>
    </font>
    <font>
      <b/>
      <sz val="10"/>
      <color rgb="FF351C75"/>
      <name val="Arial"/>
      <charset val="134"/>
    </font>
    <font>
      <sz val="10"/>
      <name val="SimSun"/>
      <charset val="134"/>
    </font>
  </fonts>
  <fills count="53">
    <fill>
      <patternFill patternType="none"/>
    </fill>
    <fill>
      <patternFill patternType="gray125"/>
    </fill>
    <fill>
      <patternFill patternType="solid">
        <fgColor rgb="FFA64D79"/>
        <bgColor rgb="FFA64D79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93C47D"/>
        <bgColor rgb="FF93C47D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3C78D8"/>
        <bgColor rgb="FF3C78D8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F1F5F7"/>
        <bgColor rgb="FFF1F5F7"/>
      </patternFill>
    </fill>
    <fill>
      <patternFill patternType="solid">
        <fgColor rgb="FFE0FFFF"/>
        <bgColor rgb="FFE0FFFF"/>
      </patternFill>
    </fill>
    <fill>
      <patternFill patternType="solid">
        <fgColor rgb="FFE9EEF6"/>
        <bgColor rgb="FFE9EEF6"/>
      </patternFill>
    </fill>
    <fill>
      <patternFill patternType="solid">
        <fgColor rgb="FF9FC5E8"/>
        <bgColor rgb="FF9FC5E8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  <fill>
      <patternFill patternType="solid">
        <fgColor rgb="FFA4C2F4"/>
        <bgColor rgb="FFA4C2F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double">
        <color rgb="FF38761D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double">
        <color rgb="FF38761D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FF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9900FF"/>
      </top>
      <bottom/>
      <diagonal/>
    </border>
    <border>
      <left/>
      <right/>
      <top style="medium">
        <color rgb="FF9900FF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FF"/>
      </bottom>
      <diagonal/>
    </border>
    <border>
      <left/>
      <right/>
      <top/>
      <bottom style="medium">
        <color rgb="FF0000FF"/>
      </bottom>
      <diagonal/>
    </border>
    <border>
      <left/>
      <right/>
      <top style="medium">
        <color rgb="FF0000FF"/>
      </top>
      <bottom style="thin">
        <color rgb="FF000000"/>
      </bottom>
      <diagonal/>
    </border>
    <border>
      <left/>
      <right/>
      <top style="medium">
        <color rgb="FF0000FF"/>
      </top>
      <bottom/>
      <diagonal/>
    </border>
    <border>
      <left style="thin">
        <color rgb="FF38761D"/>
      </left>
      <right style="thin">
        <color rgb="FF38761D"/>
      </right>
      <top style="thin">
        <color rgb="FF38761D"/>
      </top>
      <bottom style="thin">
        <color rgb="FF38761D"/>
      </bottom>
      <diagonal/>
    </border>
    <border>
      <left style="thin">
        <color rgb="FFB45F06"/>
      </left>
      <right style="thin">
        <color rgb="FFB45F06"/>
      </right>
      <top style="thin">
        <color rgb="FFB45F06"/>
      </top>
      <bottom style="thin">
        <color rgb="FFB45F06"/>
      </bottom>
      <diagonal/>
    </border>
    <border>
      <left/>
      <right/>
      <top style="thin">
        <color rgb="FF38761D"/>
      </top>
      <bottom/>
      <diagonal/>
    </border>
    <border>
      <left/>
      <right/>
      <top/>
      <bottom style="thin">
        <color rgb="FF00FF00"/>
      </bottom>
      <diagonal/>
    </border>
    <border>
      <left style="thin">
        <color rgb="FF000000"/>
      </left>
      <right style="thin">
        <color rgb="FF000000"/>
      </right>
      <top style="thick">
        <color rgb="FF00FF00"/>
      </top>
      <bottom/>
      <diagonal/>
    </border>
    <border>
      <left/>
      <right/>
      <top style="thick">
        <color rgb="FF00FF00"/>
      </top>
      <bottom/>
      <diagonal/>
    </border>
    <border>
      <left style="thin">
        <color rgb="FF000000"/>
      </left>
      <right style="thin">
        <color rgb="FF000000"/>
      </right>
      <top style="medium">
        <color rgb="FF00FF00"/>
      </top>
      <bottom style="thin">
        <color rgb="FF000000"/>
      </bottom>
      <diagonal/>
    </border>
    <border>
      <left/>
      <right/>
      <top style="medium">
        <color rgb="FF00FF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FF9900"/>
      </bottom>
      <diagonal/>
    </border>
    <border>
      <left/>
      <right/>
      <top/>
      <bottom style="medium">
        <color rgb="FFFF9900"/>
      </bottom>
      <diagonal/>
    </border>
    <border>
      <left/>
      <right/>
      <top/>
      <bottom style="thin">
        <color rgb="FFFF9900"/>
      </bottom>
      <diagonal/>
    </border>
    <border>
      <left style="thin">
        <color rgb="FF000000"/>
      </left>
      <right style="thin">
        <color rgb="FF000000"/>
      </right>
      <top style="medium">
        <color rgb="FFFF9900"/>
      </top>
      <bottom/>
      <diagonal/>
    </border>
    <border>
      <left/>
      <right/>
      <top style="medium">
        <color rgb="FFFF9900"/>
      </top>
      <bottom/>
      <diagonal/>
    </border>
    <border>
      <left style="thin">
        <color rgb="FF000000"/>
      </left>
      <right style="thin">
        <color rgb="FF000000"/>
      </right>
      <top/>
      <bottom style="thick">
        <color rgb="FFFF9900"/>
      </bottom>
      <diagonal/>
    </border>
    <border>
      <left/>
      <right/>
      <top/>
      <bottom style="thick">
        <color rgb="FFFF99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FF00"/>
      </bottom>
      <diagonal/>
    </border>
    <border>
      <left/>
      <right/>
      <top/>
      <bottom style="medium">
        <color rgb="FF00FF00"/>
      </bottom>
      <diagonal/>
    </border>
    <border>
      <left style="thin">
        <color rgb="FF000000"/>
      </left>
      <right style="thin">
        <color rgb="FF000000"/>
      </right>
      <top style="medium">
        <color rgb="FF00FF00"/>
      </top>
      <bottom/>
      <diagonal/>
    </border>
    <border>
      <left/>
      <right/>
      <top/>
      <bottom style="thin">
        <color rgb="FF0000FF"/>
      </bottom>
      <diagonal/>
    </border>
    <border>
      <left/>
      <right/>
      <top style="medium">
        <color rgb="FF0000FF"/>
      </top>
      <bottom style="medium">
        <color rgb="FF00FF00"/>
      </bottom>
      <diagonal/>
    </border>
    <border>
      <left/>
      <right/>
      <top style="thin">
        <color rgb="FF0000FF"/>
      </top>
      <bottom/>
      <diagonal/>
    </border>
    <border>
      <left/>
      <right/>
      <top style="thin">
        <color rgb="FFB45F06"/>
      </top>
      <bottom style="thin">
        <color rgb="FFB45F06"/>
      </bottom>
      <diagonal/>
    </border>
    <border>
      <left/>
      <right/>
      <top style="thin">
        <color rgb="FFB45F06"/>
      </top>
      <bottom/>
      <diagonal/>
    </border>
    <border>
      <left/>
      <right/>
      <top/>
      <bottom style="thin">
        <color rgb="FFB45F06"/>
      </bottom>
      <diagonal/>
    </border>
    <border>
      <left/>
      <right/>
      <top style="thick">
        <color rgb="FF0000FF"/>
      </top>
      <bottom/>
      <diagonal/>
    </border>
    <border>
      <left/>
      <right/>
      <top/>
      <bottom style="thin">
        <color rgb="FF980000"/>
      </bottom>
      <diagonal/>
    </border>
    <border>
      <left/>
      <right/>
      <top style="medium">
        <color rgb="FF98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FF"/>
      </bottom>
      <diagonal/>
    </border>
    <border>
      <left style="medium">
        <color rgb="FF000000"/>
      </left>
      <right/>
      <top style="medium">
        <color rgb="FF0000FF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8" fillId="0" borderId="0" applyFont="0" applyFill="0" applyBorder="0" applyAlignment="0" applyProtection="0">
      <alignment vertical="center"/>
    </xf>
    <xf numFmtId="44" fontId="88" fillId="0" borderId="0" applyFont="0" applyFill="0" applyBorder="0" applyAlignment="0" applyProtection="0">
      <alignment vertical="center"/>
    </xf>
    <xf numFmtId="9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88" fillId="22" borderId="65" applyNumberFormat="0" applyFont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4" fillId="0" borderId="66" applyNumberFormat="0" applyFill="0" applyAlignment="0" applyProtection="0">
      <alignment vertical="center"/>
    </xf>
    <xf numFmtId="0" fontId="95" fillId="0" borderId="66" applyNumberFormat="0" applyFill="0" applyAlignment="0" applyProtection="0">
      <alignment vertical="center"/>
    </xf>
    <xf numFmtId="0" fontId="96" fillId="0" borderId="67" applyNumberFormat="0" applyFill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7" fillId="23" borderId="68" applyNumberFormat="0" applyAlignment="0" applyProtection="0">
      <alignment vertical="center"/>
    </xf>
    <xf numFmtId="0" fontId="98" fillId="24" borderId="69" applyNumberFormat="0" applyAlignment="0" applyProtection="0">
      <alignment vertical="center"/>
    </xf>
    <xf numFmtId="0" fontId="99" fillId="24" borderId="68" applyNumberFormat="0" applyAlignment="0" applyProtection="0">
      <alignment vertical="center"/>
    </xf>
    <xf numFmtId="0" fontId="100" fillId="25" borderId="70" applyNumberFormat="0" applyAlignment="0" applyProtection="0">
      <alignment vertical="center"/>
    </xf>
    <xf numFmtId="0" fontId="101" fillId="0" borderId="71" applyNumberFormat="0" applyFill="0" applyAlignment="0" applyProtection="0">
      <alignment vertical="center"/>
    </xf>
    <xf numFmtId="0" fontId="102" fillId="0" borderId="72" applyNumberFormat="0" applyFill="0" applyAlignment="0" applyProtection="0">
      <alignment vertical="center"/>
    </xf>
    <xf numFmtId="0" fontId="103" fillId="26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7" fillId="30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6" fillId="33" borderId="0" applyNumberFormat="0" applyBorder="0" applyAlignment="0" applyProtection="0">
      <alignment vertical="center"/>
    </xf>
    <xf numFmtId="0" fontId="107" fillId="34" borderId="0" applyNumberFormat="0" applyBorder="0" applyAlignment="0" applyProtection="0">
      <alignment vertical="center"/>
    </xf>
    <xf numFmtId="0" fontId="107" fillId="35" borderId="0" applyNumberFormat="0" applyBorder="0" applyAlignment="0" applyProtection="0">
      <alignment vertical="center"/>
    </xf>
    <xf numFmtId="0" fontId="106" fillId="36" borderId="0" applyNumberFormat="0" applyBorder="0" applyAlignment="0" applyProtection="0">
      <alignment vertical="center"/>
    </xf>
    <xf numFmtId="0" fontId="106" fillId="37" borderId="0" applyNumberFormat="0" applyBorder="0" applyAlignment="0" applyProtection="0">
      <alignment vertical="center"/>
    </xf>
    <xf numFmtId="0" fontId="107" fillId="38" borderId="0" applyNumberFormat="0" applyBorder="0" applyAlignment="0" applyProtection="0">
      <alignment vertical="center"/>
    </xf>
    <xf numFmtId="0" fontId="107" fillId="39" borderId="0" applyNumberFormat="0" applyBorder="0" applyAlignment="0" applyProtection="0">
      <alignment vertical="center"/>
    </xf>
    <xf numFmtId="0" fontId="106" fillId="40" borderId="0" applyNumberFormat="0" applyBorder="0" applyAlignment="0" applyProtection="0">
      <alignment vertical="center"/>
    </xf>
    <xf numFmtId="0" fontId="106" fillId="41" borderId="0" applyNumberFormat="0" applyBorder="0" applyAlignment="0" applyProtection="0">
      <alignment vertical="center"/>
    </xf>
    <xf numFmtId="0" fontId="107" fillId="42" borderId="0" applyNumberFormat="0" applyBorder="0" applyAlignment="0" applyProtection="0">
      <alignment vertical="center"/>
    </xf>
    <xf numFmtId="0" fontId="107" fillId="43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7" fillId="46" borderId="0" applyNumberFormat="0" applyBorder="0" applyAlignment="0" applyProtection="0">
      <alignment vertical="center"/>
    </xf>
    <xf numFmtId="0" fontId="107" fillId="47" borderId="0" applyNumberFormat="0" applyBorder="0" applyAlignment="0" applyProtection="0">
      <alignment vertical="center"/>
    </xf>
    <xf numFmtId="0" fontId="106" fillId="48" borderId="0" applyNumberFormat="0" applyBorder="0" applyAlignment="0" applyProtection="0">
      <alignment vertical="center"/>
    </xf>
    <xf numFmtId="0" fontId="106" fillId="49" borderId="0" applyNumberFormat="0" applyBorder="0" applyAlignment="0" applyProtection="0">
      <alignment vertical="center"/>
    </xf>
    <xf numFmtId="0" fontId="107" fillId="50" borderId="0" applyNumberFormat="0" applyBorder="0" applyAlignment="0" applyProtection="0">
      <alignment vertical="center"/>
    </xf>
    <xf numFmtId="0" fontId="107" fillId="51" borderId="0" applyNumberFormat="0" applyBorder="0" applyAlignment="0" applyProtection="0">
      <alignment vertical="center"/>
    </xf>
    <xf numFmtId="0" fontId="106" fillId="52" borderId="0" applyNumberFormat="0" applyBorder="0" applyAlignment="0" applyProtection="0">
      <alignment vertical="center"/>
    </xf>
  </cellStyleXfs>
  <cellXfs count="727">
    <xf numFmtId="0" fontId="0" fillId="0" borderId="0" xfId="0" applyFont="1" applyAlignment="1"/>
    <xf numFmtId="0" fontId="1" fillId="0" borderId="1" xfId="0" applyFont="1" applyBorder="1" applyAlignment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178" fontId="1" fillId="0" borderId="1" xfId="0" applyNumberFormat="1" applyFont="1" applyBorder="1" applyAlignment="1"/>
    <xf numFmtId="178" fontId="1" fillId="0" borderId="2" xfId="0" applyNumberFormat="1" applyFont="1" applyBorder="1" applyAlignment="1"/>
    <xf numFmtId="0" fontId="1" fillId="2" borderId="3" xfId="0" applyFont="1" applyFill="1" applyBorder="1" applyAlignment="1"/>
    <xf numFmtId="0" fontId="1" fillId="0" borderId="0" xfId="0" applyFont="1" applyAlignment="1"/>
    <xf numFmtId="178" fontId="1" fillId="0" borderId="3" xfId="0" applyNumberFormat="1" applyFont="1" applyBorder="1" applyAlignment="1"/>
    <xf numFmtId="0" fontId="1" fillId="3" borderId="3" xfId="0" applyFont="1" applyFill="1" applyBorder="1" applyAlignment="1"/>
    <xf numFmtId="0" fontId="1" fillId="4" borderId="0" xfId="0" applyFont="1" applyFill="1" applyAlignment="1"/>
    <xf numFmtId="0" fontId="1" fillId="3" borderId="0" xfId="0" applyFont="1" applyFill="1" applyAlignment="1"/>
    <xf numFmtId="0" fontId="1" fillId="5" borderId="0" xfId="0" applyFont="1" applyFill="1" applyAlignment="1"/>
    <xf numFmtId="0" fontId="3" fillId="0" borderId="3" xfId="0" applyFont="1" applyBorder="1"/>
    <xf numFmtId="0" fontId="4" fillId="5" borderId="0" xfId="0" applyFont="1" applyFill="1" applyAlignment="1">
      <alignment horizontal="center"/>
    </xf>
    <xf numFmtId="0" fontId="1" fillId="4" borderId="4" xfId="0" applyFont="1" applyFill="1" applyBorder="1" applyAlignment="1"/>
    <xf numFmtId="0" fontId="5" fillId="4" borderId="4" xfId="0" applyFont="1" applyFill="1" applyBorder="1" applyAlignment="1"/>
    <xf numFmtId="178" fontId="1" fillId="4" borderId="5" xfId="0" applyNumberFormat="1" applyFont="1" applyFill="1" applyBorder="1" applyAlignment="1"/>
    <xf numFmtId="0" fontId="1" fillId="6" borderId="4" xfId="0" applyFont="1" applyFill="1" applyBorder="1" applyAlignment="1"/>
    <xf numFmtId="0" fontId="5" fillId="6" borderId="4" xfId="0" applyFont="1" applyFill="1" applyBorder="1" applyAlignment="1"/>
    <xf numFmtId="178" fontId="1" fillId="6" borderId="4" xfId="0" applyNumberFormat="1" applyFont="1" applyFill="1" applyBorder="1" applyAlignment="1"/>
    <xf numFmtId="178" fontId="6" fillId="6" borderId="4" xfId="0" applyNumberFormat="1" applyFont="1" applyFill="1" applyBorder="1" applyAlignment="1"/>
    <xf numFmtId="178" fontId="1" fillId="6" borderId="6" xfId="0" applyNumberFormat="1" applyFont="1" applyFill="1" applyBorder="1" applyAlignment="1"/>
    <xf numFmtId="0" fontId="1" fillId="0" borderId="4" xfId="0" applyFont="1" applyBorder="1" applyAlignment="1"/>
    <xf numFmtId="0" fontId="2" fillId="0" borderId="4" xfId="0" applyFont="1" applyBorder="1" applyAlignment="1">
      <alignment horizontal="center"/>
    </xf>
    <xf numFmtId="0" fontId="3" fillId="0" borderId="4" xfId="0" applyFont="1" applyBorder="1"/>
    <xf numFmtId="178" fontId="1" fillId="0" borderId="6" xfId="0" applyNumberFormat="1" applyFont="1" applyBorder="1" applyAlignment="1"/>
    <xf numFmtId="0" fontId="7" fillId="4" borderId="4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1" fillId="7" borderId="0" xfId="0" applyFont="1" applyFill="1" applyAlignment="1"/>
    <xf numFmtId="0" fontId="8" fillId="0" borderId="4" xfId="0" applyFont="1" applyBorder="1" applyAlignment="1">
      <alignment horizontal="center"/>
    </xf>
    <xf numFmtId="0" fontId="5" fillId="0" borderId="7" xfId="0" applyFont="1" applyBorder="1" applyAlignment="1"/>
    <xf numFmtId="178" fontId="5" fillId="0" borderId="7" xfId="0" applyNumberFormat="1" applyFont="1" applyBorder="1" applyAlignment="1"/>
    <xf numFmtId="0" fontId="1" fillId="2" borderId="8" xfId="0" applyFont="1" applyFill="1" applyBorder="1" applyAlignment="1"/>
    <xf numFmtId="0" fontId="1" fillId="0" borderId="7" xfId="0" applyFont="1" applyBorder="1" applyAlignment="1"/>
    <xf numFmtId="0" fontId="5" fillId="0" borderId="8" xfId="0" applyFont="1" applyBorder="1" applyAlignment="1"/>
    <xf numFmtId="0" fontId="5" fillId="0" borderId="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" fillId="0" borderId="10" xfId="0" applyFont="1" applyBorder="1" applyAlignment="1"/>
    <xf numFmtId="0" fontId="5" fillId="0" borderId="10" xfId="0" applyFont="1" applyBorder="1" applyAlignment="1"/>
    <xf numFmtId="178" fontId="5" fillId="0" borderId="10" xfId="0" applyNumberFormat="1" applyFont="1" applyBorder="1" applyAlignment="1"/>
    <xf numFmtId="178" fontId="1" fillId="7" borderId="0" xfId="0" applyNumberFormat="1" applyFont="1" applyFill="1" applyAlignment="1"/>
    <xf numFmtId="0" fontId="5" fillId="0" borderId="0" xfId="0" applyFont="1" applyAlignment="1"/>
    <xf numFmtId="0" fontId="3" fillId="0" borderId="8" xfId="0" applyFont="1" applyBorder="1"/>
    <xf numFmtId="178" fontId="5" fillId="0" borderId="8" xfId="0" applyNumberFormat="1" applyFont="1" applyBorder="1" applyAlignment="1"/>
    <xf numFmtId="49" fontId="1" fillId="0" borderId="0" xfId="0" applyNumberFormat="1" applyFont="1"/>
    <xf numFmtId="179" fontId="1" fillId="0" borderId="0" xfId="0" applyNumberFormat="1" applyFont="1" applyAlignment="1">
      <alignment horizontal="center"/>
    </xf>
    <xf numFmtId="0" fontId="9" fillId="0" borderId="0" xfId="0" applyFont="1" applyAlignment="1">
      <alignment horizontal="center" wrapText="1"/>
    </xf>
    <xf numFmtId="178" fontId="6" fillId="5" borderId="8" xfId="0" applyNumberFormat="1" applyFont="1" applyFill="1" applyBorder="1" applyAlignment="1">
      <alignment horizontal="right"/>
    </xf>
    <xf numFmtId="179" fontId="1" fillId="0" borderId="0" xfId="0" applyNumberFormat="1" applyFont="1" applyAlignment="1"/>
    <xf numFmtId="49" fontId="1" fillId="5" borderId="0" xfId="0" applyNumberFormat="1" applyFont="1" applyFill="1" applyAlignment="1"/>
    <xf numFmtId="178" fontId="1" fillId="5" borderId="8" xfId="0" applyNumberFormat="1" applyFont="1" applyFill="1" applyBorder="1" applyAlignment="1"/>
    <xf numFmtId="0" fontId="5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right"/>
    </xf>
    <xf numFmtId="179" fontId="1" fillId="0" borderId="0" xfId="0" applyNumberFormat="1" applyFont="1" applyAlignment="1">
      <alignment horizontal="right"/>
    </xf>
    <xf numFmtId="178" fontId="1" fillId="0" borderId="8" xfId="0" applyNumberFormat="1" applyFont="1" applyBorder="1" applyAlignment="1">
      <alignment horizontal="right"/>
    </xf>
    <xf numFmtId="0" fontId="1" fillId="0" borderId="8" xfId="0" applyFont="1" applyBorder="1" applyAlignment="1"/>
    <xf numFmtId="178" fontId="6" fillId="0" borderId="9" xfId="0" applyNumberFormat="1" applyFont="1" applyBorder="1" applyAlignment="1">
      <alignment horizontal="right"/>
    </xf>
    <xf numFmtId="178" fontId="1" fillId="0" borderId="7" xfId="0" applyNumberFormat="1" applyFont="1" applyBorder="1" applyAlignment="1"/>
    <xf numFmtId="0" fontId="6" fillId="0" borderId="8" xfId="0" applyFont="1" applyBorder="1" applyAlignment="1">
      <alignment horizontal="center" textRotation="255"/>
    </xf>
    <xf numFmtId="0" fontId="1" fillId="0" borderId="0" xfId="0" applyFont="1" applyAlignment="1">
      <alignment horizontal="right"/>
    </xf>
    <xf numFmtId="179" fontId="1" fillId="0" borderId="12" xfId="0" applyNumberFormat="1" applyFont="1" applyBorder="1" applyAlignment="1">
      <alignment horizontal="right"/>
    </xf>
    <xf numFmtId="0" fontId="1" fillId="0" borderId="11" xfId="0" applyFont="1" applyBorder="1"/>
    <xf numFmtId="0" fontId="1" fillId="0" borderId="10" xfId="0" applyFont="1" applyBorder="1" applyAlignment="1">
      <alignment horizontal="right"/>
    </xf>
    <xf numFmtId="0" fontId="1" fillId="0" borderId="12" xfId="0" applyFont="1" applyBorder="1" applyAlignment="1"/>
    <xf numFmtId="0" fontId="3" fillId="0" borderId="12" xfId="0" applyFont="1" applyBorder="1"/>
    <xf numFmtId="178" fontId="6" fillId="0" borderId="13" xfId="0" applyNumberFormat="1" applyFont="1" applyBorder="1" applyAlignment="1">
      <alignment horizontal="right"/>
    </xf>
    <xf numFmtId="0" fontId="3" fillId="0" borderId="14" xfId="0" applyFont="1" applyBorder="1"/>
    <xf numFmtId="178" fontId="1" fillId="0" borderId="8" xfId="0" applyNumberFormat="1" applyFont="1" applyBorder="1" applyAlignment="1"/>
    <xf numFmtId="0" fontId="6" fillId="0" borderId="0" xfId="0" applyFont="1" applyAlignment="1">
      <alignment horizontal="right"/>
    </xf>
    <xf numFmtId="0" fontId="1" fillId="5" borderId="15" xfId="0" applyFont="1" applyFill="1" applyBorder="1" applyAlignment="1"/>
    <xf numFmtId="0" fontId="1" fillId="0" borderId="14" xfId="0" applyFont="1" applyBorder="1"/>
    <xf numFmtId="180" fontId="1" fillId="0" borderId="0" xfId="0" applyNumberFormat="1" applyFont="1" applyAlignment="1">
      <alignment horizontal="right"/>
    </xf>
    <xf numFmtId="179" fontId="1" fillId="5" borderId="0" xfId="0" applyNumberFormat="1" applyFont="1" applyFill="1" applyAlignment="1"/>
    <xf numFmtId="178" fontId="6" fillId="0" borderId="0" xfId="0" applyNumberFormat="1" applyFont="1" applyAlignment="1">
      <alignment horizontal="right"/>
    </xf>
    <xf numFmtId="179" fontId="9" fillId="0" borderId="0" xfId="0" applyNumberFormat="1" applyFont="1" applyAlignment="1">
      <alignment horizontal="center" wrapText="1"/>
    </xf>
    <xf numFmtId="179" fontId="1" fillId="0" borderId="0" xfId="0" applyNumberFormat="1" applyFont="1"/>
    <xf numFmtId="178" fontId="1" fillId="0" borderId="0" xfId="0" applyNumberFormat="1" applyFont="1" applyAlignment="1">
      <alignment horizontal="right"/>
    </xf>
    <xf numFmtId="0" fontId="6" fillId="0" borderId="7" xfId="0" applyFont="1" applyBorder="1" applyAlignment="1"/>
    <xf numFmtId="0" fontId="3" fillId="0" borderId="7" xfId="0" applyFont="1" applyBorder="1"/>
    <xf numFmtId="0" fontId="1" fillId="0" borderId="0" xfId="0" applyFont="1"/>
    <xf numFmtId="0" fontId="1" fillId="0" borderId="15" xfId="0" applyFont="1" applyBorder="1" applyAlignment="1"/>
    <xf numFmtId="0" fontId="7" fillId="8" borderId="1" xfId="0" applyFont="1" applyFill="1" applyBorder="1" applyAlignment="1">
      <alignment horizontal="center"/>
    </xf>
    <xf numFmtId="0" fontId="3" fillId="0" borderId="9" xfId="0" applyFont="1" applyBorder="1"/>
    <xf numFmtId="178" fontId="5" fillId="8" borderId="1" xfId="0" applyNumberFormat="1" applyFont="1" applyFill="1" applyBorder="1" applyAlignment="1">
      <alignment horizontal="center"/>
    </xf>
    <xf numFmtId="0" fontId="10" fillId="0" borderId="7" xfId="0" applyFont="1" applyBorder="1" applyAlignment="1"/>
    <xf numFmtId="178" fontId="11" fillId="0" borderId="7" xfId="0" applyNumberFormat="1" applyFont="1" applyBorder="1" applyAlignment="1">
      <alignment horizontal="right"/>
    </xf>
    <xf numFmtId="0" fontId="12" fillId="0" borderId="0" xfId="0" applyFont="1" applyAlignment="1">
      <alignment horizontal="right"/>
    </xf>
    <xf numFmtId="178" fontId="1" fillId="5" borderId="7" xfId="0" applyNumberFormat="1" applyFont="1" applyFill="1" applyBorder="1" applyAlignment="1"/>
    <xf numFmtId="0" fontId="5" fillId="0" borderId="0" xfId="0" applyFont="1" applyAlignment="1">
      <alignment horizontal="right"/>
    </xf>
    <xf numFmtId="180" fontId="1" fillId="7" borderId="0" xfId="0" applyNumberFormat="1" applyFont="1" applyFill="1" applyAlignment="1"/>
    <xf numFmtId="180" fontId="1" fillId="0" borderId="0" xfId="0" applyNumberFormat="1" applyFont="1" applyAlignment="1"/>
    <xf numFmtId="178" fontId="13" fillId="0" borderId="8" xfId="0" applyNumberFormat="1" applyFont="1" applyBorder="1" applyAlignment="1">
      <alignment horizontal="right"/>
    </xf>
    <xf numFmtId="180" fontId="14" fillId="0" borderId="16" xfId="0" applyNumberFormat="1" applyFont="1" applyBorder="1" applyAlignment="1">
      <alignment horizontal="right"/>
    </xf>
    <xf numFmtId="178" fontId="15" fillId="5" borderId="7" xfId="0" applyNumberFormat="1" applyFont="1" applyFill="1" applyBorder="1" applyAlignment="1">
      <alignment horizontal="right"/>
    </xf>
    <xf numFmtId="180" fontId="5" fillId="0" borderId="0" xfId="0" applyNumberFormat="1" applyFont="1" applyAlignment="1">
      <alignment horizontal="right"/>
    </xf>
    <xf numFmtId="178" fontId="1" fillId="0" borderId="0" xfId="0" applyNumberFormat="1" applyFont="1" applyAlignment="1"/>
    <xf numFmtId="0" fontId="1" fillId="0" borderId="17" xfId="0" applyFont="1" applyBorder="1" applyAlignment="1">
      <alignment horizontal="right"/>
    </xf>
    <xf numFmtId="0" fontId="1" fillId="0" borderId="11" xfId="0" applyFont="1" applyBorder="1" applyAlignment="1"/>
    <xf numFmtId="179" fontId="1" fillId="0" borderId="12" xfId="0" applyNumberFormat="1" applyFont="1" applyBorder="1" applyAlignment="1"/>
    <xf numFmtId="0" fontId="5" fillId="6" borderId="8" xfId="0" applyFont="1" applyFill="1" applyBorder="1" applyAlignment="1"/>
    <xf numFmtId="178" fontId="6" fillId="0" borderId="8" xfId="0" applyNumberFormat="1" applyFont="1" applyBorder="1" applyAlignment="1">
      <alignment horizontal="right"/>
    </xf>
    <xf numFmtId="0" fontId="2" fillId="0" borderId="0" xfId="0" applyFont="1" applyAlignment="1">
      <alignment horizontal="center"/>
    </xf>
    <xf numFmtId="0" fontId="1" fillId="0" borderId="8" xfId="0" applyFont="1" applyBorder="1"/>
    <xf numFmtId="0" fontId="1" fillId="0" borderId="18" xfId="0" applyFont="1" applyBorder="1" applyAlignment="1">
      <alignment horizontal="right"/>
    </xf>
    <xf numFmtId="0" fontId="2" fillId="0" borderId="7" xfId="0" applyFont="1" applyBorder="1" applyAlignment="1"/>
    <xf numFmtId="178" fontId="2" fillId="0" borderId="7" xfId="0" applyNumberFormat="1" applyFont="1" applyBorder="1" applyAlignment="1">
      <alignment horizontal="right"/>
    </xf>
    <xf numFmtId="178" fontId="1" fillId="0" borderId="7" xfId="0" applyNumberFormat="1" applyFont="1" applyBorder="1" applyAlignment="1">
      <alignment horizontal="right"/>
    </xf>
    <xf numFmtId="0" fontId="9" fillId="0" borderId="12" xfId="0" applyFont="1" applyBorder="1" applyAlignment="1">
      <alignment horizontal="center" wrapText="1"/>
    </xf>
    <xf numFmtId="178" fontId="1" fillId="0" borderId="12" xfId="0" applyNumberFormat="1" applyFont="1" applyBorder="1" applyAlignment="1">
      <alignment horizontal="right"/>
    </xf>
    <xf numFmtId="0" fontId="5" fillId="0" borderId="1" xfId="0" applyFont="1" applyBorder="1" applyAlignment="1"/>
    <xf numFmtId="178" fontId="6" fillId="0" borderId="7" xfId="0" applyNumberFormat="1" applyFont="1" applyBorder="1" applyAlignment="1"/>
    <xf numFmtId="180" fontId="1" fillId="5" borderId="1" xfId="0" applyNumberFormat="1" applyFont="1" applyFill="1" applyBorder="1" applyAlignment="1"/>
    <xf numFmtId="180" fontId="1" fillId="5" borderId="7" xfId="0" applyNumberFormat="1" applyFont="1" applyFill="1" applyBorder="1" applyAlignment="1"/>
    <xf numFmtId="0" fontId="6" fillId="0" borderId="8" xfId="0" applyFont="1" applyBorder="1" applyAlignment="1">
      <alignment horizontal="center" textRotation="255" wrapText="1"/>
    </xf>
    <xf numFmtId="178" fontId="1" fillId="0" borderId="13" xfId="0" applyNumberFormat="1" applyFont="1" applyBorder="1" applyAlignment="1">
      <alignment horizontal="right"/>
    </xf>
    <xf numFmtId="0" fontId="1" fillId="0" borderId="19" xfId="0" applyFont="1" applyBorder="1" applyAlignment="1"/>
    <xf numFmtId="0" fontId="1" fillId="0" borderId="13" xfId="0" applyFont="1" applyBorder="1" applyAlignment="1"/>
    <xf numFmtId="0" fontId="5" fillId="6" borderId="10" xfId="0" applyFont="1" applyFill="1" applyBorder="1" applyAlignment="1"/>
    <xf numFmtId="178" fontId="6" fillId="0" borderId="20" xfId="0" applyNumberFormat="1" applyFont="1" applyBorder="1" applyAlignment="1">
      <alignment horizontal="right"/>
    </xf>
    <xf numFmtId="0" fontId="1" fillId="4" borderId="1" xfId="0" applyFont="1" applyFill="1" applyBorder="1" applyAlignment="1"/>
    <xf numFmtId="0" fontId="5" fillId="4" borderId="1" xfId="0" applyFont="1" applyFill="1" applyBorder="1" applyAlignment="1"/>
    <xf numFmtId="178" fontId="1" fillId="4" borderId="7" xfId="0" applyNumberFormat="1" applyFont="1" applyFill="1" applyBorder="1" applyAlignment="1"/>
    <xf numFmtId="0" fontId="5" fillId="9" borderId="1" xfId="0" applyFont="1" applyFill="1" applyBorder="1" applyAlignment="1"/>
    <xf numFmtId="178" fontId="6" fillId="0" borderId="10" xfId="0" applyNumberFormat="1" applyFont="1" applyBorder="1" applyAlignment="1">
      <alignment horizontal="right"/>
    </xf>
    <xf numFmtId="178" fontId="16" fillId="0" borderId="1" xfId="0" applyNumberFormat="1" applyFont="1" applyBorder="1" applyAlignment="1">
      <alignment horizontal="right"/>
    </xf>
    <xf numFmtId="0" fontId="1" fillId="0" borderId="12" xfId="0" applyFont="1" applyBorder="1"/>
    <xf numFmtId="0" fontId="5" fillId="10" borderId="7" xfId="0" applyFont="1" applyFill="1" applyBorder="1" applyAlignment="1"/>
    <xf numFmtId="178" fontId="6" fillId="0" borderId="7" xfId="0" applyNumberFormat="1" applyFont="1" applyBorder="1" applyAlignment="1">
      <alignment horizontal="right"/>
    </xf>
    <xf numFmtId="0" fontId="5" fillId="0" borderId="7" xfId="0" applyFont="1" applyBorder="1" applyAlignment="1">
      <alignment horizontal="center"/>
    </xf>
    <xf numFmtId="0" fontId="5" fillId="9" borderId="7" xfId="0" applyFont="1" applyFill="1" applyBorder="1" applyAlignment="1"/>
    <xf numFmtId="0" fontId="6" fillId="5" borderId="15" xfId="0" applyFont="1" applyFill="1" applyBorder="1" applyAlignment="1"/>
    <xf numFmtId="179" fontId="6" fillId="0" borderId="12" xfId="0" applyNumberFormat="1" applyFont="1" applyBorder="1" applyAlignment="1">
      <alignment horizontal="right"/>
    </xf>
    <xf numFmtId="178" fontId="6" fillId="11" borderId="8" xfId="0" applyNumberFormat="1" applyFont="1" applyFill="1" applyBorder="1" applyAlignment="1">
      <alignment horizontal="right"/>
    </xf>
    <xf numFmtId="0" fontId="14" fillId="0" borderId="0" xfId="0" applyFont="1" applyAlignment="1"/>
    <xf numFmtId="179" fontId="17" fillId="5" borderId="0" xfId="0" applyNumberFormat="1" applyFont="1" applyFill="1" applyAlignment="1">
      <alignment horizontal="right"/>
    </xf>
    <xf numFmtId="178" fontId="5" fillId="0" borderId="8" xfId="0" applyNumberFormat="1" applyFont="1" applyBorder="1" applyAlignment="1">
      <alignment horizontal="right"/>
    </xf>
    <xf numFmtId="178" fontId="1" fillId="11" borderId="0" xfId="0" applyNumberFormat="1" applyFont="1" applyFill="1" applyAlignment="1">
      <alignment horizontal="right"/>
    </xf>
    <xf numFmtId="0" fontId="3" fillId="0" borderId="18" xfId="0" applyFont="1" applyBorder="1"/>
    <xf numFmtId="0" fontId="1" fillId="10" borderId="0" xfId="0" applyFont="1" applyFill="1" applyAlignment="1"/>
    <xf numFmtId="0" fontId="1" fillId="11" borderId="0" xfId="0" applyFont="1" applyFill="1" applyAlignment="1">
      <alignment horizontal="right"/>
    </xf>
    <xf numFmtId="180" fontId="1" fillId="0" borderId="12" xfId="0" applyNumberFormat="1" applyFont="1" applyBorder="1" applyAlignment="1"/>
    <xf numFmtId="0" fontId="14" fillId="0" borderId="7" xfId="0" applyFont="1" applyBorder="1" applyAlignment="1"/>
    <xf numFmtId="0" fontId="14" fillId="0" borderId="10" xfId="0" applyFont="1" applyBorder="1" applyAlignment="1"/>
    <xf numFmtId="0" fontId="1" fillId="4" borderId="7" xfId="0" applyFont="1" applyFill="1" applyBorder="1" applyAlignment="1"/>
    <xf numFmtId="178" fontId="1" fillId="11" borderId="8" xfId="0" applyNumberFormat="1" applyFont="1" applyFill="1" applyBorder="1" applyAlignment="1">
      <alignment horizontal="right"/>
    </xf>
    <xf numFmtId="0" fontId="1" fillId="0" borderId="18" xfId="0" applyFont="1" applyBorder="1"/>
    <xf numFmtId="181" fontId="6" fillId="0" borderId="7" xfId="0" applyNumberFormat="1" applyFont="1" applyBorder="1" applyAlignment="1">
      <alignment horizontal="right"/>
    </xf>
    <xf numFmtId="0" fontId="6" fillId="0" borderId="7" xfId="0" applyFont="1" applyBorder="1" applyAlignment="1">
      <alignment horizontal="right"/>
    </xf>
    <xf numFmtId="181" fontId="18" fillId="0" borderId="7" xfId="0" applyNumberFormat="1" applyFont="1" applyBorder="1" applyAlignment="1">
      <alignment horizontal="right"/>
    </xf>
    <xf numFmtId="0" fontId="19" fillId="0" borderId="10" xfId="0" applyFont="1" applyBorder="1" applyAlignment="1">
      <alignment horizontal="right"/>
    </xf>
    <xf numFmtId="178" fontId="5" fillId="9" borderId="7" xfId="0" applyNumberFormat="1" applyFont="1" applyFill="1" applyBorder="1" applyAlignment="1"/>
    <xf numFmtId="0" fontId="5" fillId="0" borderId="8" xfId="0" applyFont="1" applyBorder="1" applyAlignment="1">
      <alignment horizontal="center" wrapText="1"/>
    </xf>
    <xf numFmtId="0" fontId="5" fillId="0" borderId="8" xfId="0" applyFont="1" applyBorder="1" applyAlignment="1">
      <alignment horizontal="center" textRotation="90" wrapText="1"/>
    </xf>
    <xf numFmtId="0" fontId="5" fillId="6" borderId="7" xfId="0" applyFont="1" applyFill="1" applyBorder="1" applyAlignment="1"/>
    <xf numFmtId="179" fontId="1" fillId="0" borderId="10" xfId="0" applyNumberFormat="1" applyFont="1" applyBorder="1" applyAlignment="1"/>
    <xf numFmtId="181" fontId="1" fillId="0" borderId="7" xfId="0" applyNumberFormat="1" applyFont="1" applyBorder="1" applyAlignment="1"/>
    <xf numFmtId="180" fontId="1" fillId="11" borderId="0" xfId="0" applyNumberFormat="1" applyFont="1" applyFill="1" applyAlignment="1">
      <alignment horizontal="right"/>
    </xf>
    <xf numFmtId="179" fontId="1" fillId="5" borderId="8" xfId="0" applyNumberFormat="1" applyFont="1" applyFill="1" applyBorder="1" applyAlignment="1"/>
    <xf numFmtId="178" fontId="5" fillId="12" borderId="7" xfId="0" applyNumberFormat="1" applyFont="1" applyFill="1" applyBorder="1" applyAlignment="1">
      <alignment horizontal="center"/>
    </xf>
    <xf numFmtId="178" fontId="5" fillId="5" borderId="7" xfId="0" applyNumberFormat="1" applyFont="1" applyFill="1" applyBorder="1" applyAlignment="1">
      <alignment horizontal="right"/>
    </xf>
    <xf numFmtId="0" fontId="14" fillId="12" borderId="7" xfId="0" applyFont="1" applyFill="1" applyBorder="1" applyAlignment="1">
      <alignment horizontal="center"/>
    </xf>
    <xf numFmtId="178" fontId="14" fillId="0" borderId="7" xfId="0" applyNumberFormat="1" applyFont="1" applyBorder="1" applyAlignment="1">
      <alignment horizontal="center"/>
    </xf>
    <xf numFmtId="0" fontId="6" fillId="0" borderId="11" xfId="0" applyFont="1" applyBorder="1" applyAlignment="1">
      <alignment horizontal="right"/>
    </xf>
    <xf numFmtId="0" fontId="14" fillId="0" borderId="11" xfId="0" applyFont="1" applyBorder="1" applyAlignment="1"/>
    <xf numFmtId="180" fontId="1" fillId="0" borderId="11" xfId="0" applyNumberFormat="1" applyFont="1" applyBorder="1" applyAlignment="1">
      <alignment horizontal="right"/>
    </xf>
    <xf numFmtId="180" fontId="1" fillId="0" borderId="11" xfId="0" applyNumberFormat="1" applyFont="1" applyBorder="1" applyAlignment="1"/>
    <xf numFmtId="178" fontId="1" fillId="5" borderId="0" xfId="0" applyNumberFormat="1" applyFont="1" applyFill="1" applyAlignment="1"/>
    <xf numFmtId="0" fontId="20" fillId="0" borderId="8" xfId="0" applyFont="1" applyBorder="1" applyAlignment="1">
      <alignment horizontal="center" wrapText="1"/>
    </xf>
    <xf numFmtId="0" fontId="6" fillId="0" borderId="21" xfId="0" applyFont="1" applyBorder="1" applyAlignment="1">
      <alignment horizontal="right"/>
    </xf>
    <xf numFmtId="180" fontId="1" fillId="0" borderId="8" xfId="0" applyNumberFormat="1" applyFont="1" applyBorder="1" applyAlignment="1">
      <alignment horizontal="right"/>
    </xf>
    <xf numFmtId="0" fontId="14" fillId="0" borderId="22" xfId="0" applyFont="1" applyBorder="1" applyAlignment="1"/>
    <xf numFmtId="181" fontId="6" fillId="0" borderId="23" xfId="0" applyNumberFormat="1" applyFont="1" applyBorder="1" applyAlignment="1">
      <alignment horizontal="right"/>
    </xf>
    <xf numFmtId="0" fontId="1" fillId="0" borderId="23" xfId="0" applyFont="1" applyBorder="1" applyAlignment="1">
      <alignment horizontal="right"/>
    </xf>
    <xf numFmtId="0" fontId="1" fillId="0" borderId="24" xfId="0" applyFont="1" applyBorder="1" applyAlignment="1"/>
    <xf numFmtId="178" fontId="1" fillId="0" borderId="10" xfId="0" applyNumberFormat="1" applyFont="1" applyBorder="1" applyAlignment="1">
      <alignment horizontal="right"/>
    </xf>
    <xf numFmtId="0" fontId="21" fillId="0" borderId="0" xfId="0" applyFont="1" applyAlignment="1"/>
    <xf numFmtId="181" fontId="5" fillId="0" borderId="7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180" fontId="1" fillId="0" borderId="1" xfId="0" applyNumberFormat="1" applyFont="1" applyBorder="1" applyAlignment="1"/>
    <xf numFmtId="179" fontId="1" fillId="0" borderId="13" xfId="0" applyNumberFormat="1" applyFont="1" applyBorder="1" applyAlignment="1"/>
    <xf numFmtId="0" fontId="1" fillId="0" borderId="12" xfId="0" applyFont="1" applyBorder="1" applyAlignment="1">
      <alignment horizontal="right"/>
    </xf>
    <xf numFmtId="178" fontId="1" fillId="0" borderId="10" xfId="0" applyNumberFormat="1" applyFont="1" applyBorder="1" applyAlignment="1"/>
    <xf numFmtId="179" fontId="1" fillId="5" borderId="1" xfId="0" applyNumberFormat="1" applyFont="1" applyFill="1" applyBorder="1" applyAlignment="1"/>
    <xf numFmtId="0" fontId="1" fillId="0" borderId="15" xfId="0" applyFont="1" applyBorder="1" applyAlignment="1">
      <alignment horizontal="right"/>
    </xf>
    <xf numFmtId="0" fontId="5" fillId="0" borderId="20" xfId="0" applyFont="1" applyBorder="1" applyAlignment="1"/>
    <xf numFmtId="178" fontId="6" fillId="0" borderId="15" xfId="0" applyNumberFormat="1" applyFont="1" applyBorder="1" applyAlignment="1">
      <alignment horizontal="right"/>
    </xf>
    <xf numFmtId="179" fontId="1" fillId="0" borderId="1" xfId="0" applyNumberFormat="1" applyFont="1" applyBorder="1" applyAlignment="1"/>
    <xf numFmtId="178" fontId="1" fillId="0" borderId="15" xfId="0" applyNumberFormat="1" applyFont="1" applyBorder="1" applyAlignment="1"/>
    <xf numFmtId="0" fontId="6" fillId="0" borderId="1" xfId="0" applyFont="1" applyBorder="1" applyAlignment="1">
      <alignment horizontal="right"/>
    </xf>
    <xf numFmtId="0" fontId="5" fillId="0" borderId="8" xfId="0" applyFont="1" applyBorder="1"/>
    <xf numFmtId="0" fontId="6" fillId="0" borderId="11" xfId="0" applyFont="1" applyBorder="1" applyAlignment="1">
      <alignment horizontal="center"/>
    </xf>
    <xf numFmtId="178" fontId="1" fillId="0" borderId="15" xfId="0" applyNumberFormat="1" applyFont="1" applyBorder="1" applyAlignment="1">
      <alignment horizontal="right"/>
    </xf>
    <xf numFmtId="0" fontId="1" fillId="10" borderId="8" xfId="0" applyFont="1" applyFill="1" applyBorder="1" applyAlignment="1"/>
    <xf numFmtId="0" fontId="5" fillId="4" borderId="7" xfId="0" applyFont="1" applyFill="1" applyBorder="1" applyAlignment="1"/>
    <xf numFmtId="178" fontId="5" fillId="4" borderId="7" xfId="0" applyNumberFormat="1" applyFont="1" applyFill="1" applyBorder="1" applyAlignment="1">
      <alignment horizontal="right"/>
    </xf>
    <xf numFmtId="0" fontId="6" fillId="0" borderId="14" xfId="0" applyFont="1" applyBorder="1" applyAlignment="1">
      <alignment horizontal="center"/>
    </xf>
    <xf numFmtId="178" fontId="1" fillId="0" borderId="19" xfId="0" applyNumberFormat="1" applyFont="1" applyBorder="1" applyAlignment="1">
      <alignment horizontal="right"/>
    </xf>
    <xf numFmtId="178" fontId="1" fillId="0" borderId="12" xfId="0" applyNumberFormat="1" applyFont="1" applyBorder="1" applyAlignment="1"/>
    <xf numFmtId="0" fontId="1" fillId="9" borderId="8" xfId="0" applyFont="1" applyFill="1" applyBorder="1" applyAlignment="1"/>
    <xf numFmtId="0" fontId="6" fillId="0" borderId="18" xfId="0" applyFont="1" applyBorder="1" applyAlignment="1">
      <alignment horizontal="center"/>
    </xf>
    <xf numFmtId="0" fontId="1" fillId="9" borderId="7" xfId="0" applyFont="1" applyFill="1" applyBorder="1" applyAlignment="1"/>
    <xf numFmtId="0" fontId="1" fillId="0" borderId="25" xfId="0" applyFont="1" applyBorder="1" applyAlignment="1"/>
    <xf numFmtId="180" fontId="1" fillId="0" borderId="7" xfId="0" applyNumberFormat="1" applyFont="1" applyBorder="1" applyAlignment="1"/>
    <xf numFmtId="178" fontId="5" fillId="0" borderId="8" xfId="0" applyNumberFormat="1" applyFont="1" applyBorder="1" applyAlignment="1">
      <alignment horizontal="center"/>
    </xf>
    <xf numFmtId="178" fontId="5" fillId="0" borderId="11" xfId="0" applyNumberFormat="1" applyFont="1" applyBorder="1" applyAlignment="1">
      <alignment horizontal="center"/>
    </xf>
    <xf numFmtId="0" fontId="1" fillId="4" borderId="8" xfId="0" applyFont="1" applyFill="1" applyBorder="1" applyAlignment="1"/>
    <xf numFmtId="178" fontId="5" fillId="0" borderId="25" xfId="0" applyNumberFormat="1" applyFont="1" applyBorder="1" applyAlignment="1">
      <alignment horizontal="right"/>
    </xf>
    <xf numFmtId="178" fontId="5" fillId="0" borderId="1" xfId="0" applyNumberFormat="1" applyFont="1" applyBorder="1" applyAlignment="1">
      <alignment horizontal="right"/>
    </xf>
    <xf numFmtId="178" fontId="5" fillId="0" borderId="7" xfId="0" applyNumberFormat="1" applyFont="1" applyBorder="1" applyAlignment="1">
      <alignment horizontal="right"/>
    </xf>
    <xf numFmtId="0" fontId="5" fillId="4" borderId="8" xfId="0" applyFont="1" applyFill="1" applyBorder="1" applyAlignment="1"/>
    <xf numFmtId="0" fontId="6" fillId="0" borderId="17" xfId="0" applyFont="1" applyBorder="1" applyAlignment="1">
      <alignment horizontal="right"/>
    </xf>
    <xf numFmtId="0" fontId="14" fillId="0" borderId="8" xfId="0" applyFont="1" applyBorder="1" applyAlignment="1">
      <alignment horizontal="center" wrapText="1"/>
    </xf>
    <xf numFmtId="178" fontId="1" fillId="0" borderId="13" xfId="0" applyNumberFormat="1" applyFont="1" applyBorder="1" applyAlignment="1"/>
    <xf numFmtId="0" fontId="9" fillId="0" borderId="0" xfId="0" applyFont="1" applyAlignment="1">
      <alignment wrapText="1"/>
    </xf>
    <xf numFmtId="0" fontId="5" fillId="0" borderId="26" xfId="0" applyFont="1" applyBorder="1" applyAlignment="1">
      <alignment horizontal="center" textRotation="255" wrapText="1"/>
    </xf>
    <xf numFmtId="0" fontId="1" fillId="0" borderId="26" xfId="0" applyFont="1" applyBorder="1" applyAlignment="1">
      <alignment horizontal="right"/>
    </xf>
    <xf numFmtId="0" fontId="1" fillId="0" borderId="26" xfId="0" applyFont="1" applyBorder="1" applyAlignment="1"/>
    <xf numFmtId="0" fontId="3" fillId="0" borderId="26" xfId="0" applyFont="1" applyBorder="1"/>
    <xf numFmtId="179" fontId="1" fillId="0" borderId="26" xfId="0" applyNumberFormat="1" applyFont="1" applyBorder="1" applyAlignment="1">
      <alignment horizontal="right"/>
    </xf>
    <xf numFmtId="0" fontId="9" fillId="0" borderId="26" xfId="0" applyFont="1" applyBorder="1" applyAlignment="1">
      <alignment horizontal="center" wrapText="1"/>
    </xf>
    <xf numFmtId="178" fontId="1" fillId="11" borderId="26" xfId="0" applyNumberFormat="1" applyFont="1" applyFill="1" applyBorder="1" applyAlignment="1">
      <alignment horizontal="right"/>
    </xf>
    <xf numFmtId="49" fontId="1" fillId="0" borderId="0" xfId="0" applyNumberFormat="1" applyFont="1" applyAlignment="1"/>
    <xf numFmtId="0" fontId="1" fillId="5" borderId="1" xfId="0" applyFont="1" applyFill="1" applyBorder="1" applyAlignment="1"/>
    <xf numFmtId="0" fontId="6" fillId="0" borderId="8" xfId="0" applyFont="1" applyBorder="1"/>
    <xf numFmtId="0" fontId="1" fillId="2" borderId="0" xfId="0" applyFont="1" applyFill="1" applyAlignment="1"/>
    <xf numFmtId="0" fontId="6" fillId="0" borderId="15" xfId="0" applyFont="1" applyBorder="1" applyAlignment="1">
      <alignment wrapText="1"/>
    </xf>
    <xf numFmtId="0" fontId="6" fillId="0" borderId="15" xfId="0" applyFont="1" applyBorder="1" applyAlignment="1"/>
    <xf numFmtId="0" fontId="14" fillId="0" borderId="19" xfId="0" applyFont="1" applyBorder="1" applyAlignment="1">
      <alignment horizontal="center" textRotation="255" wrapText="1"/>
    </xf>
    <xf numFmtId="178" fontId="6" fillId="11" borderId="13" xfId="0" applyNumberFormat="1" applyFont="1" applyFill="1" applyBorder="1" applyAlignment="1">
      <alignment horizontal="right"/>
    </xf>
    <xf numFmtId="0" fontId="3" fillId="0" borderId="15" xfId="0" applyFont="1" applyBorder="1"/>
    <xf numFmtId="179" fontId="1" fillId="0" borderId="1" xfId="0" applyNumberFormat="1" applyFont="1" applyBorder="1" applyAlignment="1">
      <alignment horizontal="right"/>
    </xf>
    <xf numFmtId="182" fontId="1" fillId="0" borderId="0" xfId="0" applyNumberFormat="1" applyFont="1" applyAlignment="1"/>
    <xf numFmtId="179" fontId="6" fillId="0" borderId="0" xfId="0" applyNumberFormat="1" applyFont="1" applyAlignment="1">
      <alignment horizontal="right"/>
    </xf>
    <xf numFmtId="0" fontId="1" fillId="0" borderId="27" xfId="0" applyFont="1" applyBorder="1" applyAlignment="1"/>
    <xf numFmtId="179" fontId="1" fillId="0" borderId="27" xfId="0" applyNumberFormat="1" applyFont="1" applyBorder="1" applyAlignment="1">
      <alignment horizontal="right"/>
    </xf>
    <xf numFmtId="0" fontId="6" fillId="0" borderId="8" xfId="0" applyFont="1" applyBorder="1" applyAlignment="1">
      <alignment horizontal="right"/>
    </xf>
    <xf numFmtId="0" fontId="22" fillId="5" borderId="8" xfId="0" applyFont="1" applyFill="1" applyBorder="1" applyAlignment="1">
      <alignment horizontal="center" textRotation="255" wrapText="1"/>
    </xf>
    <xf numFmtId="0" fontId="6" fillId="0" borderId="12" xfId="0" applyFont="1" applyBorder="1" applyAlignment="1"/>
    <xf numFmtId="0" fontId="14" fillId="0" borderId="19" xfId="0" applyFont="1" applyBorder="1" applyAlignment="1">
      <alignment wrapText="1"/>
    </xf>
    <xf numFmtId="0" fontId="5" fillId="10" borderId="10" xfId="0" applyFont="1" applyFill="1" applyBorder="1" applyAlignment="1"/>
    <xf numFmtId="0" fontId="3" fillId="0" borderId="25" xfId="0" applyFont="1" applyBorder="1"/>
    <xf numFmtId="0" fontId="1" fillId="0" borderId="8" xfId="0" applyFont="1" applyBorder="1" applyAlignment="1">
      <alignment horizontal="right"/>
    </xf>
    <xf numFmtId="178" fontId="1" fillId="11" borderId="13" xfId="0" applyNumberFormat="1" applyFont="1" applyFill="1" applyBorder="1" applyAlignment="1">
      <alignment horizontal="right"/>
    </xf>
    <xf numFmtId="0" fontId="3" fillId="0" borderId="2" xfId="0" applyFont="1" applyBorder="1"/>
    <xf numFmtId="0" fontId="5" fillId="10" borderId="20" xfId="0" applyFont="1" applyFill="1" applyBorder="1" applyAlignment="1"/>
    <xf numFmtId="0" fontId="14" fillId="0" borderId="0" xfId="0" applyFont="1" applyAlignment="1">
      <alignment wrapText="1"/>
    </xf>
    <xf numFmtId="49" fontId="1" fillId="0" borderId="12" xfId="0" applyNumberFormat="1" applyFont="1" applyBorder="1" applyAlignment="1"/>
    <xf numFmtId="0" fontId="14" fillId="10" borderId="18" xfId="0" applyFont="1" applyFill="1" applyBorder="1" applyAlignment="1"/>
    <xf numFmtId="178" fontId="6" fillId="0" borderId="18" xfId="0" applyNumberFormat="1" applyFont="1" applyBorder="1" applyAlignment="1">
      <alignment horizontal="right"/>
    </xf>
    <xf numFmtId="0" fontId="23" fillId="0" borderId="0" xfId="0" applyFont="1" applyAlignment="1"/>
    <xf numFmtId="179" fontId="23" fillId="0" borderId="0" xfId="0" applyNumberFormat="1" applyFont="1" applyAlignment="1"/>
    <xf numFmtId="49" fontId="1" fillId="0" borderId="15" xfId="0" applyNumberFormat="1" applyFont="1" applyBorder="1" applyAlignment="1"/>
    <xf numFmtId="178" fontId="1" fillId="0" borderId="28" xfId="0" applyNumberFormat="1" applyFont="1" applyBorder="1" applyAlignment="1">
      <alignment horizontal="right"/>
    </xf>
    <xf numFmtId="0" fontId="23" fillId="0" borderId="0" xfId="0" applyFont="1"/>
    <xf numFmtId="179" fontId="23" fillId="0" borderId="0" xfId="0" applyNumberFormat="1" applyFont="1"/>
    <xf numFmtId="178" fontId="23" fillId="0" borderId="0" xfId="0" applyNumberFormat="1" applyFont="1"/>
    <xf numFmtId="180" fontId="23" fillId="0" borderId="0" xfId="0" applyNumberFormat="1" applyFont="1"/>
    <xf numFmtId="0" fontId="24" fillId="0" borderId="0" xfId="0" applyFont="1" applyAlignment="1"/>
    <xf numFmtId="179" fontId="25" fillId="0" borderId="12" xfId="0" applyNumberFormat="1" applyFont="1" applyBorder="1" applyAlignment="1">
      <alignment horizontal="right"/>
    </xf>
    <xf numFmtId="179" fontId="26" fillId="0" borderId="0" xfId="0" applyNumberFormat="1" applyFont="1" applyAlignment="1">
      <alignment horizontal="right"/>
    </xf>
    <xf numFmtId="179" fontId="26" fillId="0" borderId="0" xfId="0" applyNumberFormat="1" applyFont="1" applyAlignment="1"/>
    <xf numFmtId="179" fontId="25" fillId="0" borderId="0" xfId="0" applyNumberFormat="1" applyFont="1" applyAlignment="1">
      <alignment horizontal="right"/>
    </xf>
    <xf numFmtId="182" fontId="26" fillId="0" borderId="0" xfId="0" applyNumberFormat="1" applyFont="1" applyAlignment="1">
      <alignment horizontal="right"/>
    </xf>
    <xf numFmtId="179" fontId="26" fillId="0" borderId="1" xfId="0" applyNumberFormat="1" applyFont="1" applyBorder="1" applyAlignment="1"/>
    <xf numFmtId="179" fontId="26" fillId="0" borderId="1" xfId="0" applyNumberFormat="1" applyFont="1" applyBorder="1" applyAlignment="1">
      <alignment horizontal="right"/>
    </xf>
    <xf numFmtId="0" fontId="14" fillId="0" borderId="1" xfId="0" applyFont="1" applyBorder="1" applyAlignment="1"/>
    <xf numFmtId="0" fontId="14" fillId="0" borderId="0" xfId="0" applyFont="1" applyAlignment="1">
      <alignment horizontal="center"/>
    </xf>
    <xf numFmtId="180" fontId="14" fillId="0" borderId="0" xfId="0" applyNumberFormat="1" applyFont="1" applyAlignment="1">
      <alignment horizontal="right"/>
    </xf>
    <xf numFmtId="0" fontId="14" fillId="6" borderId="0" xfId="0" applyFont="1" applyFill="1" applyAlignment="1"/>
    <xf numFmtId="0" fontId="14" fillId="0" borderId="29" xfId="0" applyFont="1" applyBorder="1" applyAlignment="1"/>
    <xf numFmtId="0" fontId="14" fillId="13" borderId="0" xfId="0" applyFont="1" applyFill="1" applyAlignment="1">
      <alignment horizontal="center"/>
    </xf>
    <xf numFmtId="0" fontId="14" fillId="13" borderId="0" xfId="0" applyFont="1" applyFill="1" applyAlignment="1"/>
    <xf numFmtId="0" fontId="14" fillId="14" borderId="0" xfId="0" applyFont="1" applyFill="1" applyAlignment="1"/>
    <xf numFmtId="0" fontId="14" fillId="13" borderId="8" xfId="0" applyFont="1" applyFill="1" applyBorder="1" applyAlignment="1"/>
    <xf numFmtId="0" fontId="1" fillId="0" borderId="0" xfId="0" applyFont="1" applyAlignment="1">
      <alignment horizontal="center"/>
    </xf>
    <xf numFmtId="0" fontId="1" fillId="6" borderId="0" xfId="0" applyFont="1" applyFill="1" applyAlignment="1"/>
    <xf numFmtId="0" fontId="23" fillId="0" borderId="0" xfId="0" applyFont="1" applyAlignment="1">
      <alignment horizontal="center"/>
    </xf>
    <xf numFmtId="0" fontId="9" fillId="14" borderId="0" xfId="0" applyFont="1" applyFill="1" applyAlignment="1">
      <alignment horizontal="center" wrapText="1"/>
    </xf>
    <xf numFmtId="180" fontId="23" fillId="0" borderId="29" xfId="0" applyNumberFormat="1" applyFont="1" applyBorder="1"/>
    <xf numFmtId="0" fontId="23" fillId="0" borderId="29" xfId="0" applyFont="1" applyBorder="1"/>
    <xf numFmtId="179" fontId="23" fillId="0" borderId="0" xfId="0" applyNumberFormat="1" applyFont="1" applyAlignment="1">
      <alignment horizontal="center"/>
    </xf>
    <xf numFmtId="180" fontId="23" fillId="0" borderId="0" xfId="0" applyNumberFormat="1" applyFont="1" applyAlignment="1"/>
    <xf numFmtId="180" fontId="23" fillId="0" borderId="29" xfId="0" applyNumberFormat="1" applyFont="1" applyBorder="1" applyAlignment="1"/>
    <xf numFmtId="0" fontId="27" fillId="0" borderId="0" xfId="0" applyFont="1" applyAlignment="1"/>
    <xf numFmtId="0" fontId="28" fillId="0" borderId="0" xfId="0" applyFont="1" applyAlignment="1">
      <alignment horizontal="center"/>
    </xf>
    <xf numFmtId="58" fontId="23" fillId="0" borderId="0" xfId="0" applyNumberFormat="1" applyFont="1" applyAlignment="1">
      <alignment horizontal="center"/>
    </xf>
    <xf numFmtId="0" fontId="23" fillId="0" borderId="29" xfId="0" applyFont="1" applyBorder="1" applyAlignment="1"/>
    <xf numFmtId="0" fontId="14" fillId="0" borderId="27" xfId="0" applyFont="1" applyBorder="1" applyAlignment="1"/>
    <xf numFmtId="0" fontId="19" fillId="0" borderId="0" xfId="0" applyFont="1" applyAlignment="1">
      <alignment horizontal="center"/>
    </xf>
    <xf numFmtId="0" fontId="28" fillId="0" borderId="0" xfId="0" applyFont="1" applyAlignment="1"/>
    <xf numFmtId="0" fontId="29" fillId="15" borderId="0" xfId="0" applyFont="1" applyFill="1" applyAlignment="1"/>
    <xf numFmtId="0" fontId="1" fillId="0" borderId="30" xfId="0" applyFont="1" applyBorder="1" applyAlignment="1"/>
    <xf numFmtId="0" fontId="1" fillId="0" borderId="31" xfId="0" applyFont="1" applyBorder="1" applyAlignment="1"/>
    <xf numFmtId="0" fontId="19" fillId="0" borderId="30" xfId="0" applyFont="1" applyBorder="1" applyAlignment="1"/>
    <xf numFmtId="0" fontId="1" fillId="0" borderId="30" xfId="0" applyFont="1" applyBorder="1" applyAlignment="1">
      <alignment horizontal="center"/>
    </xf>
    <xf numFmtId="180" fontId="1" fillId="0" borderId="30" xfId="0" applyNumberFormat="1" applyFont="1" applyBorder="1" applyAlignment="1"/>
    <xf numFmtId="0" fontId="1" fillId="6" borderId="30" xfId="0" applyFont="1" applyFill="1" applyBorder="1" applyAlignment="1"/>
    <xf numFmtId="0" fontId="19" fillId="0" borderId="0" xfId="0" applyFont="1" applyAlignment="1"/>
    <xf numFmtId="0" fontId="30" fillId="0" borderId="27" xfId="0" applyFont="1" applyBorder="1" applyAlignment="1"/>
    <xf numFmtId="0" fontId="1" fillId="0" borderId="32" xfId="0" applyFont="1" applyBorder="1" applyAlignment="1"/>
    <xf numFmtId="0" fontId="1" fillId="0" borderId="33" xfId="0" applyFont="1" applyBorder="1" applyAlignment="1"/>
    <xf numFmtId="0" fontId="1" fillId="0" borderId="33" xfId="0" applyFont="1" applyBorder="1" applyAlignment="1">
      <alignment horizontal="center"/>
    </xf>
    <xf numFmtId="180" fontId="1" fillId="0" borderId="33" xfId="0" applyNumberFormat="1" applyFont="1" applyBorder="1" applyAlignment="1"/>
    <xf numFmtId="0" fontId="1" fillId="6" borderId="33" xfId="0" applyFont="1" applyFill="1" applyBorder="1" applyAlignment="1"/>
    <xf numFmtId="0" fontId="31" fillId="0" borderId="0" xfId="0" applyFont="1" applyAlignment="1"/>
    <xf numFmtId="0" fontId="1" fillId="0" borderId="34" xfId="0" applyFont="1" applyBorder="1" applyAlignment="1"/>
    <xf numFmtId="0" fontId="1" fillId="0" borderId="35" xfId="0" applyFont="1" applyBorder="1" applyAlignment="1"/>
    <xf numFmtId="180" fontId="1" fillId="0" borderId="35" xfId="0" applyNumberFormat="1" applyFont="1" applyBorder="1" applyAlignment="1"/>
    <xf numFmtId="0" fontId="1" fillId="6" borderId="35" xfId="0" applyFont="1" applyFill="1" applyBorder="1" applyAlignment="1"/>
    <xf numFmtId="0" fontId="1" fillId="0" borderId="36" xfId="0" applyFont="1" applyBorder="1" applyAlignment="1"/>
    <xf numFmtId="0" fontId="14" fillId="0" borderId="36" xfId="0" applyFont="1" applyBorder="1" applyAlignment="1"/>
    <xf numFmtId="49" fontId="14" fillId="0" borderId="36" xfId="0" applyNumberFormat="1" applyFont="1" applyBorder="1" applyAlignment="1">
      <alignment horizontal="center"/>
    </xf>
    <xf numFmtId="49" fontId="14" fillId="0" borderId="36" xfId="0" applyNumberFormat="1" applyFont="1" applyBorder="1" applyAlignment="1"/>
    <xf numFmtId="0" fontId="32" fillId="0" borderId="36" xfId="0" applyFont="1" applyBorder="1" applyAlignment="1"/>
    <xf numFmtId="180" fontId="14" fillId="4" borderId="36" xfId="0" applyNumberFormat="1" applyFont="1" applyFill="1" applyBorder="1" applyAlignment="1"/>
    <xf numFmtId="180" fontId="14" fillId="4" borderId="0" xfId="0" applyNumberFormat="1" applyFont="1" applyFill="1" applyAlignment="1">
      <alignment horizontal="center"/>
    </xf>
    <xf numFmtId="181" fontId="14" fillId="0" borderId="0" xfId="0" applyNumberFormat="1" applyFont="1" applyAlignment="1">
      <alignment horizontal="center"/>
    </xf>
    <xf numFmtId="180" fontId="14" fillId="0" borderId="0" xfId="0" applyNumberFormat="1" applyFont="1" applyAlignment="1"/>
    <xf numFmtId="180" fontId="14" fillId="0" borderId="36" xfId="0" applyNumberFormat="1" applyFont="1" applyBorder="1" applyAlignment="1"/>
    <xf numFmtId="180" fontId="14" fillId="0" borderId="0" xfId="0" applyNumberFormat="1" applyFont="1" applyAlignment="1">
      <alignment horizontal="left"/>
    </xf>
    <xf numFmtId="180" fontId="14" fillId="4" borderId="0" xfId="0" applyNumberFormat="1" applyFont="1" applyFill="1" applyAlignment="1"/>
    <xf numFmtId="180" fontId="14" fillId="4" borderId="37" xfId="0" applyNumberFormat="1" applyFont="1" applyFill="1" applyBorder="1" applyAlignment="1"/>
    <xf numFmtId="180" fontId="14" fillId="16" borderId="0" xfId="0" applyNumberFormat="1" applyFont="1" applyFill="1" applyAlignment="1"/>
    <xf numFmtId="49" fontId="12" fillId="9" borderId="18" xfId="0" applyNumberFormat="1" applyFont="1" applyFill="1" applyBorder="1" applyAlignment="1">
      <alignment horizontal="center"/>
    </xf>
    <xf numFmtId="49" fontId="1" fillId="5" borderId="0" xfId="0" applyNumberFormat="1" applyFont="1" applyFill="1" applyAlignment="1">
      <alignment horizontal="center"/>
    </xf>
    <xf numFmtId="179" fontId="1" fillId="5" borderId="0" xfId="0" applyNumberFormat="1" applyFont="1" applyFill="1" applyAlignment="1">
      <alignment horizontal="right"/>
    </xf>
    <xf numFmtId="0" fontId="26" fillId="0" borderId="0" xfId="0" applyFont="1" applyAlignment="1"/>
    <xf numFmtId="0" fontId="1" fillId="5" borderId="0" xfId="0" applyFont="1" applyFill="1" applyAlignment="1">
      <alignment horizontal="right"/>
    </xf>
    <xf numFmtId="180" fontId="23" fillId="4" borderId="0" xfId="0" applyNumberFormat="1" applyFont="1" applyFill="1" applyAlignment="1"/>
    <xf numFmtId="179" fontId="26" fillId="0" borderId="38" xfId="0" applyNumberFormat="1" applyFont="1" applyBorder="1" applyAlignment="1">
      <alignment horizontal="right"/>
    </xf>
    <xf numFmtId="179" fontId="23" fillId="0" borderId="0" xfId="0" applyNumberFormat="1" applyFont="1" applyAlignment="1">
      <alignment horizontal="right"/>
    </xf>
    <xf numFmtId="0" fontId="9" fillId="4" borderId="0" xfId="0" applyFont="1" applyFill="1" applyAlignment="1">
      <alignment horizontal="center" wrapText="1"/>
    </xf>
    <xf numFmtId="0" fontId="23" fillId="4" borderId="0" xfId="0" applyFont="1" applyFill="1" applyAlignment="1"/>
    <xf numFmtId="180" fontId="23" fillId="4" borderId="0" xfId="0" applyNumberFormat="1" applyFont="1" applyFill="1"/>
    <xf numFmtId="183" fontId="23" fillId="16" borderId="0" xfId="0" applyNumberFormat="1" applyFont="1" applyFill="1" applyAlignment="1"/>
    <xf numFmtId="0" fontId="23" fillId="16" borderId="0" xfId="0" applyFont="1" applyFill="1" applyAlignment="1"/>
    <xf numFmtId="49" fontId="23" fillId="16" borderId="0" xfId="0" applyNumberFormat="1" applyFont="1" applyFill="1" applyAlignment="1"/>
    <xf numFmtId="183" fontId="23" fillId="16" borderId="0" xfId="0" applyNumberFormat="1" applyFont="1" applyFill="1"/>
    <xf numFmtId="0" fontId="23" fillId="16" borderId="0" xfId="0" applyFont="1" applyFill="1"/>
    <xf numFmtId="49" fontId="23" fillId="0" borderId="0" xfId="0" applyNumberFormat="1" applyFont="1" applyAlignment="1"/>
    <xf numFmtId="0" fontId="22" fillId="17" borderId="0" xfId="0" applyFont="1" applyFill="1" applyAlignment="1">
      <alignment horizontal="center"/>
    </xf>
    <xf numFmtId="49" fontId="13" fillId="5" borderId="0" xfId="0" applyNumberFormat="1" applyFont="1" applyFill="1" applyAlignment="1"/>
    <xf numFmtId="0" fontId="26" fillId="5" borderId="0" xfId="0" applyFont="1" applyFill="1" applyAlignment="1"/>
    <xf numFmtId="0" fontId="23" fillId="4" borderId="0" xfId="0" applyFont="1" applyFill="1"/>
    <xf numFmtId="49" fontId="23" fillId="16" borderId="0" xfId="0" applyNumberFormat="1" applyFont="1" applyFill="1"/>
    <xf numFmtId="49" fontId="12" fillId="0" borderId="18" xfId="0" applyNumberFormat="1" applyFont="1" applyBorder="1" applyAlignment="1">
      <alignment horizontal="center"/>
    </xf>
    <xf numFmtId="0" fontId="19" fillId="5" borderId="0" xfId="0" applyFont="1" applyFill="1" applyAlignment="1"/>
    <xf numFmtId="182" fontId="1" fillId="5" borderId="0" xfId="0" applyNumberFormat="1" applyFont="1" applyFill="1" applyAlignment="1">
      <alignment horizontal="right"/>
    </xf>
    <xf numFmtId="180" fontId="26" fillId="0" borderId="0" xfId="0" applyNumberFormat="1" applyFont="1" applyAlignment="1"/>
    <xf numFmtId="0" fontId="23" fillId="0" borderId="0" xfId="0" applyFont="1" applyAlignment="1">
      <alignment horizontal="right"/>
    </xf>
    <xf numFmtId="49" fontId="1" fillId="6" borderId="10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12" fillId="6" borderId="18" xfId="0" applyNumberFormat="1" applyFont="1" applyFill="1" applyBorder="1" applyAlignment="1">
      <alignment horizontal="center"/>
    </xf>
    <xf numFmtId="49" fontId="13" fillId="0" borderId="0" xfId="0" applyNumberFormat="1" applyFont="1" applyAlignment="1"/>
    <xf numFmtId="182" fontId="1" fillId="0" borderId="0" xfId="0" applyNumberFormat="1" applyFont="1" applyAlignment="1">
      <alignment horizontal="right"/>
    </xf>
    <xf numFmtId="49" fontId="1" fillId="5" borderId="0" xfId="0" applyNumberFormat="1" applyFont="1" applyFill="1" applyAlignment="1">
      <alignment horizontal="right"/>
    </xf>
    <xf numFmtId="49" fontId="12" fillId="18" borderId="10" xfId="0" applyNumberFormat="1" applyFont="1" applyFill="1" applyBorder="1" applyAlignment="1">
      <alignment horizontal="center"/>
    </xf>
    <xf numFmtId="0" fontId="33" fillId="0" borderId="0" xfId="0" applyFont="1" applyAlignment="1"/>
    <xf numFmtId="49" fontId="1" fillId="19" borderId="0" xfId="0" applyNumberFormat="1" applyFont="1" applyFill="1" applyAlignment="1">
      <alignment horizontal="center"/>
    </xf>
    <xf numFmtId="49" fontId="34" fillId="0" borderId="0" xfId="0" applyNumberFormat="1" applyFont="1" applyAlignment="1"/>
    <xf numFmtId="58" fontId="23" fillId="0" borderId="0" xfId="0" applyNumberFormat="1" applyFont="1" applyAlignment="1">
      <alignment horizontal="right"/>
    </xf>
    <xf numFmtId="49" fontId="12" fillId="9" borderId="10" xfId="0" applyNumberFormat="1" applyFont="1" applyFill="1" applyBorder="1" applyAlignment="1">
      <alignment horizontal="center"/>
    </xf>
    <xf numFmtId="49" fontId="35" fillId="0" borderId="0" xfId="0" applyNumberFormat="1" applyFont="1" applyAlignment="1">
      <alignment horizontal="center"/>
    </xf>
    <xf numFmtId="0" fontId="36" fillId="0" borderId="0" xfId="0" applyFont="1" applyAlignment="1"/>
    <xf numFmtId="49" fontId="12" fillId="0" borderId="10" xfId="0" applyNumberFormat="1" applyFont="1" applyBorder="1" applyAlignment="1">
      <alignment horizontal="center"/>
    </xf>
    <xf numFmtId="0" fontId="37" fillId="0" borderId="0" xfId="0" applyFont="1" applyAlignment="1"/>
    <xf numFmtId="49" fontId="19" fillId="0" borderId="0" xfId="0" applyNumberFormat="1" applyFont="1" applyAlignment="1">
      <alignment horizontal="center"/>
    </xf>
    <xf numFmtId="0" fontId="38" fillId="0" borderId="0" xfId="0" applyFont="1" applyAlignment="1"/>
    <xf numFmtId="0" fontId="39" fillId="0" borderId="0" xfId="0" applyFont="1" applyAlignment="1"/>
    <xf numFmtId="49" fontId="14" fillId="6" borderId="18" xfId="0" applyNumberFormat="1" applyFont="1" applyFill="1" applyBorder="1" applyAlignment="1">
      <alignment horizontal="center"/>
    </xf>
    <xf numFmtId="49" fontId="19" fillId="0" borderId="0" xfId="0" applyNumberFormat="1" applyFont="1" applyAlignment="1"/>
    <xf numFmtId="0" fontId="1" fillId="17" borderId="0" xfId="0" applyFont="1" applyFill="1" applyAlignment="1"/>
    <xf numFmtId="0" fontId="40" fillId="5" borderId="0" xfId="0" applyFont="1" applyFill="1" applyAlignment="1"/>
    <xf numFmtId="0" fontId="40" fillId="0" borderId="0" xfId="0" applyFont="1" applyAlignment="1"/>
    <xf numFmtId="0" fontId="41" fillId="5" borderId="0" xfId="0" applyFont="1" applyFill="1" applyAlignment="1"/>
    <xf numFmtId="49" fontId="42" fillId="16" borderId="0" xfId="0" applyNumberFormat="1" applyFont="1" applyFill="1" applyAlignment="1"/>
    <xf numFmtId="49" fontId="14" fillId="0" borderId="10" xfId="0" applyNumberFormat="1" applyFont="1" applyBorder="1" applyAlignment="1">
      <alignment horizontal="center"/>
    </xf>
    <xf numFmtId="0" fontId="19" fillId="0" borderId="1" xfId="0" applyFont="1" applyBorder="1" applyAlignment="1"/>
    <xf numFmtId="49" fontId="1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/>
    <xf numFmtId="0" fontId="43" fillId="5" borderId="1" xfId="0" applyFont="1" applyFill="1" applyBorder="1" applyAlignment="1"/>
    <xf numFmtId="49" fontId="19" fillId="0" borderId="1" xfId="0" applyNumberFormat="1" applyFont="1" applyBorder="1" applyAlignment="1"/>
    <xf numFmtId="0" fontId="31" fillId="0" borderId="1" xfId="0" applyFont="1" applyBorder="1" applyAlignment="1"/>
    <xf numFmtId="49" fontId="12" fillId="0" borderId="14" xfId="0" applyNumberFormat="1" applyFont="1" applyBorder="1" applyAlignment="1">
      <alignment horizontal="center"/>
    </xf>
    <xf numFmtId="179" fontId="26" fillId="0" borderId="39" xfId="0" applyNumberFormat="1" applyFont="1" applyBorder="1" applyAlignment="1">
      <alignment horizontal="right"/>
    </xf>
    <xf numFmtId="49" fontId="12" fillId="0" borderId="40" xfId="0" applyNumberFormat="1" applyFont="1" applyBorder="1" applyAlignment="1">
      <alignment horizontal="center"/>
    </xf>
    <xf numFmtId="0" fontId="36" fillId="0" borderId="41" xfId="0" applyFont="1" applyBorder="1" applyAlignment="1"/>
    <xf numFmtId="0" fontId="1" fillId="0" borderId="41" xfId="0" applyFont="1" applyBorder="1" applyAlignment="1"/>
    <xf numFmtId="49" fontId="1" fillId="0" borderId="41" xfId="0" applyNumberFormat="1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179" fontId="1" fillId="0" borderId="41" xfId="0" applyNumberFormat="1" applyFont="1" applyBorder="1" applyAlignment="1">
      <alignment horizontal="right"/>
    </xf>
    <xf numFmtId="180" fontId="26" fillId="0" borderId="39" xfId="0" applyNumberFormat="1" applyFont="1" applyBorder="1" applyAlignment="1"/>
    <xf numFmtId="183" fontId="44" fillId="16" borderId="0" xfId="0" applyNumberFormat="1" applyFont="1" applyFill="1" applyAlignment="1"/>
    <xf numFmtId="49" fontId="12" fillId="0" borderId="42" xfId="0" applyNumberFormat="1" applyFont="1" applyBorder="1" applyAlignment="1">
      <alignment horizontal="center"/>
    </xf>
    <xf numFmtId="0" fontId="31" fillId="0" borderId="43" xfId="0" applyFont="1" applyBorder="1" applyAlignment="1"/>
    <xf numFmtId="0" fontId="1" fillId="0" borderId="43" xfId="0" applyFont="1" applyBorder="1" applyAlignment="1"/>
    <xf numFmtId="49" fontId="1" fillId="0" borderId="43" xfId="0" applyNumberFormat="1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35" fillId="0" borderId="43" xfId="0" applyFont="1" applyBorder="1" applyAlignment="1"/>
    <xf numFmtId="49" fontId="1" fillId="0" borderId="43" xfId="0" applyNumberFormat="1" applyFont="1" applyBorder="1" applyAlignment="1"/>
    <xf numFmtId="182" fontId="1" fillId="0" borderId="43" xfId="0" applyNumberFormat="1" applyFont="1" applyBorder="1" applyAlignment="1">
      <alignment horizontal="right"/>
    </xf>
    <xf numFmtId="0" fontId="1" fillId="0" borderId="43" xfId="0" applyFont="1" applyBorder="1" applyAlignment="1">
      <alignment horizontal="right"/>
    </xf>
    <xf numFmtId="49" fontId="12" fillId="0" borderId="44" xfId="0" applyNumberFormat="1" applyFont="1" applyBorder="1" applyAlignment="1">
      <alignment horizontal="center"/>
    </xf>
    <xf numFmtId="0" fontId="45" fillId="0" borderId="45" xfId="0" applyFont="1" applyBorder="1" applyAlignment="1"/>
    <xf numFmtId="0" fontId="1" fillId="0" borderId="45" xfId="0" applyFont="1" applyBorder="1" applyAlignment="1"/>
    <xf numFmtId="49" fontId="1" fillId="0" borderId="45" xfId="0" applyNumberFormat="1" applyFont="1" applyBorder="1" applyAlignment="1">
      <alignment horizontal="center"/>
    </xf>
    <xf numFmtId="0" fontId="1" fillId="0" borderId="45" xfId="0" applyFont="1" applyBorder="1" applyAlignment="1">
      <alignment horizontal="center"/>
    </xf>
    <xf numFmtId="49" fontId="1" fillId="0" borderId="45" xfId="0" applyNumberFormat="1" applyFont="1" applyBorder="1" applyAlignment="1"/>
    <xf numFmtId="0" fontId="13" fillId="0" borderId="45" xfId="0" applyFont="1" applyBorder="1" applyAlignment="1"/>
    <xf numFmtId="179" fontId="1" fillId="0" borderId="45" xfId="0" applyNumberFormat="1" applyFont="1" applyBorder="1" applyAlignment="1">
      <alignment horizontal="right"/>
    </xf>
    <xf numFmtId="0" fontId="26" fillId="0" borderId="46" xfId="0" applyFont="1" applyBorder="1" applyAlignment="1"/>
    <xf numFmtId="0" fontId="1" fillId="0" borderId="45" xfId="0" applyFont="1" applyBorder="1" applyAlignment="1">
      <alignment horizontal="right"/>
    </xf>
    <xf numFmtId="179" fontId="26" fillId="0" borderId="46" xfId="0" applyNumberFormat="1" applyFont="1" applyBorder="1" applyAlignment="1">
      <alignment horizontal="right"/>
    </xf>
    <xf numFmtId="0" fontId="13" fillId="0" borderId="0" xfId="0" applyFont="1" applyAlignment="1"/>
    <xf numFmtId="0" fontId="46" fillId="0" borderId="0" xfId="0" applyFont="1" applyAlignment="1"/>
    <xf numFmtId="0" fontId="47" fillId="0" borderId="0" xfId="0" applyFont="1" applyAlignment="1"/>
    <xf numFmtId="0" fontId="48" fillId="0" borderId="0" xfId="0" applyFont="1" applyAlignment="1"/>
    <xf numFmtId="49" fontId="12" fillId="0" borderId="47" xfId="0" applyNumberFormat="1" applyFont="1" applyBorder="1" applyAlignment="1">
      <alignment horizontal="center"/>
    </xf>
    <xf numFmtId="0" fontId="45" fillId="0" borderId="48" xfId="0" applyFont="1" applyBorder="1" applyAlignment="1"/>
    <xf numFmtId="0" fontId="1" fillId="0" borderId="48" xfId="0" applyFont="1" applyBorder="1" applyAlignment="1"/>
    <xf numFmtId="49" fontId="1" fillId="0" borderId="48" xfId="0" applyNumberFormat="1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49" fontId="1" fillId="0" borderId="48" xfId="0" applyNumberFormat="1" applyFont="1" applyBorder="1" applyAlignment="1"/>
    <xf numFmtId="0" fontId="13" fillId="0" borderId="48" xfId="0" applyFont="1" applyBorder="1" applyAlignment="1"/>
    <xf numFmtId="179" fontId="1" fillId="0" borderId="48" xfId="0" applyNumberFormat="1" applyFont="1" applyBorder="1" applyAlignment="1">
      <alignment horizontal="right"/>
    </xf>
    <xf numFmtId="49" fontId="12" fillId="0" borderId="0" xfId="0" applyNumberFormat="1" applyFont="1" applyAlignment="1">
      <alignment horizontal="center"/>
    </xf>
    <xf numFmtId="0" fontId="45" fillId="0" borderId="0" xfId="0" applyFont="1" applyAlignment="1"/>
    <xf numFmtId="49" fontId="12" fillId="0" borderId="49" xfId="0" applyNumberFormat="1" applyFont="1" applyBorder="1" applyAlignment="1">
      <alignment horizontal="center"/>
    </xf>
    <xf numFmtId="0" fontId="19" fillId="0" borderId="50" xfId="0" applyFont="1" applyBorder="1" applyAlignment="1"/>
    <xf numFmtId="0" fontId="1" fillId="0" borderId="50" xfId="0" applyFont="1" applyBorder="1" applyAlignment="1"/>
    <xf numFmtId="49" fontId="1" fillId="0" borderId="50" xfId="0" applyNumberFormat="1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49" fontId="1" fillId="0" borderId="50" xfId="0" applyNumberFormat="1" applyFont="1" applyBorder="1" applyAlignment="1"/>
    <xf numFmtId="179" fontId="1" fillId="0" borderId="50" xfId="0" applyNumberFormat="1" applyFont="1" applyBorder="1" applyAlignment="1">
      <alignment horizontal="right"/>
    </xf>
    <xf numFmtId="180" fontId="26" fillId="0" borderId="46" xfId="0" applyNumberFormat="1" applyFont="1" applyBorder="1" applyAlignment="1"/>
    <xf numFmtId="0" fontId="49" fillId="0" borderId="0" xfId="0" applyFont="1" applyAlignment="1"/>
    <xf numFmtId="49" fontId="12" fillId="0" borderId="51" xfId="0" applyNumberFormat="1" applyFont="1" applyBorder="1" applyAlignment="1">
      <alignment horizontal="center"/>
    </xf>
    <xf numFmtId="0" fontId="1" fillId="5" borderId="52" xfId="0" applyFont="1" applyFill="1" applyBorder="1" applyAlignment="1"/>
    <xf numFmtId="0" fontId="1" fillId="0" borderId="52" xfId="0" applyFont="1" applyBorder="1" applyAlignment="1"/>
    <xf numFmtId="49" fontId="1" fillId="0" borderId="52" xfId="0" applyNumberFormat="1" applyFont="1" applyBorder="1" applyAlignment="1">
      <alignment horizontal="center"/>
    </xf>
    <xf numFmtId="0" fontId="1" fillId="0" borderId="52" xfId="0" applyFont="1" applyBorder="1" applyAlignment="1">
      <alignment horizontal="center"/>
    </xf>
    <xf numFmtId="179" fontId="1" fillId="0" borderId="52" xfId="0" applyNumberFormat="1" applyFont="1" applyBorder="1" applyAlignment="1">
      <alignment horizontal="right"/>
    </xf>
    <xf numFmtId="0" fontId="26" fillId="0" borderId="39" xfId="0" applyFont="1" applyBorder="1" applyAlignment="1"/>
    <xf numFmtId="0" fontId="35" fillId="0" borderId="0" xfId="0" applyFont="1" applyAlignment="1"/>
    <xf numFmtId="0" fontId="13" fillId="0" borderId="52" xfId="0" applyFont="1" applyBorder="1" applyAlignment="1"/>
    <xf numFmtId="49" fontId="1" fillId="0" borderId="52" xfId="0" applyNumberFormat="1" applyFont="1" applyBorder="1" applyAlignment="1"/>
    <xf numFmtId="0" fontId="35" fillId="0" borderId="52" xfId="0" applyFont="1" applyBorder="1" applyAlignment="1"/>
    <xf numFmtId="49" fontId="12" fillId="0" borderId="53" xfId="0" applyNumberFormat="1" applyFont="1" applyBorder="1" applyAlignment="1">
      <alignment horizontal="center"/>
    </xf>
    <xf numFmtId="0" fontId="48" fillId="0" borderId="43" xfId="0" applyFont="1" applyBorder="1" applyAlignment="1"/>
    <xf numFmtId="179" fontId="1" fillId="0" borderId="43" xfId="0" applyNumberFormat="1" applyFont="1" applyBorder="1" applyAlignment="1">
      <alignment horizontal="right"/>
    </xf>
    <xf numFmtId="0" fontId="12" fillId="0" borderId="43" xfId="0" applyFont="1" applyBorder="1" applyAlignment="1">
      <alignment horizontal="center"/>
    </xf>
    <xf numFmtId="0" fontId="1" fillId="5" borderId="18" xfId="0" applyFont="1" applyFill="1" applyBorder="1" applyAlignment="1"/>
    <xf numFmtId="0" fontId="50" fillId="0" borderId="43" xfId="0" applyFont="1" applyBorder="1" applyAlignment="1">
      <alignment horizontal="center"/>
    </xf>
    <xf numFmtId="0" fontId="36" fillId="0" borderId="43" xfId="0" applyFont="1" applyBorder="1" applyAlignment="1"/>
    <xf numFmtId="0" fontId="13" fillId="0" borderId="43" xfId="0" applyFont="1" applyBorder="1" applyAlignment="1"/>
    <xf numFmtId="0" fontId="39" fillId="0" borderId="0" xfId="0" applyFont="1" applyAlignment="1">
      <alignment horizontal="center"/>
    </xf>
    <xf numFmtId="0" fontId="12" fillId="0" borderId="52" xfId="0" applyFont="1" applyBorder="1" applyAlignment="1">
      <alignment horizontal="center"/>
    </xf>
    <xf numFmtId="0" fontId="31" fillId="0" borderId="52" xfId="0" applyFont="1" applyBorder="1" applyAlignment="1"/>
    <xf numFmtId="182" fontId="1" fillId="0" borderId="52" xfId="0" applyNumberFormat="1" applyFont="1" applyBorder="1" applyAlignment="1">
      <alignment horizontal="right"/>
    </xf>
    <xf numFmtId="49" fontId="21" fillId="0" borderId="43" xfId="0" applyNumberFormat="1" applyFont="1" applyBorder="1" applyAlignment="1">
      <alignment horizontal="center"/>
    </xf>
    <xf numFmtId="0" fontId="26" fillId="0" borderId="54" xfId="0" applyFont="1" applyBorder="1" applyAlignment="1"/>
    <xf numFmtId="179" fontId="26" fillId="0" borderId="54" xfId="0" applyNumberFormat="1" applyFont="1" applyBorder="1" applyAlignment="1">
      <alignment horizontal="right"/>
    </xf>
    <xf numFmtId="0" fontId="12" fillId="0" borderId="55" xfId="0" applyFont="1" applyBorder="1" applyAlignment="1">
      <alignment horizontal="center"/>
    </xf>
    <xf numFmtId="0" fontId="1" fillId="0" borderId="35" xfId="0" applyFont="1" applyBorder="1"/>
    <xf numFmtId="49" fontId="1" fillId="0" borderId="35" xfId="0" applyNumberFormat="1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49" fontId="1" fillId="0" borderId="35" xfId="0" applyNumberFormat="1" applyFont="1" applyBorder="1" applyAlignment="1"/>
    <xf numFmtId="179" fontId="1" fillId="0" borderId="35" xfId="0" applyNumberFormat="1" applyFont="1" applyBorder="1" applyAlignment="1">
      <alignment horizontal="right"/>
    </xf>
    <xf numFmtId="0" fontId="12" fillId="0" borderId="0" xfId="0" applyFont="1" applyAlignment="1">
      <alignment horizontal="center"/>
    </xf>
    <xf numFmtId="0" fontId="51" fillId="0" borderId="35" xfId="0" applyFont="1" applyBorder="1" applyAlignment="1">
      <alignment horizontal="center"/>
    </xf>
    <xf numFmtId="0" fontId="12" fillId="0" borderId="35" xfId="0" applyFont="1" applyBorder="1" applyAlignment="1"/>
    <xf numFmtId="0" fontId="52" fillId="0" borderId="0" xfId="0" applyFont="1" applyAlignment="1">
      <alignment horizontal="center"/>
    </xf>
    <xf numFmtId="0" fontId="15" fillId="0" borderId="0" xfId="0" applyFont="1" applyAlignment="1"/>
    <xf numFmtId="0" fontId="53" fillId="0" borderId="0" xfId="0" applyFont="1" applyAlignment="1"/>
    <xf numFmtId="49" fontId="53" fillId="0" borderId="0" xfId="0" applyNumberFormat="1" applyFont="1" applyAlignment="1">
      <alignment horizontal="center"/>
    </xf>
    <xf numFmtId="0" fontId="53" fillId="0" borderId="0" xfId="0" applyFont="1" applyAlignment="1">
      <alignment horizontal="center"/>
    </xf>
    <xf numFmtId="49" fontId="53" fillId="0" borderId="0" xfId="0" applyNumberFormat="1" applyFont="1" applyAlignment="1"/>
    <xf numFmtId="179" fontId="53" fillId="0" borderId="0" xfId="0" applyNumberFormat="1" applyFont="1" applyAlignment="1">
      <alignment horizontal="right"/>
    </xf>
    <xf numFmtId="0" fontId="54" fillId="0" borderId="0" xfId="0" applyFont="1" applyAlignment="1"/>
    <xf numFmtId="179" fontId="54" fillId="0" borderId="0" xfId="0" applyNumberFormat="1" applyFont="1" applyAlignment="1">
      <alignment horizontal="right"/>
    </xf>
    <xf numFmtId="0" fontId="51" fillId="0" borderId="0" xfId="0" applyFont="1" applyAlignment="1">
      <alignment horizontal="center"/>
    </xf>
    <xf numFmtId="0" fontId="21" fillId="0" borderId="35" xfId="0" applyFont="1" applyBorder="1" applyAlignment="1">
      <alignment horizontal="center"/>
    </xf>
    <xf numFmtId="182" fontId="1" fillId="0" borderId="35" xfId="0" applyNumberFormat="1" applyFont="1" applyBorder="1" applyAlignment="1">
      <alignment horizontal="right"/>
    </xf>
    <xf numFmtId="0" fontId="55" fillId="0" borderId="0" xfId="0" applyFont="1" applyAlignment="1">
      <alignment horizontal="center"/>
    </xf>
    <xf numFmtId="182" fontId="23" fillId="0" borderId="0" xfId="0" applyNumberFormat="1" applyFont="1" applyAlignment="1"/>
    <xf numFmtId="0" fontId="56" fillId="0" borderId="0" xfId="0" applyFont="1" applyAlignment="1"/>
    <xf numFmtId="0" fontId="21" fillId="0" borderId="0" xfId="0" applyFont="1" applyAlignment="1">
      <alignment horizontal="center"/>
    </xf>
    <xf numFmtId="0" fontId="55" fillId="0" borderId="56" xfId="0" applyFont="1" applyBorder="1" applyAlignment="1">
      <alignment horizontal="center"/>
    </xf>
    <xf numFmtId="0" fontId="13" fillId="0" borderId="56" xfId="0" applyFont="1" applyBorder="1" applyAlignment="1"/>
    <xf numFmtId="0" fontId="1" fillId="0" borderId="56" xfId="0" applyFont="1" applyBorder="1" applyAlignment="1"/>
    <xf numFmtId="49" fontId="1" fillId="0" borderId="56" xfId="0" applyNumberFormat="1" applyFont="1" applyBorder="1" applyAlignment="1">
      <alignment horizontal="center"/>
    </xf>
    <xf numFmtId="0" fontId="1" fillId="0" borderId="56" xfId="0" applyFont="1" applyBorder="1" applyAlignment="1">
      <alignment horizontal="center"/>
    </xf>
    <xf numFmtId="49" fontId="53" fillId="0" borderId="56" xfId="0" applyNumberFormat="1" applyFont="1" applyBorder="1" applyAlignment="1"/>
    <xf numFmtId="49" fontId="1" fillId="0" borderId="56" xfId="0" applyNumberFormat="1" applyFont="1" applyBorder="1" applyAlignment="1"/>
    <xf numFmtId="179" fontId="1" fillId="0" borderId="56" xfId="0" applyNumberFormat="1" applyFont="1" applyBorder="1" applyAlignment="1">
      <alignment horizontal="right"/>
    </xf>
    <xf numFmtId="0" fontId="26" fillId="0" borderId="0" xfId="0" applyFont="1" applyAlignment="1">
      <alignment horizontal="right"/>
    </xf>
    <xf numFmtId="0" fontId="55" fillId="0" borderId="35" xfId="0" applyFont="1" applyBorder="1" applyAlignment="1">
      <alignment horizontal="center"/>
    </xf>
    <xf numFmtId="0" fontId="13" fillId="0" borderId="35" xfId="0" applyFont="1" applyBorder="1" applyAlignment="1"/>
    <xf numFmtId="0" fontId="23" fillId="0" borderId="35" xfId="0" applyFont="1" applyBorder="1" applyAlignment="1"/>
    <xf numFmtId="180" fontId="56" fillId="0" borderId="0" xfId="0" applyNumberFormat="1" applyFont="1" applyAlignment="1"/>
    <xf numFmtId="0" fontId="44" fillId="0" borderId="0" xfId="0" applyFont="1" applyAlignment="1"/>
    <xf numFmtId="179" fontId="1" fillId="0" borderId="35" xfId="0" applyNumberFormat="1" applyFont="1" applyBorder="1" applyAlignment="1"/>
    <xf numFmtId="0" fontId="23" fillId="0" borderId="35" xfId="0" applyFont="1" applyBorder="1"/>
    <xf numFmtId="180" fontId="23" fillId="0" borderId="35" xfId="0" applyNumberFormat="1" applyFont="1" applyBorder="1" applyAlignment="1"/>
    <xf numFmtId="179" fontId="23" fillId="0" borderId="35" xfId="0" applyNumberFormat="1" applyFont="1" applyBorder="1" applyAlignment="1">
      <alignment horizontal="right"/>
    </xf>
    <xf numFmtId="180" fontId="23" fillId="4" borderId="35" xfId="0" applyNumberFormat="1" applyFont="1" applyFill="1" applyBorder="1" applyAlignment="1"/>
    <xf numFmtId="0" fontId="9" fillId="4" borderId="35" xfId="0" applyFont="1" applyFill="1" applyBorder="1" applyAlignment="1">
      <alignment horizontal="center" wrapText="1"/>
    </xf>
    <xf numFmtId="0" fontId="23" fillId="4" borderId="35" xfId="0" applyFont="1" applyFill="1" applyBorder="1"/>
    <xf numFmtId="0" fontId="57" fillId="0" borderId="0" xfId="0" applyFont="1" applyAlignment="1"/>
    <xf numFmtId="49" fontId="23" fillId="0" borderId="33" xfId="0" applyNumberFormat="1" applyFont="1" applyBorder="1" applyAlignment="1"/>
    <xf numFmtId="182" fontId="1" fillId="0" borderId="35" xfId="0" applyNumberFormat="1" applyFont="1" applyBorder="1" applyAlignment="1"/>
    <xf numFmtId="0" fontId="23" fillId="0" borderId="35" xfId="0" applyFont="1" applyBorder="1" applyAlignment="1">
      <alignment horizontal="right"/>
    </xf>
    <xf numFmtId="180" fontId="23" fillId="0" borderId="35" xfId="0" applyNumberFormat="1" applyFont="1" applyBorder="1"/>
    <xf numFmtId="183" fontId="23" fillId="16" borderId="35" xfId="0" applyNumberFormat="1" applyFont="1" applyFill="1" applyBorder="1"/>
    <xf numFmtId="0" fontId="23" fillId="16" borderId="35" xfId="0" applyFont="1" applyFill="1" applyBorder="1"/>
    <xf numFmtId="49" fontId="23" fillId="16" borderId="35" xfId="0" applyNumberFormat="1" applyFont="1" applyFill="1" applyBorder="1"/>
    <xf numFmtId="179" fontId="23" fillId="0" borderId="35" xfId="0" applyNumberFormat="1" applyFont="1" applyBorder="1" applyAlignment="1"/>
    <xf numFmtId="49" fontId="23" fillId="0" borderId="35" xfId="0" applyNumberFormat="1" applyFont="1" applyBorder="1"/>
    <xf numFmtId="49" fontId="23" fillId="0" borderId="0" xfId="0" applyNumberFormat="1" applyFont="1"/>
    <xf numFmtId="0" fontId="12" fillId="0" borderId="35" xfId="0" applyFont="1" applyBorder="1" applyAlignment="1">
      <alignment horizontal="center"/>
    </xf>
    <xf numFmtId="49" fontId="1" fillId="0" borderId="35" xfId="0" applyNumberFormat="1" applyFont="1" applyBorder="1" applyAlignment="1">
      <alignment horizontal="left"/>
    </xf>
    <xf numFmtId="183" fontId="23" fillId="16" borderId="35" xfId="0" applyNumberFormat="1" applyFont="1" applyFill="1" applyBorder="1" applyAlignment="1"/>
    <xf numFmtId="0" fontId="23" fillId="16" borderId="35" xfId="0" applyFont="1" applyFill="1" applyBorder="1" applyAlignment="1"/>
    <xf numFmtId="49" fontId="14" fillId="0" borderId="37" xfId="0" applyNumberFormat="1" applyFont="1" applyBorder="1" applyAlignment="1"/>
    <xf numFmtId="0" fontId="14" fillId="0" borderId="37" xfId="0" applyFont="1" applyBorder="1" applyAlignment="1"/>
    <xf numFmtId="49" fontId="14" fillId="0" borderId="37" xfId="0" applyNumberFormat="1" applyFont="1" applyBorder="1" applyAlignment="1">
      <alignment horizontal="center"/>
    </xf>
    <xf numFmtId="0" fontId="42" fillId="0" borderId="0" xfId="0" applyFont="1" applyAlignment="1"/>
    <xf numFmtId="181" fontId="14" fillId="0" borderId="37" xfId="0" applyNumberFormat="1" applyFont="1" applyBorder="1" applyAlignment="1"/>
    <xf numFmtId="180" fontId="14" fillId="10" borderId="36" xfId="0" applyNumberFormat="1" applyFont="1" applyFill="1" applyBorder="1" applyAlignment="1"/>
    <xf numFmtId="180" fontId="14" fillId="0" borderId="0" xfId="0" applyNumberFormat="1" applyFont="1" applyAlignment="1">
      <alignment horizontal="center"/>
    </xf>
    <xf numFmtId="180" fontId="14" fillId="0" borderId="37" xfId="0" applyNumberFormat="1" applyFont="1" applyBorder="1" applyAlignment="1"/>
    <xf numFmtId="180" fontId="14" fillId="10" borderId="0" xfId="0" applyNumberFormat="1" applyFont="1" applyFill="1" applyAlignment="1"/>
    <xf numFmtId="180" fontId="14" fillId="10" borderId="37" xfId="0" applyNumberFormat="1" applyFont="1" applyFill="1" applyBorder="1" applyAlignment="1"/>
    <xf numFmtId="180" fontId="14" fillId="0" borderId="29" xfId="0" applyNumberFormat="1" applyFont="1" applyBorder="1" applyAlignment="1"/>
    <xf numFmtId="49" fontId="35" fillId="0" borderId="0" xfId="0" applyNumberFormat="1" applyFont="1" applyAlignment="1"/>
    <xf numFmtId="49" fontId="58" fillId="0" borderId="0" xfId="0" applyNumberFormat="1" applyFont="1" applyAlignment="1"/>
    <xf numFmtId="0" fontId="26" fillId="0" borderId="57" xfId="0" applyFont="1" applyBorder="1" applyAlignment="1"/>
    <xf numFmtId="181" fontId="1" fillId="0" borderId="0" xfId="0" applyNumberFormat="1" applyFont="1" applyAlignment="1"/>
    <xf numFmtId="180" fontId="23" fillId="10" borderId="0" xfId="0" applyNumberFormat="1" applyFont="1" applyFill="1" applyAlignment="1"/>
    <xf numFmtId="4" fontId="23" fillId="0" borderId="0" xfId="0" applyNumberFormat="1" applyFont="1" applyAlignment="1"/>
    <xf numFmtId="179" fontId="26" fillId="0" borderId="58" xfId="0" applyNumberFormat="1" applyFont="1" applyBorder="1" applyAlignment="1">
      <alignment horizontal="right"/>
    </xf>
    <xf numFmtId="182" fontId="23" fillId="0" borderId="0" xfId="0" applyNumberFormat="1" applyFont="1" applyAlignment="1">
      <alignment horizontal="right"/>
    </xf>
    <xf numFmtId="0" fontId="9" fillId="10" borderId="0" xfId="0" applyFont="1" applyFill="1" applyAlignment="1">
      <alignment horizontal="center" wrapText="1"/>
    </xf>
    <xf numFmtId="0" fontId="23" fillId="10" borderId="0" xfId="0" applyFont="1" applyFill="1"/>
    <xf numFmtId="180" fontId="23" fillId="10" borderId="0" xfId="0" applyNumberFormat="1" applyFont="1" applyFill="1"/>
    <xf numFmtId="49" fontId="1" fillId="0" borderId="18" xfId="0" applyNumberFormat="1" applyFont="1" applyBorder="1" applyAlignment="1"/>
    <xf numFmtId="0" fontId="26" fillId="0" borderId="59" xfId="0" applyFont="1" applyBorder="1" applyAlignment="1"/>
    <xf numFmtId="0" fontId="59" fillId="0" borderId="10" xfId="0" applyFont="1" applyBorder="1" applyAlignment="1"/>
    <xf numFmtId="49" fontId="1" fillId="0" borderId="10" xfId="0" applyNumberFormat="1" applyFont="1" applyBorder="1" applyAlignment="1"/>
    <xf numFmtId="49" fontId="1" fillId="0" borderId="10" xfId="0" applyNumberFormat="1" applyFont="1" applyBorder="1" applyAlignment="1">
      <alignment horizontal="center"/>
    </xf>
    <xf numFmtId="49" fontId="58" fillId="0" borderId="1" xfId="0" applyNumberFormat="1" applyFont="1" applyBorder="1" applyAlignment="1"/>
    <xf numFmtId="0" fontId="26" fillId="0" borderId="1" xfId="0" applyFont="1" applyBorder="1" applyAlignment="1"/>
    <xf numFmtId="181" fontId="1" fillId="0" borderId="1" xfId="0" applyNumberFormat="1" applyFont="1" applyBorder="1" applyAlignment="1"/>
    <xf numFmtId="49" fontId="35" fillId="0" borderId="18" xfId="0" applyNumberFormat="1" applyFont="1" applyBorder="1" applyAlignment="1"/>
    <xf numFmtId="184" fontId="19" fillId="0" borderId="18" xfId="0" applyNumberFormat="1" applyFont="1" applyBorder="1" applyAlignment="1"/>
    <xf numFmtId="49" fontId="1" fillId="5" borderId="18" xfId="0" applyNumberFormat="1" applyFont="1" applyFill="1" applyBorder="1" applyAlignment="1"/>
    <xf numFmtId="49" fontId="1" fillId="5" borderId="18" xfId="0" applyNumberFormat="1" applyFont="1" applyFill="1" applyBorder="1" applyAlignment="1">
      <alignment horizontal="center"/>
    </xf>
    <xf numFmtId="181" fontId="1" fillId="0" borderId="0" xfId="0" applyNumberFormat="1" applyFont="1" applyAlignment="1">
      <alignment horizontal="right"/>
    </xf>
    <xf numFmtId="181" fontId="26" fillId="0" borderId="0" xfId="0" applyNumberFormat="1" applyFont="1" applyAlignment="1"/>
    <xf numFmtId="49" fontId="35" fillId="6" borderId="10" xfId="0" applyNumberFormat="1" applyFont="1" applyFill="1" applyBorder="1" applyAlignment="1"/>
    <xf numFmtId="0" fontId="19" fillId="0" borderId="10" xfId="0" applyFont="1" applyBorder="1" applyAlignment="1"/>
    <xf numFmtId="49" fontId="1" fillId="5" borderId="14" xfId="0" applyNumberFormat="1" applyFont="1" applyFill="1" applyBorder="1" applyAlignment="1">
      <alignment horizontal="center"/>
    </xf>
    <xf numFmtId="49" fontId="35" fillId="0" borderId="10" xfId="0" applyNumberFormat="1" applyFont="1" applyBorder="1" applyAlignment="1"/>
    <xf numFmtId="49" fontId="1" fillId="5" borderId="11" xfId="0" applyNumberFormat="1" applyFont="1" applyFill="1" applyBorder="1" applyAlignment="1">
      <alignment horizontal="center"/>
    </xf>
    <xf numFmtId="0" fontId="60" fillId="0" borderId="0" xfId="0" applyFont="1" applyAlignment="1"/>
    <xf numFmtId="49" fontId="35" fillId="9" borderId="10" xfId="0" applyNumberFormat="1" applyFont="1" applyFill="1" applyBorder="1" applyAlignment="1"/>
    <xf numFmtId="49" fontId="40" fillId="5" borderId="10" xfId="0" applyNumberFormat="1" applyFont="1" applyFill="1" applyBorder="1" applyAlignment="1"/>
    <xf numFmtId="0" fontId="1" fillId="5" borderId="10" xfId="0" applyFont="1" applyFill="1" applyBorder="1" applyAlignment="1"/>
    <xf numFmtId="183" fontId="42" fillId="16" borderId="0" xfId="0" applyNumberFormat="1" applyFont="1" applyFill="1" applyAlignment="1"/>
    <xf numFmtId="0" fontId="61" fillId="0" borderId="10" xfId="0" applyFont="1" applyBorder="1" applyAlignment="1"/>
    <xf numFmtId="0" fontId="62" fillId="0" borderId="0" xfId="0" applyFont="1" applyAlignment="1"/>
    <xf numFmtId="49" fontId="1" fillId="9" borderId="10" xfId="0" applyNumberFormat="1" applyFont="1" applyFill="1" applyBorder="1" applyAlignment="1"/>
    <xf numFmtId="0" fontId="63" fillId="17" borderId="0" xfId="0" applyFont="1" applyFill="1" applyAlignment="1">
      <alignment horizontal="center"/>
    </xf>
    <xf numFmtId="49" fontId="13" fillId="9" borderId="10" xfId="0" applyNumberFormat="1" applyFont="1" applyFill="1" applyBorder="1" applyAlignment="1"/>
    <xf numFmtId="0" fontId="1" fillId="5" borderId="11" xfId="0" applyFont="1" applyFill="1" applyBorder="1" applyAlignment="1">
      <alignment horizontal="center"/>
    </xf>
    <xf numFmtId="49" fontId="58" fillId="5" borderId="0" xfId="0" applyNumberFormat="1" applyFont="1" applyFill="1" applyAlignment="1"/>
    <xf numFmtId="182" fontId="1" fillId="5" borderId="0" xfId="0" applyNumberFormat="1" applyFont="1" applyFill="1" applyAlignment="1"/>
    <xf numFmtId="181" fontId="1" fillId="5" borderId="0" xfId="0" applyNumberFormat="1" applyFont="1" applyFill="1" applyAlignment="1"/>
    <xf numFmtId="49" fontId="64" fillId="20" borderId="10" xfId="0" applyNumberFormat="1" applyFont="1" applyFill="1" applyBorder="1" applyAlignment="1"/>
    <xf numFmtId="0" fontId="14" fillId="5" borderId="10" xfId="0" applyFont="1" applyFill="1" applyBorder="1" applyAlignment="1"/>
    <xf numFmtId="49" fontId="1" fillId="5" borderId="10" xfId="0" applyNumberFormat="1" applyFont="1" applyFill="1" applyBorder="1" applyAlignment="1"/>
    <xf numFmtId="0" fontId="37" fillId="5" borderId="0" xfId="0" applyFont="1" applyFill="1" applyAlignment="1"/>
    <xf numFmtId="49" fontId="53" fillId="5" borderId="0" xfId="0" applyNumberFormat="1" applyFont="1" applyFill="1" applyAlignment="1"/>
    <xf numFmtId="0" fontId="13" fillId="5" borderId="0" xfId="0" applyFont="1" applyFill="1" applyAlignment="1"/>
    <xf numFmtId="49" fontId="1" fillId="5" borderId="11" xfId="0" applyNumberFormat="1" applyFont="1" applyFill="1" applyBorder="1" applyAlignment="1"/>
    <xf numFmtId="49" fontId="65" fillId="9" borderId="10" xfId="0" applyNumberFormat="1" applyFont="1" applyFill="1" applyBorder="1" applyAlignment="1"/>
    <xf numFmtId="49" fontId="35" fillId="21" borderId="10" xfId="0" applyNumberFormat="1" applyFont="1" applyFill="1" applyBorder="1" applyAlignment="1"/>
    <xf numFmtId="0" fontId="37" fillId="6" borderId="0" xfId="0" applyFont="1" applyFill="1" applyAlignment="1"/>
    <xf numFmtId="0" fontId="19" fillId="5" borderId="10" xfId="0" applyFont="1" applyFill="1" applyBorder="1" applyAlignment="1"/>
    <xf numFmtId="0" fontId="66" fillId="5" borderId="0" xfId="0" applyFont="1" applyFill="1" applyAlignment="1"/>
    <xf numFmtId="49" fontId="19" fillId="0" borderId="10" xfId="0" applyNumberFormat="1" applyFont="1" applyBorder="1" applyAlignment="1"/>
    <xf numFmtId="0" fontId="1" fillId="5" borderId="11" xfId="0" applyFont="1" applyFill="1" applyBorder="1" applyAlignment="1"/>
    <xf numFmtId="0" fontId="67" fillId="5" borderId="0" xfId="0" applyFont="1" applyFill="1" applyAlignment="1">
      <alignment vertical="top"/>
    </xf>
    <xf numFmtId="49" fontId="1" fillId="6" borderId="10" xfId="0" applyNumberFormat="1" applyFont="1" applyFill="1" applyBorder="1" applyAlignment="1"/>
    <xf numFmtId="49" fontId="14" fillId="0" borderId="0" xfId="0" applyNumberFormat="1" applyFont="1" applyAlignment="1"/>
    <xf numFmtId="0" fontId="1" fillId="0" borderId="10" xfId="0" applyFont="1" applyBorder="1" applyAlignment="1">
      <alignment horizontal="center"/>
    </xf>
    <xf numFmtId="0" fontId="36" fillId="0" borderId="0" xfId="0" applyFont="1" applyAlignment="1">
      <alignment horizontal="right"/>
    </xf>
    <xf numFmtId="0" fontId="31" fillId="0" borderId="10" xfId="0" applyFont="1" applyBorder="1" applyAlignment="1"/>
    <xf numFmtId="49" fontId="68" fillId="9" borderId="10" xfId="0" applyNumberFormat="1" applyFont="1" applyFill="1" applyBorder="1" applyAlignment="1"/>
    <xf numFmtId="49" fontId="68" fillId="0" borderId="10" xfId="0" applyNumberFormat="1" applyFont="1" applyBorder="1" applyAlignment="1"/>
    <xf numFmtId="0" fontId="40" fillId="5" borderId="10" xfId="0" applyFont="1" applyFill="1" applyBorder="1" applyAlignment="1"/>
    <xf numFmtId="0" fontId="1" fillId="0" borderId="18" xfId="0" applyFont="1" applyBorder="1" applyAlignment="1"/>
    <xf numFmtId="0" fontId="69" fillId="5" borderId="10" xfId="0" applyFont="1" applyFill="1" applyBorder="1" applyAlignment="1"/>
    <xf numFmtId="0" fontId="70" fillId="5" borderId="10" xfId="0" applyFont="1" applyFill="1" applyBorder="1" applyAlignment="1"/>
    <xf numFmtId="0" fontId="71" fillId="5" borderId="10" xfId="0" applyFont="1" applyFill="1" applyBorder="1" applyAlignment="1"/>
    <xf numFmtId="0" fontId="43" fillId="0" borderId="0" xfId="0" applyFont="1" applyAlignment="1"/>
    <xf numFmtId="49" fontId="1" fillId="5" borderId="10" xfId="0" applyNumberFormat="1" applyFont="1" applyFill="1" applyBorder="1" applyAlignment="1">
      <alignment horizontal="center"/>
    </xf>
    <xf numFmtId="0" fontId="45" fillId="0" borderId="10" xfId="0" applyFont="1" applyBorder="1" applyAlignment="1"/>
    <xf numFmtId="0" fontId="72" fillId="0" borderId="10" xfId="0" applyFont="1" applyBorder="1" applyAlignment="1"/>
    <xf numFmtId="0" fontId="23" fillId="10" borderId="0" xfId="0" applyFont="1" applyFill="1" applyAlignment="1"/>
    <xf numFmtId="0" fontId="48" fillId="0" borderId="10" xfId="0" applyFont="1" applyBorder="1" applyAlignment="1"/>
    <xf numFmtId="49" fontId="23" fillId="0" borderId="0" xfId="0" applyNumberFormat="1" applyFont="1" applyAlignment="1">
      <alignment horizontal="right"/>
    </xf>
    <xf numFmtId="0" fontId="73" fillId="5" borderId="10" xfId="0" applyFont="1" applyFill="1" applyBorder="1" applyAlignment="1"/>
    <xf numFmtId="49" fontId="28" fillId="0" borderId="39" xfId="0" applyNumberFormat="1" applyFont="1" applyBorder="1" applyAlignment="1"/>
    <xf numFmtId="0" fontId="1" fillId="0" borderId="39" xfId="0" applyFont="1" applyBorder="1" applyAlignment="1"/>
    <xf numFmtId="49" fontId="1" fillId="0" borderId="39" xfId="0" applyNumberFormat="1" applyFont="1" applyBorder="1" applyAlignment="1"/>
    <xf numFmtId="179" fontId="1" fillId="0" borderId="39" xfId="0" applyNumberFormat="1" applyFont="1" applyBorder="1" applyAlignment="1"/>
    <xf numFmtId="179" fontId="1" fillId="0" borderId="39" xfId="0" applyNumberFormat="1" applyFont="1" applyBorder="1" applyAlignment="1">
      <alignment horizontal="right"/>
    </xf>
    <xf numFmtId="181" fontId="1" fillId="0" borderId="39" xfId="0" applyNumberFormat="1" applyFont="1" applyBorder="1" applyAlignment="1"/>
    <xf numFmtId="0" fontId="58" fillId="0" borderId="10" xfId="0" applyFont="1" applyBorder="1" applyAlignment="1"/>
    <xf numFmtId="49" fontId="74" fillId="5" borderId="10" xfId="0" applyNumberFormat="1" applyFont="1" applyFill="1" applyBorder="1" applyAlignment="1"/>
    <xf numFmtId="49" fontId="74" fillId="5" borderId="10" xfId="0" applyNumberFormat="1" applyFont="1" applyFill="1" applyBorder="1" applyAlignment="1">
      <alignment horizontal="center"/>
    </xf>
    <xf numFmtId="49" fontId="58" fillId="0" borderId="39" xfId="0" applyNumberFormat="1" applyFont="1" applyBorder="1" applyAlignment="1"/>
    <xf numFmtId="181" fontId="1" fillId="0" borderId="39" xfId="0" applyNumberFormat="1" applyFont="1" applyBorder="1" applyAlignment="1">
      <alignment horizontal="right"/>
    </xf>
    <xf numFmtId="0" fontId="75" fillId="5" borderId="10" xfId="0" applyFont="1" applyFill="1" applyBorder="1" applyAlignment="1"/>
    <xf numFmtId="182" fontId="1" fillId="0" borderId="1" xfId="0" applyNumberFormat="1" applyFont="1" applyBorder="1" applyAlignment="1"/>
    <xf numFmtId="182" fontId="1" fillId="0" borderId="1" xfId="0" applyNumberFormat="1" applyFont="1" applyBorder="1" applyAlignment="1">
      <alignment horizontal="right"/>
    </xf>
    <xf numFmtId="0" fontId="76" fillId="5" borderId="10" xfId="0" applyFont="1" applyFill="1" applyBorder="1" applyAlignment="1"/>
    <xf numFmtId="0" fontId="77" fillId="5" borderId="10" xfId="0" applyFont="1" applyFill="1" applyBorder="1" applyAlignment="1"/>
    <xf numFmtId="0" fontId="78" fillId="5" borderId="10" xfId="0" applyFont="1" applyFill="1" applyBorder="1" applyAlignment="1"/>
    <xf numFmtId="49" fontId="79" fillId="5" borderId="0" xfId="0" applyNumberFormat="1" applyFont="1" applyFill="1" applyAlignment="1"/>
    <xf numFmtId="0" fontId="32" fillId="0" borderId="10" xfId="0" applyFont="1" applyBorder="1" applyAlignment="1"/>
    <xf numFmtId="0" fontId="77" fillId="5" borderId="0" xfId="0" applyFont="1" applyFill="1" applyAlignment="1"/>
    <xf numFmtId="179" fontId="80" fillId="0" borderId="0" xfId="0" applyNumberFormat="1" applyFont="1" applyAlignment="1">
      <alignment horizontal="center" wrapText="1"/>
    </xf>
    <xf numFmtId="0" fontId="81" fillId="0" borderId="0" xfId="0" applyFont="1" applyAlignment="1"/>
    <xf numFmtId="49" fontId="1" fillId="0" borderId="11" xfId="0" applyNumberFormat="1" applyFont="1" applyBorder="1" applyAlignment="1"/>
    <xf numFmtId="49" fontId="1" fillId="0" borderId="11" xfId="0" applyNumberFormat="1" applyFont="1" applyBorder="1" applyAlignment="1">
      <alignment horizontal="center"/>
    </xf>
    <xf numFmtId="49" fontId="1" fillId="0" borderId="60" xfId="0" applyNumberFormat="1" applyFont="1" applyBorder="1" applyAlignment="1"/>
    <xf numFmtId="0" fontId="45" fillId="0" borderId="60" xfId="0" applyFont="1" applyBorder="1" applyAlignment="1"/>
    <xf numFmtId="0" fontId="1" fillId="0" borderId="60" xfId="0" applyFont="1" applyBorder="1" applyAlignment="1"/>
    <xf numFmtId="0" fontId="1" fillId="0" borderId="60" xfId="0" applyFont="1" applyBorder="1" applyAlignment="1">
      <alignment horizontal="center"/>
    </xf>
    <xf numFmtId="49" fontId="58" fillId="0" borderId="60" xfId="0" applyNumberFormat="1" applyFont="1" applyBorder="1" applyAlignment="1"/>
    <xf numFmtId="0" fontId="13" fillId="0" borderId="60" xfId="0" applyFont="1" applyBorder="1" applyAlignment="1"/>
    <xf numFmtId="179" fontId="1" fillId="0" borderId="60" xfId="0" applyNumberFormat="1" applyFont="1" applyBorder="1" applyAlignment="1">
      <alignment horizontal="right"/>
    </xf>
    <xf numFmtId="0" fontId="82" fillId="5" borderId="0" xfId="0" applyFont="1" applyFill="1" applyAlignment="1"/>
    <xf numFmtId="0" fontId="83" fillId="5" borderId="0" xfId="0" applyFont="1" applyFill="1" applyAlignment="1"/>
    <xf numFmtId="0" fontId="26" fillId="0" borderId="61" xfId="0" applyFont="1" applyBorder="1" applyAlignment="1"/>
    <xf numFmtId="49" fontId="1" fillId="0" borderId="62" xfId="0" applyNumberFormat="1" applyFont="1" applyBorder="1" applyAlignment="1"/>
    <xf numFmtId="0" fontId="48" fillId="0" borderId="62" xfId="0" applyFont="1" applyBorder="1" applyAlignment="1"/>
    <xf numFmtId="0" fontId="1" fillId="0" borderId="62" xfId="0" applyFont="1" applyBorder="1" applyAlignment="1"/>
    <xf numFmtId="0" fontId="1" fillId="0" borderId="62" xfId="0" applyFont="1" applyBorder="1" applyAlignment="1">
      <alignment horizontal="center"/>
    </xf>
    <xf numFmtId="49" fontId="58" fillId="0" borderId="62" xfId="0" applyNumberFormat="1" applyFont="1" applyBorder="1" applyAlignment="1"/>
    <xf numFmtId="179" fontId="1" fillId="0" borderId="62" xfId="0" applyNumberFormat="1" applyFont="1" applyBorder="1" applyAlignment="1">
      <alignment horizontal="right"/>
    </xf>
    <xf numFmtId="0" fontId="19" fillId="0" borderId="12" xfId="0" applyFont="1" applyBorder="1" applyAlignment="1"/>
    <xf numFmtId="0" fontId="1" fillId="0" borderId="12" xfId="0" applyFont="1" applyBorder="1" applyAlignment="1">
      <alignment horizontal="center"/>
    </xf>
    <xf numFmtId="49" fontId="58" fillId="0" borderId="12" xfId="0" applyNumberFormat="1" applyFont="1" applyBorder="1" applyAlignment="1"/>
    <xf numFmtId="49" fontId="58" fillId="0" borderId="45" xfId="0" applyNumberFormat="1" applyFont="1" applyBorder="1" applyAlignment="1"/>
    <xf numFmtId="0" fontId="50" fillId="0" borderId="0" xfId="0" applyFont="1" applyAlignment="1"/>
    <xf numFmtId="49" fontId="35" fillId="0" borderId="48" xfId="0" applyNumberFormat="1" applyFont="1" applyBorder="1" applyAlignment="1"/>
    <xf numFmtId="49" fontId="58" fillId="0" borderId="48" xfId="0" applyNumberFormat="1" applyFont="1" applyBorder="1" applyAlignment="1"/>
    <xf numFmtId="0" fontId="22" fillId="17" borderId="48" xfId="0" applyFont="1" applyFill="1" applyBorder="1" applyAlignment="1"/>
    <xf numFmtId="0" fontId="31" fillId="0" borderId="48" xfId="0" applyFont="1" applyBorder="1" applyAlignment="1"/>
    <xf numFmtId="0" fontId="19" fillId="0" borderId="48" xfId="0" applyFont="1" applyBorder="1" applyAlignment="1"/>
    <xf numFmtId="49" fontId="41" fillId="5" borderId="0" xfId="0" applyNumberFormat="1" applyFont="1" applyFill="1" applyAlignment="1"/>
    <xf numFmtId="49" fontId="84" fillId="5" borderId="0" xfId="0" applyNumberFormat="1" applyFont="1" applyFill="1" applyAlignment="1"/>
    <xf numFmtId="49" fontId="35" fillId="0" borderId="45" xfId="0" applyNumberFormat="1" applyFont="1" applyBorder="1" applyAlignment="1"/>
    <xf numFmtId="0" fontId="41" fillId="5" borderId="45" xfId="0" applyFont="1" applyFill="1" applyBorder="1" applyAlignment="1"/>
    <xf numFmtId="0" fontId="85" fillId="5" borderId="45" xfId="0" applyFont="1" applyFill="1" applyBorder="1" applyAlignment="1"/>
    <xf numFmtId="49" fontId="84" fillId="5" borderId="45" xfId="0" applyNumberFormat="1" applyFont="1" applyFill="1" applyBorder="1" applyAlignment="1"/>
    <xf numFmtId="182" fontId="1" fillId="0" borderId="45" xfId="0" applyNumberFormat="1" applyFont="1" applyBorder="1" applyAlignment="1">
      <alignment horizontal="right"/>
    </xf>
    <xf numFmtId="58" fontId="26" fillId="0" borderId="0" xfId="0" applyNumberFormat="1" applyFont="1" applyAlignment="1"/>
    <xf numFmtId="49" fontId="35" fillId="0" borderId="43" xfId="0" applyNumberFormat="1" applyFont="1" applyBorder="1" applyAlignment="1"/>
    <xf numFmtId="49" fontId="28" fillId="0" borderId="0" xfId="0" applyNumberFormat="1" applyFont="1" applyAlignment="1"/>
    <xf numFmtId="0" fontId="86" fillId="0" borderId="0" xfId="0" applyFont="1" applyAlignment="1"/>
    <xf numFmtId="0" fontId="45" fillId="0" borderId="26" xfId="0" applyFont="1" applyBorder="1" applyAlignment="1"/>
    <xf numFmtId="0" fontId="1" fillId="0" borderId="26" xfId="0" applyFont="1" applyBorder="1" applyAlignment="1">
      <alignment horizontal="center"/>
    </xf>
    <xf numFmtId="49" fontId="1" fillId="0" borderId="26" xfId="0" applyNumberFormat="1" applyFont="1" applyBorder="1" applyAlignment="1"/>
    <xf numFmtId="0" fontId="31" fillId="0" borderId="26" xfId="0" applyFont="1" applyBorder="1" applyAlignment="1"/>
    <xf numFmtId="0" fontId="13" fillId="0" borderId="26" xfId="0" applyFont="1" applyBorder="1" applyAlignment="1"/>
    <xf numFmtId="179" fontId="23" fillId="10" borderId="0" xfId="0" applyNumberFormat="1" applyFont="1" applyFill="1" applyAlignment="1"/>
    <xf numFmtId="0" fontId="87" fillId="0" borderId="0" xfId="0" applyFont="1" applyAlignment="1"/>
    <xf numFmtId="0" fontId="58" fillId="0" borderId="0" xfId="0" applyFont="1" applyAlignment="1"/>
    <xf numFmtId="0" fontId="45" fillId="0" borderId="35" xfId="0" applyFont="1" applyBorder="1" applyAlignment="1"/>
    <xf numFmtId="49" fontId="35" fillId="0" borderId="56" xfId="0" applyNumberFormat="1" applyFont="1" applyBorder="1" applyAlignment="1"/>
    <xf numFmtId="0" fontId="19" fillId="0" borderId="56" xfId="0" applyFont="1" applyBorder="1" applyAlignment="1"/>
    <xf numFmtId="49" fontId="35" fillId="0" borderId="35" xfId="0" applyNumberFormat="1" applyFont="1" applyBorder="1" applyAlignment="1"/>
    <xf numFmtId="0" fontId="48" fillId="0" borderId="35" xfId="0" applyFont="1" applyBorder="1" applyAlignment="1"/>
    <xf numFmtId="49" fontId="28" fillId="0" borderId="35" xfId="0" applyNumberFormat="1" applyFont="1" applyBorder="1" applyAlignment="1"/>
    <xf numFmtId="49" fontId="21" fillId="0" borderId="0" xfId="0" applyNumberFormat="1" applyFont="1" applyAlignment="1"/>
    <xf numFmtId="49" fontId="1" fillId="0" borderId="10" xfId="0" applyNumberFormat="1" applyFont="1" applyBorder="1" applyAlignment="1">
      <alignment wrapText="1"/>
    </xf>
    <xf numFmtId="182" fontId="80" fillId="0" borderId="0" xfId="0" applyNumberFormat="1" applyFont="1" applyAlignment="1">
      <alignment horizontal="center" wrapText="1"/>
    </xf>
    <xf numFmtId="0" fontId="1" fillId="0" borderId="10" xfId="0" applyFont="1" applyBorder="1"/>
    <xf numFmtId="49" fontId="35" fillId="0" borderId="33" xfId="0" applyNumberFormat="1" applyFont="1" applyBorder="1" applyAlignment="1"/>
    <xf numFmtId="0" fontId="31" fillId="0" borderId="33" xfId="0" applyFont="1" applyBorder="1" applyAlignment="1"/>
    <xf numFmtId="0" fontId="1" fillId="0" borderId="63" xfId="0" applyFont="1" applyBorder="1" applyAlignment="1"/>
    <xf numFmtId="49" fontId="1" fillId="0" borderId="33" xfId="0" applyNumberFormat="1" applyFont="1" applyBorder="1" applyAlignment="1"/>
    <xf numFmtId="0" fontId="1" fillId="0" borderId="33" xfId="0" applyFont="1" applyBorder="1" applyAlignment="1">
      <alignment horizontal="right"/>
    </xf>
    <xf numFmtId="49" fontId="51" fillId="0" borderId="0" xfId="0" applyNumberFormat="1" applyFont="1" applyAlignment="1"/>
    <xf numFmtId="49" fontId="51" fillId="0" borderId="35" xfId="0" applyNumberFormat="1" applyFont="1" applyBorder="1" applyAlignment="1"/>
    <xf numFmtId="49" fontId="55" fillId="0" borderId="0" xfId="0" applyNumberFormat="1" applyFont="1" applyAlignment="1"/>
    <xf numFmtId="180" fontId="56" fillId="10" borderId="0" xfId="0" applyNumberFormat="1" applyFont="1" applyFill="1" applyAlignment="1"/>
    <xf numFmtId="49" fontId="55" fillId="0" borderId="33" xfId="0" applyNumberFormat="1" applyFont="1" applyBorder="1" applyAlignment="1"/>
    <xf numFmtId="179" fontId="1" fillId="0" borderId="33" xfId="0" applyNumberFormat="1" applyFont="1" applyBorder="1" applyAlignment="1">
      <alignment horizontal="right"/>
    </xf>
    <xf numFmtId="0" fontId="31" fillId="0" borderId="35" xfId="0" applyFont="1" applyBorder="1" applyAlignment="1"/>
    <xf numFmtId="0" fontId="55" fillId="0" borderId="0" xfId="0" applyFont="1" applyAlignment="1"/>
    <xf numFmtId="49" fontId="55" fillId="0" borderId="35" xfId="0" applyNumberFormat="1" applyFont="1" applyBorder="1" applyAlignment="1"/>
    <xf numFmtId="0" fontId="26" fillId="0" borderId="35" xfId="0" applyFont="1" applyBorder="1" applyAlignment="1"/>
    <xf numFmtId="180" fontId="23" fillId="10" borderId="35" xfId="0" applyNumberFormat="1" applyFont="1" applyFill="1" applyBorder="1" applyAlignment="1"/>
    <xf numFmtId="4" fontId="23" fillId="0" borderId="35" xfId="0" applyNumberFormat="1" applyFont="1" applyBorder="1" applyAlignment="1"/>
    <xf numFmtId="179" fontId="26" fillId="0" borderId="35" xfId="0" applyNumberFormat="1" applyFont="1" applyBorder="1" applyAlignment="1">
      <alignment horizontal="right"/>
    </xf>
    <xf numFmtId="180" fontId="23" fillId="10" borderId="35" xfId="0" applyNumberFormat="1" applyFont="1" applyFill="1" applyBorder="1"/>
    <xf numFmtId="0" fontId="9" fillId="10" borderId="35" xfId="0" applyFont="1" applyFill="1" applyBorder="1" applyAlignment="1">
      <alignment horizontal="center" wrapText="1"/>
    </xf>
    <xf numFmtId="0" fontId="23" fillId="10" borderId="35" xfId="0" applyFont="1" applyFill="1" applyBorder="1"/>
    <xf numFmtId="180" fontId="23" fillId="0" borderId="64" xfId="0" applyNumberFormat="1" applyFont="1" applyBorder="1" applyAlignment="1"/>
    <xf numFmtId="182" fontId="23" fillId="0" borderId="35" xfId="0" applyNumberFormat="1" applyFont="1" applyBorder="1" applyAlignment="1"/>
    <xf numFmtId="49" fontId="23" fillId="0" borderId="35" xfId="0" applyNumberFormat="1" applyFont="1" applyBorder="1" applyAlignment="1"/>
    <xf numFmtId="58" fontId="1" fillId="0" borderId="0" xfId="0" applyNumberFormat="1" applyFont="1" applyAlignment="1"/>
    <xf numFmtId="49" fontId="21" fillId="0" borderId="35" xfId="0" applyNumberFormat="1" applyFont="1" applyBorder="1" applyAlignment="1"/>
    <xf numFmtId="58" fontId="1" fillId="0" borderId="35" xfId="0" applyNumberFormat="1" applyFont="1" applyBorder="1" applyAlignment="1"/>
    <xf numFmtId="0" fontId="28" fillId="0" borderId="35" xfId="0" applyFont="1" applyBorder="1" applyAlignment="1"/>
    <xf numFmtId="0" fontId="23" fillId="0" borderId="64" xfId="0" applyFont="1" applyBorder="1" applyAlignment="1"/>
    <xf numFmtId="49" fontId="23" fillId="16" borderId="35" xfId="0" applyNumberFormat="1" applyFont="1" applyFill="1" applyBorder="1" applyAlignment="1"/>
    <xf numFmtId="0" fontId="23" fillId="0" borderId="64" xfId="0" applyFont="1" applyBorder="1"/>
    <xf numFmtId="178" fontId="5" fillId="0" borderId="0" xfId="0" applyNumberFormat="1" applyFont="1" applyAlignment="1"/>
    <xf numFmtId="178" fontId="6" fillId="0" borderId="0" xfId="0" applyNumberFormat="1" applyFont="1" applyAlignment="1"/>
    <xf numFmtId="178" fontId="6" fillId="11" borderId="0" xfId="0" applyNumberFormat="1" applyFont="1" applyFill="1" applyAlignment="1">
      <alignment horizontal="right"/>
    </xf>
    <xf numFmtId="0" fontId="1" fillId="0" borderId="0" xfId="0" applyFont="1" applyAlignment="1" quotePrefix="1"/>
    <xf numFmtId="0" fontId="1" fillId="0" borderId="0" xfId="0" applyFont="1" applyAlignment="1" quotePrefix="1">
      <alignment horizont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24">
    <dxf>
      <fill>
        <patternFill patternType="solid">
          <fgColor rgb="FFD1E1E4"/>
          <bgColor rgb="FFD1E1E4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1D5E7"/>
          <bgColor rgb="FFE1D5E7"/>
        </patternFill>
      </fill>
    </dxf>
    <dxf>
      <fill>
        <patternFill patternType="solid">
          <fgColor rgb="FF0054A6"/>
          <bgColor rgb="FF0054A6"/>
        </patternFill>
      </fill>
    </dxf>
    <dxf>
      <fill>
        <patternFill patternType="solid">
          <fgColor rgb="FF008148"/>
          <bgColor rgb="FF008148"/>
        </patternFill>
      </fill>
    </dxf>
    <dxf>
      <fill>
        <patternFill patternType="solid">
          <fgColor rgb="FF5F3283"/>
          <bgColor rgb="FF5F3283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://181.78.205.206/bwfdVuGs/line?id=310" TargetMode="External"/><Relationship Id="rId8" Type="http://schemas.openxmlformats.org/officeDocument/2006/relationships/hyperlink" Target="http://181.78.205.206/bwfdVuGs/line?id=304" TargetMode="External"/><Relationship Id="rId7" Type="http://schemas.openxmlformats.org/officeDocument/2006/relationships/hyperlink" Target="http://181.78.205.206/bwfdVuGs/line?id=297" TargetMode="External"/><Relationship Id="rId6" Type="http://schemas.openxmlformats.org/officeDocument/2006/relationships/hyperlink" Target="http://181.78.205.206/bwfdVuGs/line?id=264" TargetMode="External"/><Relationship Id="rId5" Type="http://schemas.openxmlformats.org/officeDocument/2006/relationships/hyperlink" Target="http://181.78.205.206/bwfdVuGs/line?id=229" TargetMode="External"/><Relationship Id="rId4" Type="http://schemas.openxmlformats.org/officeDocument/2006/relationships/hyperlink" Target="mailto:macasaida7@gmail.com" TargetMode="External"/><Relationship Id="rId3" Type="http://schemas.openxmlformats.org/officeDocument/2006/relationships/hyperlink" Target="mailto:facturas.labsll@gmail.com" TargetMode="External"/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http://181.78.205.206/bwfdVuGs/line?id=316" TargetMode="External"/><Relationship Id="rId8" Type="http://schemas.openxmlformats.org/officeDocument/2006/relationships/hyperlink" Target="http://181.78.205.206/bwfdVuGs/line?id=249" TargetMode="External"/><Relationship Id="rId7" Type="http://schemas.openxmlformats.org/officeDocument/2006/relationships/hyperlink" Target="http://181.78.205.206/bwfdVuGs/line?id=247" TargetMode="External"/><Relationship Id="rId6" Type="http://schemas.openxmlformats.org/officeDocument/2006/relationships/hyperlink" Target="http://181.78.205.206/bwfdVuGs/line?id=254" TargetMode="External"/><Relationship Id="rId5" Type="http://schemas.openxmlformats.org/officeDocument/2006/relationships/hyperlink" Target="http://181.78.205.206/bwfdVuGs/line?id=253" TargetMode="External"/><Relationship Id="rId4" Type="http://schemas.openxmlformats.org/officeDocument/2006/relationships/hyperlink" Target="http://181.78.205.206/bwfdVuGs/line?id=246" TargetMode="External"/><Relationship Id="rId3" Type="http://schemas.openxmlformats.org/officeDocument/2006/relationships/hyperlink" Target="http://45.70.237.125/bwfdVuGs/line?id=307" TargetMode="External"/><Relationship Id="rId2" Type="http://schemas.openxmlformats.org/officeDocument/2006/relationships/vmlDrawing" Target="../drawings/vmlDrawing3.vml"/><Relationship Id="rId17" Type="http://schemas.openxmlformats.org/officeDocument/2006/relationships/hyperlink" Target="http://www.freddyg/" TargetMode="External"/><Relationship Id="rId16" Type="http://schemas.openxmlformats.org/officeDocument/2006/relationships/hyperlink" Target="http://181.78.205.206/bwfdVuGs/line?id=337" TargetMode="External"/><Relationship Id="rId15" Type="http://schemas.openxmlformats.org/officeDocument/2006/relationships/hyperlink" Target="http://181.78.205.206/bwfdVuGs/line?id=314" TargetMode="External"/><Relationship Id="rId14" Type="http://schemas.openxmlformats.org/officeDocument/2006/relationships/hyperlink" Target="http://181.78.205.206/bwfdVuGs/line?id=313" TargetMode="External"/><Relationship Id="rId13" Type="http://schemas.openxmlformats.org/officeDocument/2006/relationships/hyperlink" Target="http://181.78.205.206/bwfdVuGs/line?id=312" TargetMode="External"/><Relationship Id="rId12" Type="http://schemas.openxmlformats.org/officeDocument/2006/relationships/hyperlink" Target="http://181.78.205.206/bwfdVuGs/line?id=308" TargetMode="External"/><Relationship Id="rId11" Type="http://schemas.openxmlformats.org/officeDocument/2006/relationships/hyperlink" Target="http://181.78.205.206/bwfdVuGs/line?id=311" TargetMode="External"/><Relationship Id="rId10" Type="http://schemas.openxmlformats.org/officeDocument/2006/relationships/hyperlink" Target="http://181.78.205.206/bwfdVuGs/line?id=303" TargetMode="Externa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4" Type="http://schemas.openxmlformats.org/officeDocument/2006/relationships/hyperlink" Target="http://45.70.237.125/bwfdVuGs/line?id=341" TargetMode="External"/><Relationship Id="rId3" Type="http://schemas.openxmlformats.org/officeDocument/2006/relationships/hyperlink" Target="http://181.78.205.206/bwfdVuGs/line?id=301" TargetMode="External"/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R155"/>
  <sheetViews>
    <sheetView workbookViewId="0">
      <selection activeCell="A1" sqref="A1"/>
    </sheetView>
  </sheetViews>
  <sheetFormatPr defaultColWidth="12.6296296296296" defaultRowHeight="15.75" customHeight="1"/>
  <sheetData>
    <row r="1" customHeight="1" spans="1:44">
      <c r="A1" s="1"/>
      <c r="B1" s="1"/>
      <c r="C1" s="1"/>
      <c r="D1" s="2" t="s">
        <v>0</v>
      </c>
      <c r="E1" s="3"/>
      <c r="F1" s="1"/>
      <c r="G1" s="1"/>
      <c r="H1" s="4"/>
      <c r="I1" s="4"/>
      <c r="J1" s="5"/>
      <c r="K1" s="6"/>
      <c r="L1" s="7"/>
      <c r="M1" s="7"/>
      <c r="N1" s="7"/>
      <c r="O1" s="7"/>
      <c r="P1" s="7"/>
      <c r="Q1" s="8"/>
      <c r="R1" s="9"/>
      <c r="S1" s="10"/>
      <c r="T1" s="10"/>
      <c r="U1" s="10"/>
      <c r="V1" s="10"/>
      <c r="W1" s="10"/>
      <c r="X1" s="11"/>
      <c r="Y1" s="7"/>
      <c r="Z1" s="7"/>
      <c r="AA1" s="12"/>
      <c r="AE1" s="13"/>
      <c r="AF1" s="7"/>
      <c r="AG1" s="7"/>
      <c r="AH1" s="7"/>
      <c r="AI1" s="14" t="s">
        <v>1</v>
      </c>
      <c r="AM1" s="13"/>
      <c r="AN1" s="14"/>
      <c r="AO1" s="14"/>
      <c r="AP1" s="14"/>
      <c r="AQ1" s="14"/>
      <c r="AR1" s="14"/>
    </row>
    <row r="2" customHeight="1" spans="1:44">
      <c r="A2" s="15"/>
      <c r="B2" s="15"/>
      <c r="C2" s="16" t="s">
        <v>2</v>
      </c>
      <c r="D2" s="17"/>
      <c r="E2" s="18"/>
      <c r="F2" s="18"/>
      <c r="G2" s="19" t="s">
        <v>3</v>
      </c>
      <c r="H2" s="20"/>
      <c r="I2" s="21" t="s">
        <v>4</v>
      </c>
      <c r="J2" s="22"/>
      <c r="K2" s="6"/>
      <c r="L2" s="23"/>
      <c r="M2" s="23"/>
      <c r="N2" s="24" t="s">
        <v>5</v>
      </c>
      <c r="O2" s="25"/>
      <c r="P2" s="25"/>
      <c r="Q2" s="26"/>
      <c r="R2" s="13"/>
      <c r="S2" s="27" t="s">
        <v>6</v>
      </c>
      <c r="T2" s="27" t="s">
        <v>7</v>
      </c>
      <c r="U2" s="27" t="s">
        <v>8</v>
      </c>
      <c r="V2" s="27" t="s">
        <v>9</v>
      </c>
      <c r="W2" s="15"/>
      <c r="Y2" s="7"/>
      <c r="Z2" s="28" t="s">
        <v>10</v>
      </c>
      <c r="AF2" s="29"/>
      <c r="AG2" s="23"/>
      <c r="AH2" s="30" t="s">
        <v>11</v>
      </c>
      <c r="AI2" s="25"/>
      <c r="AJ2" s="25"/>
      <c r="AK2" s="25"/>
      <c r="AL2" s="25"/>
      <c r="AM2" s="25"/>
      <c r="AN2" s="28"/>
      <c r="AO2" s="28"/>
      <c r="AP2" s="28"/>
      <c r="AQ2" s="28"/>
      <c r="AR2" s="28"/>
    </row>
    <row r="3" customHeight="1" spans="1:44">
      <c r="A3" s="31" t="s">
        <v>12</v>
      </c>
      <c r="B3" s="31" t="s">
        <v>13</v>
      </c>
      <c r="C3" s="31" t="s">
        <v>14</v>
      </c>
      <c r="D3" s="32" t="s">
        <v>15</v>
      </c>
      <c r="E3" s="31" t="s">
        <v>12</v>
      </c>
      <c r="F3" s="31" t="s">
        <v>13</v>
      </c>
      <c r="G3" s="31" t="s">
        <v>14</v>
      </c>
      <c r="H3" s="32" t="s">
        <v>16</v>
      </c>
      <c r="I3" s="32" t="s">
        <v>17</v>
      </c>
      <c r="J3" s="32" t="s">
        <v>15</v>
      </c>
      <c r="K3" s="33"/>
      <c r="L3" s="34"/>
      <c r="M3" s="35" t="s">
        <v>18</v>
      </c>
      <c r="N3" s="31" t="s">
        <v>19</v>
      </c>
      <c r="O3" s="31" t="s">
        <v>20</v>
      </c>
      <c r="P3" s="31" t="s">
        <v>14</v>
      </c>
      <c r="Q3" s="32" t="s">
        <v>21</v>
      </c>
      <c r="R3" s="13"/>
      <c r="S3" s="1"/>
      <c r="T3" s="36" t="s">
        <v>22</v>
      </c>
      <c r="U3" s="37" t="s">
        <v>8</v>
      </c>
      <c r="V3" s="32" t="s">
        <v>9</v>
      </c>
      <c r="W3" s="31" t="s">
        <v>23</v>
      </c>
      <c r="Y3" s="38"/>
      <c r="Z3" s="39" t="s">
        <v>18</v>
      </c>
      <c r="AA3" s="39" t="s">
        <v>24</v>
      </c>
      <c r="AB3" s="38"/>
      <c r="AC3" s="39" t="s">
        <v>25</v>
      </c>
      <c r="AD3" s="39" t="s">
        <v>14</v>
      </c>
      <c r="AE3" s="40" t="s">
        <v>21</v>
      </c>
      <c r="AF3" s="41"/>
      <c r="AG3" s="34"/>
      <c r="AH3" s="35" t="s">
        <v>18</v>
      </c>
      <c r="AI3" s="42" t="s">
        <v>24</v>
      </c>
      <c r="AJ3" s="43"/>
      <c r="AK3" s="35" t="s">
        <v>25</v>
      </c>
      <c r="AL3" s="31" t="s">
        <v>14</v>
      </c>
      <c r="AM3" s="44" t="s">
        <v>21</v>
      </c>
      <c r="AN3" s="724"/>
      <c r="AO3" s="724"/>
      <c r="AP3" s="724"/>
      <c r="AQ3" s="724"/>
      <c r="AR3" s="724"/>
    </row>
    <row r="4" customHeight="1" spans="1:44">
      <c r="A4" s="45"/>
      <c r="B4" s="46"/>
      <c r="C4" s="47"/>
      <c r="D4" s="48"/>
      <c r="E4" s="7"/>
      <c r="F4" s="49"/>
      <c r="G4" s="7"/>
      <c r="H4" s="12"/>
      <c r="I4" s="50"/>
      <c r="J4" s="51"/>
      <c r="K4" s="33"/>
      <c r="L4" s="52" t="s">
        <v>26</v>
      </c>
      <c r="M4" s="53">
        <v>1</v>
      </c>
      <c r="N4" s="7"/>
      <c r="O4" s="54"/>
      <c r="P4" s="7"/>
      <c r="Q4" s="55"/>
      <c r="R4" s="13"/>
      <c r="S4" s="56"/>
      <c r="T4" s="31" t="s">
        <v>27</v>
      </c>
      <c r="U4" s="57"/>
      <c r="V4" s="58"/>
      <c r="W4" s="7"/>
      <c r="Y4" s="59" t="s">
        <v>28</v>
      </c>
      <c r="Z4" s="60">
        <v>1</v>
      </c>
      <c r="AA4" s="7" t="s">
        <v>29</v>
      </c>
      <c r="AB4" s="7" t="s">
        <v>30</v>
      </c>
      <c r="AC4" s="61">
        <v>45389</v>
      </c>
      <c r="AD4" s="47"/>
      <c r="AE4" s="60"/>
      <c r="AF4" s="41"/>
      <c r="AG4" s="62"/>
      <c r="AH4" s="63">
        <v>1</v>
      </c>
      <c r="AI4" s="64" t="s">
        <v>31</v>
      </c>
      <c r="AJ4" s="65"/>
      <c r="AK4" s="61">
        <v>45743</v>
      </c>
      <c r="AL4" s="47"/>
      <c r="AM4" s="66"/>
      <c r="AN4" s="74"/>
      <c r="AO4" s="74"/>
      <c r="AP4" s="74"/>
      <c r="AQ4" s="74"/>
      <c r="AR4" s="74"/>
    </row>
    <row r="5" customHeight="1" spans="1:44">
      <c r="A5" s="45"/>
      <c r="B5" s="46"/>
      <c r="C5" s="47"/>
      <c r="D5" s="48"/>
      <c r="E5" s="7"/>
      <c r="F5" s="49"/>
      <c r="G5" s="7"/>
      <c r="H5" s="12"/>
      <c r="I5" s="50"/>
      <c r="J5" s="51"/>
      <c r="K5" s="33"/>
      <c r="L5" s="67"/>
      <c r="M5" s="53">
        <v>2</v>
      </c>
      <c r="N5" s="7"/>
      <c r="O5" s="54"/>
      <c r="P5" s="7"/>
      <c r="Q5" s="55"/>
      <c r="R5" s="13"/>
      <c r="S5" s="56"/>
      <c r="T5" s="31" t="s">
        <v>32</v>
      </c>
      <c r="U5" s="57"/>
      <c r="V5" s="68"/>
      <c r="W5" s="42" t="s">
        <v>33</v>
      </c>
      <c r="Y5" s="43"/>
      <c r="Z5" s="69">
        <v>2</v>
      </c>
      <c r="AA5" s="70"/>
      <c r="AB5" s="7"/>
      <c r="AC5" s="49"/>
      <c r="AD5" s="7"/>
      <c r="AE5" s="68"/>
      <c r="AF5" s="41"/>
      <c r="AG5" s="71"/>
      <c r="AH5" s="60">
        <v>2</v>
      </c>
      <c r="AI5" s="7" t="s">
        <v>34</v>
      </c>
      <c r="AK5" s="54">
        <v>45743</v>
      </c>
      <c r="AL5" s="47"/>
      <c r="AM5" s="72"/>
      <c r="AN5" s="72"/>
      <c r="AO5" s="72"/>
      <c r="AP5" s="72"/>
      <c r="AQ5" s="72"/>
      <c r="AR5" s="72"/>
    </row>
    <row r="6" customHeight="1" spans="1:44">
      <c r="A6" s="45"/>
      <c r="B6" s="46"/>
      <c r="C6" s="47"/>
      <c r="D6" s="48"/>
      <c r="E6" s="7"/>
      <c r="F6" s="49"/>
      <c r="G6" s="7"/>
      <c r="H6" s="73"/>
      <c r="I6" s="50"/>
      <c r="J6" s="51"/>
      <c r="K6" s="33"/>
      <c r="L6" s="67"/>
      <c r="M6" s="53">
        <v>3</v>
      </c>
      <c r="N6" s="7"/>
      <c r="O6" s="54"/>
      <c r="P6" s="7"/>
      <c r="Q6" s="55"/>
      <c r="R6" s="13"/>
      <c r="S6" s="56"/>
      <c r="T6" s="31" t="s">
        <v>35</v>
      </c>
      <c r="U6" s="57"/>
      <c r="V6" s="68"/>
      <c r="W6" s="42" t="s">
        <v>36</v>
      </c>
      <c r="Y6" s="43"/>
      <c r="Z6" s="69">
        <v>3</v>
      </c>
      <c r="AA6" s="7" t="s">
        <v>37</v>
      </c>
      <c r="AB6" s="7" t="s">
        <v>38</v>
      </c>
      <c r="AC6" s="54">
        <v>45769</v>
      </c>
      <c r="AD6" s="7"/>
      <c r="AE6" s="74"/>
      <c r="AF6" s="41"/>
      <c r="AG6" s="71"/>
      <c r="AH6" s="63">
        <v>1</v>
      </c>
      <c r="AI6" s="7" t="s">
        <v>31</v>
      </c>
      <c r="AK6" s="75">
        <v>45791</v>
      </c>
      <c r="AL6" s="47"/>
      <c r="AM6" s="72"/>
      <c r="AN6" s="72"/>
      <c r="AO6" s="72"/>
      <c r="AP6" s="72"/>
      <c r="AQ6" s="72"/>
      <c r="AR6" s="72"/>
    </row>
    <row r="7" customHeight="1" spans="1:44">
      <c r="A7" s="45"/>
      <c r="B7" s="76"/>
      <c r="C7" s="7"/>
      <c r="D7" s="51"/>
      <c r="E7" s="7"/>
      <c r="F7" s="49"/>
      <c r="G7" s="7"/>
      <c r="H7" s="7"/>
      <c r="I7" s="7"/>
      <c r="J7" s="51"/>
      <c r="K7" s="33"/>
      <c r="L7" s="67"/>
      <c r="M7" s="63">
        <v>4</v>
      </c>
      <c r="N7" s="7"/>
      <c r="O7" s="54"/>
      <c r="P7" s="7"/>
      <c r="Q7" s="55"/>
      <c r="R7" s="13"/>
      <c r="S7" s="56"/>
      <c r="T7" s="31" t="s">
        <v>39</v>
      </c>
      <c r="U7" s="4"/>
      <c r="V7" s="58"/>
      <c r="W7" s="7"/>
      <c r="Y7" s="43"/>
      <c r="Z7" s="69">
        <v>4</v>
      </c>
      <c r="AA7" s="7" t="s">
        <v>40</v>
      </c>
      <c r="AB7" s="7" t="s">
        <v>38</v>
      </c>
      <c r="AC7" s="54">
        <v>45748</v>
      </c>
      <c r="AD7" s="7"/>
      <c r="AE7" s="77"/>
      <c r="AF7" s="41"/>
      <c r="AG7" s="71"/>
      <c r="AH7" s="63">
        <v>2</v>
      </c>
      <c r="AI7" s="7" t="s">
        <v>41</v>
      </c>
      <c r="AK7" s="46">
        <v>45792</v>
      </c>
      <c r="AL7" s="47"/>
      <c r="AM7" s="72"/>
      <c r="AN7" s="72"/>
      <c r="AO7" s="72"/>
      <c r="AP7" s="72"/>
      <c r="AQ7" s="72"/>
      <c r="AR7" s="72"/>
    </row>
    <row r="8" customHeight="1" spans="1:44">
      <c r="A8" s="45"/>
      <c r="B8" s="76"/>
      <c r="C8" s="7"/>
      <c r="D8" s="51"/>
      <c r="E8" s="7"/>
      <c r="F8" s="49"/>
      <c r="G8" s="7"/>
      <c r="H8" s="7"/>
      <c r="I8" s="7"/>
      <c r="J8" s="51"/>
      <c r="K8" s="33"/>
      <c r="L8" s="67"/>
      <c r="M8" s="63">
        <v>5</v>
      </c>
      <c r="N8" s="7"/>
      <c r="O8" s="54"/>
      <c r="P8" s="7"/>
      <c r="Q8" s="55"/>
      <c r="R8" s="13"/>
      <c r="S8" s="56"/>
      <c r="T8" s="78" t="s">
        <v>42</v>
      </c>
      <c r="U8" s="1"/>
      <c r="V8" s="79"/>
      <c r="W8" s="7"/>
      <c r="Y8" s="43"/>
      <c r="Z8" s="60">
        <v>5</v>
      </c>
      <c r="AA8" s="7" t="s">
        <v>43</v>
      </c>
      <c r="AB8" s="7" t="s">
        <v>38</v>
      </c>
      <c r="AC8" s="54">
        <v>45758</v>
      </c>
      <c r="AD8" s="7"/>
      <c r="AE8" s="77"/>
      <c r="AF8" s="29"/>
      <c r="AG8" s="71"/>
      <c r="AH8" s="63">
        <v>3</v>
      </c>
      <c r="AI8" s="7" t="s">
        <v>44</v>
      </c>
      <c r="AK8" s="75">
        <v>45874</v>
      </c>
      <c r="AL8" s="47"/>
      <c r="AM8" s="72"/>
      <c r="AN8" s="72"/>
      <c r="AO8" s="72"/>
      <c r="AP8" s="72"/>
      <c r="AQ8" s="72"/>
      <c r="AR8" s="72"/>
    </row>
    <row r="9" customHeight="1" spans="1:44">
      <c r="A9" s="80"/>
      <c r="B9" s="76"/>
      <c r="C9" s="7"/>
      <c r="D9" s="51"/>
      <c r="E9" s="81"/>
      <c r="F9" s="49"/>
      <c r="G9" s="7"/>
      <c r="H9" s="73"/>
      <c r="I9" s="50"/>
      <c r="J9" s="51"/>
      <c r="K9" s="33"/>
      <c r="L9" s="67"/>
      <c r="M9" s="63">
        <v>6</v>
      </c>
      <c r="N9" s="7"/>
      <c r="O9" s="54"/>
      <c r="P9" s="7"/>
      <c r="Q9" s="55"/>
      <c r="R9" s="13"/>
      <c r="S9" s="56"/>
      <c r="T9" s="31" t="s">
        <v>45</v>
      </c>
      <c r="U9" s="4"/>
      <c r="V9" s="79"/>
      <c r="W9" s="7"/>
      <c r="Y9" s="43"/>
      <c r="Z9" s="60">
        <v>6</v>
      </c>
      <c r="AA9" s="7" t="s">
        <v>46</v>
      </c>
      <c r="AB9" s="7" t="s">
        <v>38</v>
      </c>
      <c r="AC9" s="54">
        <v>45749</v>
      </c>
      <c r="AD9" s="7"/>
      <c r="AE9" s="55"/>
      <c r="AF9" s="29"/>
      <c r="AG9" s="71"/>
      <c r="AH9" s="63">
        <v>4</v>
      </c>
      <c r="AI9" s="7" t="s">
        <v>47</v>
      </c>
      <c r="AK9" s="75">
        <v>45888</v>
      </c>
      <c r="AL9" s="47"/>
      <c r="AM9" s="72"/>
      <c r="AN9" s="72"/>
      <c r="AO9" s="72"/>
      <c r="AP9" s="72"/>
      <c r="AQ9" s="72"/>
      <c r="AR9" s="72"/>
    </row>
    <row r="10" customHeight="1" spans="1:44">
      <c r="A10" s="80"/>
      <c r="B10" s="76"/>
      <c r="C10" s="7"/>
      <c r="D10" s="51"/>
      <c r="E10" s="7"/>
      <c r="F10" s="49"/>
      <c r="G10" s="7"/>
      <c r="H10" s="7"/>
      <c r="I10" s="7"/>
      <c r="J10" s="51"/>
      <c r="K10" s="33"/>
      <c r="L10" s="67"/>
      <c r="M10" s="63">
        <v>3</v>
      </c>
      <c r="N10" s="7"/>
      <c r="O10" s="54"/>
      <c r="P10" s="7"/>
      <c r="Q10" s="55"/>
      <c r="R10" s="13"/>
      <c r="S10" s="34"/>
      <c r="T10" s="82" t="s">
        <v>8</v>
      </c>
      <c r="U10" s="83"/>
      <c r="V10" s="84" t="s">
        <v>9</v>
      </c>
      <c r="W10" s="79"/>
      <c r="Y10" s="43"/>
      <c r="Z10" s="60">
        <v>7</v>
      </c>
      <c r="AA10" s="7" t="s">
        <v>48</v>
      </c>
      <c r="AB10" s="7" t="s">
        <v>38</v>
      </c>
      <c r="AC10" s="54">
        <v>45706</v>
      </c>
      <c r="AD10" s="7"/>
      <c r="AE10" s="77"/>
      <c r="AF10" s="41"/>
      <c r="AG10" s="71"/>
      <c r="AH10" s="63">
        <v>5</v>
      </c>
      <c r="AI10" s="7" t="s">
        <v>49</v>
      </c>
      <c r="AK10" s="75">
        <v>45930</v>
      </c>
      <c r="AL10" s="47"/>
      <c r="AM10" s="72"/>
      <c r="AN10" s="72"/>
      <c r="AO10" s="72"/>
      <c r="AP10" s="72"/>
      <c r="AQ10" s="72"/>
      <c r="AR10" s="72"/>
    </row>
    <row r="11" customHeight="1" spans="1:44">
      <c r="A11" s="80"/>
      <c r="B11" s="76"/>
      <c r="C11" s="7"/>
      <c r="D11" s="51"/>
      <c r="E11" s="7"/>
      <c r="F11" s="7"/>
      <c r="G11" s="7"/>
      <c r="H11" s="7"/>
      <c r="I11" s="7"/>
      <c r="J11" s="7"/>
      <c r="K11" s="33"/>
      <c r="L11" s="67"/>
      <c r="M11" s="63">
        <v>4</v>
      </c>
      <c r="N11" s="7"/>
      <c r="O11" s="54"/>
      <c r="P11" s="7"/>
      <c r="Q11" s="55"/>
      <c r="R11" s="13"/>
      <c r="S11" s="85" t="s">
        <v>50</v>
      </c>
      <c r="T11" s="86">
        <f t="shared" ref="T11:T12" si="0">D19+D22+J19+J22+H38+U4-Q128</f>
        <v>254.85</v>
      </c>
      <c r="U11" s="87"/>
      <c r="V11" s="88"/>
      <c r="W11" s="89"/>
      <c r="Y11" s="43"/>
      <c r="Z11" s="60">
        <v>8</v>
      </c>
      <c r="AA11" s="7" t="s">
        <v>51</v>
      </c>
      <c r="AB11" s="7" t="s">
        <v>38</v>
      </c>
      <c r="AC11" s="54">
        <v>45997</v>
      </c>
      <c r="AD11" s="7"/>
      <c r="AE11" s="77"/>
      <c r="AF11" s="90"/>
      <c r="AG11" s="71"/>
      <c r="AH11" s="63">
        <v>6</v>
      </c>
      <c r="AI11" s="7"/>
      <c r="AK11" s="49"/>
      <c r="AL11" s="7"/>
      <c r="AM11" s="91"/>
      <c r="AN11" s="91"/>
      <c r="AO11" s="91"/>
      <c r="AP11" s="91"/>
      <c r="AQ11" s="91"/>
      <c r="AR11" s="91"/>
    </row>
    <row r="12" customHeight="1" spans="1:44">
      <c r="A12" s="80"/>
      <c r="B12" s="49"/>
      <c r="C12" s="7"/>
      <c r="D12" s="51"/>
      <c r="E12" s="7"/>
      <c r="F12" s="7"/>
      <c r="G12" s="7"/>
      <c r="H12" s="7"/>
      <c r="I12" s="7"/>
      <c r="J12" s="7"/>
      <c r="K12" s="33"/>
      <c r="L12" s="67"/>
      <c r="M12" s="63">
        <v>5</v>
      </c>
      <c r="N12" s="7"/>
      <c r="O12" s="49"/>
      <c r="P12" s="7"/>
      <c r="Q12" s="68"/>
      <c r="R12" s="13"/>
      <c r="S12" s="85" t="s">
        <v>52</v>
      </c>
      <c r="T12" s="92">
        <f t="shared" si="0"/>
        <v>304.47</v>
      </c>
      <c r="U12" s="93"/>
      <c r="V12" s="94">
        <f>AB46</f>
        <v>27.16</v>
      </c>
      <c r="W12" s="95"/>
      <c r="Y12" s="43"/>
      <c r="Z12" s="7"/>
      <c r="AA12" s="7"/>
      <c r="AB12" s="7"/>
      <c r="AC12" s="49"/>
      <c r="AD12" s="7"/>
      <c r="AE12" s="96"/>
      <c r="AF12" s="90"/>
      <c r="AG12" s="71"/>
      <c r="AH12" s="97">
        <v>7</v>
      </c>
      <c r="AI12" s="7" t="s">
        <v>31</v>
      </c>
      <c r="AJ12" s="7"/>
      <c r="AK12" s="46">
        <v>45915</v>
      </c>
      <c r="AL12" s="47"/>
      <c r="AM12" s="77"/>
      <c r="AN12" s="77"/>
      <c r="AO12" s="77"/>
      <c r="AP12" s="77"/>
      <c r="AQ12" s="77"/>
      <c r="AR12" s="77"/>
    </row>
    <row r="13" customHeight="1" spans="1:44">
      <c r="A13" s="80"/>
      <c r="B13" s="7"/>
      <c r="C13" s="7"/>
      <c r="D13" s="7"/>
      <c r="E13" s="81"/>
      <c r="F13" s="7"/>
      <c r="G13" s="7"/>
      <c r="H13" s="7"/>
      <c r="I13" s="7"/>
      <c r="J13" s="7"/>
      <c r="K13" s="33"/>
      <c r="L13" s="67"/>
      <c r="M13" s="63">
        <v>6</v>
      </c>
      <c r="N13" s="7"/>
      <c r="O13" s="49"/>
      <c r="P13" s="7"/>
      <c r="Q13" s="68"/>
      <c r="R13" s="13"/>
      <c r="S13" s="85" t="s">
        <v>35</v>
      </c>
      <c r="T13" s="86">
        <f>D21+D24+J21+J24+H40+U6+AE48-Q130</f>
        <v>165.14</v>
      </c>
      <c r="U13" s="93"/>
      <c r="V13" s="88"/>
      <c r="W13" s="91"/>
      <c r="Y13" s="43"/>
      <c r="Z13" s="7"/>
      <c r="AA13" s="7"/>
      <c r="AB13" s="7"/>
      <c r="AC13" s="49"/>
      <c r="AD13" s="7"/>
      <c r="AE13" s="96"/>
      <c r="AF13" s="90"/>
      <c r="AG13" s="71"/>
      <c r="AH13" s="63">
        <v>8</v>
      </c>
      <c r="AI13" s="7"/>
      <c r="AK13" s="49"/>
      <c r="AL13" s="7"/>
      <c r="AM13" s="68"/>
      <c r="AN13" s="96"/>
      <c r="AO13" s="96"/>
      <c r="AP13" s="96"/>
      <c r="AQ13" s="96"/>
      <c r="AR13" s="96"/>
    </row>
    <row r="14" customHeight="1" spans="1:44">
      <c r="A14" s="7"/>
      <c r="B14" s="7"/>
      <c r="C14" s="7"/>
      <c r="D14" s="7"/>
      <c r="E14" s="81"/>
      <c r="F14" s="7"/>
      <c r="G14" s="7"/>
      <c r="H14" s="7"/>
      <c r="I14" s="7"/>
      <c r="J14" s="7"/>
      <c r="K14" s="33"/>
      <c r="L14" s="67"/>
      <c r="M14" s="63">
        <v>7</v>
      </c>
      <c r="N14" s="7"/>
      <c r="O14" s="49"/>
      <c r="P14" s="7"/>
      <c r="Q14" s="68"/>
      <c r="R14" s="13"/>
      <c r="S14" s="7"/>
      <c r="T14" s="7"/>
      <c r="U14" s="60"/>
      <c r="V14" s="96"/>
      <c r="W14" s="96"/>
      <c r="Y14" s="43"/>
      <c r="Z14" s="7"/>
      <c r="AA14" s="7"/>
      <c r="AB14" s="7"/>
      <c r="AC14" s="49"/>
      <c r="AD14" s="7"/>
      <c r="AE14" s="96"/>
      <c r="AF14" s="90"/>
      <c r="AG14" s="71"/>
      <c r="AH14" s="98"/>
      <c r="AI14" s="64"/>
      <c r="AJ14" s="64"/>
      <c r="AK14" s="99"/>
      <c r="AL14" s="100" t="s">
        <v>23</v>
      </c>
      <c r="AM14" s="101">
        <f>SUMIF(AL4:AL13,"Pichincha",AM4:AM13)</f>
        <v>0</v>
      </c>
      <c r="AN14" s="74"/>
      <c r="AO14" s="74"/>
      <c r="AP14" s="74"/>
      <c r="AQ14" s="74"/>
      <c r="AR14" s="74"/>
    </row>
    <row r="15" customHeight="1" spans="1:44">
      <c r="A15" s="80"/>
      <c r="B15" s="49"/>
      <c r="C15" s="7"/>
      <c r="D15" s="51"/>
      <c r="E15" s="7"/>
      <c r="F15" s="7"/>
      <c r="G15" s="7"/>
      <c r="H15" s="7"/>
      <c r="I15" s="7"/>
      <c r="J15" s="7"/>
      <c r="K15" s="33"/>
      <c r="L15" s="67"/>
      <c r="M15" s="63">
        <v>8</v>
      </c>
      <c r="N15" s="7"/>
      <c r="O15" s="49"/>
      <c r="P15" s="7"/>
      <c r="Q15" s="68"/>
      <c r="R15" s="13"/>
      <c r="S15" s="7"/>
      <c r="T15" s="7"/>
      <c r="U15" s="60"/>
      <c r="V15" s="96"/>
      <c r="W15" s="96"/>
      <c r="Y15" s="80"/>
      <c r="Z15" s="81"/>
      <c r="AA15" s="7"/>
      <c r="AB15" s="7"/>
      <c r="AC15" s="49"/>
      <c r="AD15" s="7"/>
      <c r="AE15" s="96"/>
      <c r="AF15" s="90"/>
      <c r="AG15" s="102" t="s">
        <v>53</v>
      </c>
      <c r="AM15" s="43"/>
      <c r="AN15" s="102"/>
      <c r="AO15" s="102"/>
      <c r="AP15" s="102"/>
      <c r="AQ15" s="102"/>
      <c r="AR15" s="102"/>
    </row>
    <row r="16" customHeight="1" spans="1:44">
      <c r="A16" s="80"/>
      <c r="B16" s="49"/>
      <c r="C16" s="7"/>
      <c r="D16" s="51"/>
      <c r="E16" s="7"/>
      <c r="F16" s="7"/>
      <c r="G16" s="7"/>
      <c r="H16" s="7"/>
      <c r="I16" s="7"/>
      <c r="J16" s="7"/>
      <c r="K16" s="33"/>
      <c r="L16" s="67"/>
      <c r="M16" s="63">
        <v>9</v>
      </c>
      <c r="N16" s="7"/>
      <c r="O16" s="49"/>
      <c r="P16" s="7"/>
      <c r="Q16" s="68"/>
      <c r="R16" s="13"/>
      <c r="S16" s="7"/>
      <c r="T16" s="1"/>
      <c r="U16" s="1"/>
      <c r="V16" s="1"/>
      <c r="W16" s="7"/>
      <c r="Y16" s="103"/>
      <c r="Z16" s="1"/>
      <c r="AA16" s="7"/>
      <c r="AB16" s="96"/>
      <c r="AC16" s="49"/>
      <c r="AD16" s="7"/>
      <c r="AE16" s="96"/>
      <c r="AF16" s="90"/>
      <c r="AG16" s="3"/>
      <c r="AH16" s="3"/>
      <c r="AI16" s="3"/>
      <c r="AJ16" s="3"/>
      <c r="AK16" s="3"/>
      <c r="AL16" s="3"/>
      <c r="AM16" s="79"/>
      <c r="AN16" s="102"/>
      <c r="AO16" s="102"/>
      <c r="AP16" s="102"/>
      <c r="AQ16" s="102"/>
      <c r="AR16" s="102"/>
    </row>
    <row r="17" customHeight="1" spans="1:44">
      <c r="A17" s="80"/>
      <c r="B17" s="49"/>
      <c r="C17" s="7"/>
      <c r="D17" s="51"/>
      <c r="E17" s="7"/>
      <c r="F17" s="7"/>
      <c r="G17" s="7"/>
      <c r="H17" s="7"/>
      <c r="I17" s="7"/>
      <c r="J17" s="7"/>
      <c r="K17" s="33"/>
      <c r="L17" s="67"/>
      <c r="M17" s="104">
        <v>10</v>
      </c>
      <c r="N17" s="7"/>
      <c r="O17" s="49"/>
      <c r="P17" s="7"/>
      <c r="Q17" s="68"/>
      <c r="R17" s="13"/>
      <c r="S17" s="105" t="s">
        <v>45</v>
      </c>
      <c r="T17" s="106">
        <f t="shared" ref="T17:U17" si="1">SUM(T11:T13)+V12+V11</f>
        <v>751.62</v>
      </c>
      <c r="U17" s="107">
        <f t="shared" si="1"/>
        <v>0</v>
      </c>
      <c r="V17" s="58"/>
      <c r="W17" s="77"/>
      <c r="Y17" s="103"/>
      <c r="Z17" s="60">
        <v>14</v>
      </c>
      <c r="AA17" s="64"/>
      <c r="AB17" s="64"/>
      <c r="AC17" s="61"/>
      <c r="AD17" s="108"/>
      <c r="AE17" s="109"/>
      <c r="AF17" s="90"/>
      <c r="AG17" s="103"/>
      <c r="AH17" s="31" t="s">
        <v>18</v>
      </c>
      <c r="AI17" s="110" t="s">
        <v>24</v>
      </c>
      <c r="AJ17" s="79"/>
      <c r="AK17" s="31" t="s">
        <v>25</v>
      </c>
      <c r="AL17" s="31" t="s">
        <v>14</v>
      </c>
      <c r="AM17" s="111" t="s">
        <v>21</v>
      </c>
      <c r="AN17" s="725"/>
      <c r="AO17" s="725"/>
      <c r="AP17" s="725"/>
      <c r="AQ17" s="725"/>
      <c r="AR17" s="725"/>
    </row>
    <row r="18" customHeight="1" spans="1:44">
      <c r="A18" s="80"/>
      <c r="B18" s="49"/>
      <c r="C18" s="7"/>
      <c r="D18" s="91"/>
      <c r="E18" s="81"/>
      <c r="F18" s="7"/>
      <c r="G18" s="7"/>
      <c r="H18" s="7"/>
      <c r="I18" s="7"/>
      <c r="J18" s="7"/>
      <c r="K18" s="33"/>
      <c r="L18" s="67"/>
      <c r="M18" s="63">
        <v>11</v>
      </c>
      <c r="N18" s="7"/>
      <c r="O18" s="49"/>
      <c r="P18" s="7"/>
      <c r="Q18" s="68"/>
      <c r="R18" s="13"/>
      <c r="S18" s="31" t="s">
        <v>54</v>
      </c>
      <c r="T18" s="112"/>
      <c r="U18" s="113"/>
      <c r="V18" s="7"/>
      <c r="W18" s="7"/>
      <c r="Y18" s="103"/>
      <c r="Z18" s="60">
        <v>15</v>
      </c>
      <c r="AA18" s="7"/>
      <c r="AB18" s="7"/>
      <c r="AC18" s="49"/>
      <c r="AD18" s="7"/>
      <c r="AE18" s="96"/>
      <c r="AF18" s="90"/>
      <c r="AG18" s="114" t="s">
        <v>55</v>
      </c>
      <c r="AH18" s="60">
        <v>1</v>
      </c>
      <c r="AI18" s="64"/>
      <c r="AJ18" s="65"/>
      <c r="AK18" s="61"/>
      <c r="AL18" s="64"/>
      <c r="AM18" s="115"/>
      <c r="AN18" s="77"/>
      <c r="AO18" s="77"/>
      <c r="AP18" s="77"/>
      <c r="AQ18" s="77"/>
      <c r="AR18" s="77"/>
    </row>
    <row r="19" customHeight="1" spans="1:44">
      <c r="A19" s="116"/>
      <c r="B19" s="117"/>
      <c r="C19" s="118" t="s">
        <v>56</v>
      </c>
      <c r="D19" s="119">
        <f>SUMIF(BAÑOS!BP2:BP270,C19,BAÑOS!BO2:BO270)+SUMIF(C4:C18,C19,D4:D18)</f>
        <v>254.85</v>
      </c>
      <c r="E19" s="120"/>
      <c r="F19" s="121" t="s">
        <v>57</v>
      </c>
      <c r="G19" s="3"/>
      <c r="H19" s="122"/>
      <c r="I19" s="123" t="s">
        <v>56</v>
      </c>
      <c r="J19" s="124">
        <f>SUMIF(SAYAUSI!BP2:BP175,I19,SAYAUSI!BO2:BO175)+SUMIF(G4:G18,I19,J4:J18)</f>
        <v>0</v>
      </c>
      <c r="K19" s="33"/>
      <c r="L19" s="67"/>
      <c r="M19" s="63">
        <v>12</v>
      </c>
      <c r="N19" s="7"/>
      <c r="O19" s="49"/>
      <c r="P19" s="7"/>
      <c r="Q19" s="68"/>
      <c r="R19" s="13"/>
      <c r="S19" s="105" t="s">
        <v>58</v>
      </c>
      <c r="T19" s="125">
        <f>T17+V17</f>
        <v>751.62</v>
      </c>
      <c r="U19" s="79"/>
      <c r="V19" s="7"/>
      <c r="W19" s="7"/>
      <c r="Y19" s="126"/>
      <c r="Z19" s="64"/>
      <c r="AA19" s="64"/>
      <c r="AB19" s="64"/>
      <c r="AC19" s="99"/>
      <c r="AD19" s="127" t="s">
        <v>56</v>
      </c>
      <c r="AE19" s="128">
        <f>SUMIF($AD$4:$AD$18,"Efectivo",$AE$4:AE18)</f>
        <v>0</v>
      </c>
      <c r="AF19" s="90"/>
      <c r="AG19" s="43"/>
      <c r="AH19" s="69">
        <v>2</v>
      </c>
      <c r="AI19" s="7"/>
      <c r="AK19" s="54"/>
      <c r="AL19" s="7"/>
      <c r="AM19" s="77"/>
      <c r="AN19" s="77"/>
      <c r="AO19" s="77"/>
      <c r="AP19" s="77"/>
      <c r="AQ19" s="77"/>
      <c r="AR19" s="77"/>
    </row>
    <row r="20" customHeight="1" spans="1:44">
      <c r="A20" s="81"/>
      <c r="B20" s="56"/>
      <c r="C20" s="118" t="s">
        <v>23</v>
      </c>
      <c r="D20" s="119">
        <f>SUMIF(BAÑOS!BP2:BP270,C20,BAÑOS!BO2:BO270)+SUMIF(C4:C18,C20,D4:D18)</f>
        <v>248.43</v>
      </c>
      <c r="E20" s="129" t="s">
        <v>59</v>
      </c>
      <c r="F20" s="31" t="s">
        <v>13</v>
      </c>
      <c r="G20" s="31" t="s">
        <v>14</v>
      </c>
      <c r="H20" s="111" t="s">
        <v>15</v>
      </c>
      <c r="I20" s="130" t="s">
        <v>23</v>
      </c>
      <c r="J20" s="124">
        <f>SUMIF(SAYAUSI!BP2:BP175,I20,SAYAUSI!BO2:BO175)+SUMIF(G4:G18,I20,J4:J18)</f>
        <v>56.04</v>
      </c>
      <c r="K20" s="33"/>
      <c r="L20" s="67"/>
      <c r="M20" s="63">
        <v>13</v>
      </c>
      <c r="N20" s="7"/>
      <c r="O20" s="49"/>
      <c r="P20" s="7"/>
      <c r="Q20" s="68"/>
      <c r="R20" s="13"/>
      <c r="S20" s="56"/>
      <c r="T20" s="110" t="s">
        <v>60</v>
      </c>
      <c r="U20" s="58"/>
      <c r="V20" s="7"/>
      <c r="W20" s="7"/>
      <c r="Y20" s="80"/>
      <c r="Z20" s="7"/>
      <c r="AA20" s="96"/>
      <c r="AB20" s="96"/>
      <c r="AC20" s="49"/>
      <c r="AD20" s="127" t="s">
        <v>23</v>
      </c>
      <c r="AE20" s="128">
        <f>SUMIF($AD$4:$AD$18,"Pichincha",$AE$4:AE19)</f>
        <v>0</v>
      </c>
      <c r="AF20" s="90"/>
      <c r="AG20" s="43"/>
      <c r="AH20" s="69">
        <v>3</v>
      </c>
      <c r="AI20" s="131"/>
      <c r="AK20" s="132"/>
      <c r="AL20" s="47"/>
      <c r="AM20" s="133"/>
      <c r="AN20" s="726"/>
      <c r="AO20" s="726"/>
      <c r="AP20" s="726"/>
      <c r="AQ20" s="726"/>
      <c r="AR20" s="726"/>
    </row>
    <row r="21" customHeight="1" spans="1:44">
      <c r="A21" s="81"/>
      <c r="B21" s="56"/>
      <c r="C21" s="118" t="s">
        <v>35</v>
      </c>
      <c r="D21" s="119">
        <f>SUMIF(BAÑOS!BP2:BP270,C21,BAÑOS!BO2:BO270)+SUMIF(C4:C18,C21,D4:D18)</f>
        <v>68.54</v>
      </c>
      <c r="E21" s="134"/>
      <c r="F21" s="135"/>
      <c r="G21" s="134"/>
      <c r="H21" s="136"/>
      <c r="I21" s="130" t="s">
        <v>35</v>
      </c>
      <c r="J21" s="124">
        <f>SUMIF(SAYAUSI!BP2:BP175,I21,SAYAUSI!BO2:BO175)+SUMIF(G4:G18,I21,J4:J18)</f>
        <v>84.6</v>
      </c>
      <c r="K21" s="33"/>
      <c r="L21" s="67"/>
      <c r="M21" s="63">
        <v>14</v>
      </c>
      <c r="N21" s="7"/>
      <c r="O21" s="49"/>
      <c r="P21" s="7"/>
      <c r="Q21" s="68"/>
      <c r="R21" s="13"/>
      <c r="S21" s="56"/>
      <c r="T21" s="110" t="s">
        <v>61</v>
      </c>
      <c r="U21" s="58"/>
      <c r="V21" s="7"/>
      <c r="W21" s="7"/>
      <c r="Y21" s="80"/>
      <c r="Z21" s="7"/>
      <c r="AA21" s="7"/>
      <c r="AB21" s="96"/>
      <c r="AC21" s="49"/>
      <c r="AD21" s="127" t="s">
        <v>35</v>
      </c>
      <c r="AE21" s="128">
        <f>SUMIF($AD$4:$AD$18,"JEP",$AE$4:AE20)</f>
        <v>0</v>
      </c>
      <c r="AF21" s="90"/>
      <c r="AG21" s="43"/>
      <c r="AH21" s="69">
        <v>4</v>
      </c>
      <c r="AI21" s="96"/>
      <c r="AK21" s="54"/>
      <c r="AL21" s="47"/>
      <c r="AM21" s="137"/>
      <c r="AN21" s="137"/>
      <c r="AO21" s="137"/>
      <c r="AP21" s="137"/>
      <c r="AQ21" s="137"/>
      <c r="AR21" s="137"/>
    </row>
    <row r="22" customHeight="1" spans="1:44">
      <c r="A22" s="81"/>
      <c r="B22" s="56"/>
      <c r="C22" s="118" t="s">
        <v>62</v>
      </c>
      <c r="D22" s="119">
        <f>SUMIF(BAÑOS!BP2:BP270,C22,BAÑOS!BO2:BO270)+SUMIF(C4:C18,C22,D4:D18)</f>
        <v>0</v>
      </c>
      <c r="E22" s="134"/>
      <c r="F22" s="135"/>
      <c r="G22" s="134"/>
      <c r="H22" s="136"/>
      <c r="I22" s="130" t="s">
        <v>62</v>
      </c>
      <c r="J22" s="124">
        <f>SUMIF(SAYAUSI!BP2:BP175,I22,SAYAUSI!BO2:BO175)+SUMIF(G4:G18,I22,J4:J18)</f>
        <v>0</v>
      </c>
      <c r="K22" s="33"/>
      <c r="L22" s="138"/>
      <c r="M22" s="53">
        <v>1</v>
      </c>
      <c r="N22" s="7"/>
      <c r="O22" s="49"/>
      <c r="P22" s="7"/>
      <c r="Q22" s="68"/>
      <c r="R22" s="13"/>
      <c r="S22" s="7"/>
      <c r="T22" s="1"/>
      <c r="U22" s="1"/>
      <c r="V22" s="7"/>
      <c r="W22" s="7"/>
      <c r="Y22" s="80"/>
      <c r="Z22" s="7"/>
      <c r="AA22" s="7"/>
      <c r="AB22" s="7"/>
      <c r="AC22" s="49"/>
      <c r="AD22" s="139"/>
      <c r="AE22" s="58"/>
      <c r="AF22" s="90"/>
      <c r="AG22" s="43"/>
      <c r="AH22" s="60">
        <v>5</v>
      </c>
      <c r="AI22" s="7"/>
      <c r="AJ22" s="7"/>
      <c r="AK22" s="54"/>
      <c r="AL22" s="47"/>
      <c r="AM22" s="140"/>
      <c r="AN22" s="140"/>
      <c r="AO22" s="140"/>
      <c r="AP22" s="140"/>
      <c r="AQ22" s="140"/>
      <c r="AR22" s="140"/>
    </row>
    <row r="23" customHeight="1" spans="1:44">
      <c r="A23" s="81"/>
      <c r="B23" s="56"/>
      <c r="C23" s="118" t="s">
        <v>63</v>
      </c>
      <c r="D23" s="119">
        <f>SUMIF(BAÑOS!BP2:BP270,C23,BAÑOS!BO2:BO270)+SUMIF(C4:C18,C23,D4:D18)</f>
        <v>0</v>
      </c>
      <c r="E23" s="134"/>
      <c r="F23" s="135"/>
      <c r="G23" s="134"/>
      <c r="H23" s="101"/>
      <c r="I23" s="130" t="s">
        <v>63</v>
      </c>
      <c r="J23" s="124">
        <f>SUMIF(SAYAUSI!BP2:BP175,I23,SAYAUSI!BO2:BO175)+SUMIF(G4:G18,I23,J4:J18)</f>
        <v>0</v>
      </c>
      <c r="K23" s="33"/>
      <c r="L23" s="71"/>
      <c r="M23" s="53">
        <v>2</v>
      </c>
      <c r="N23" s="64"/>
      <c r="O23" s="99"/>
      <c r="P23" s="64"/>
      <c r="Q23" s="141"/>
      <c r="R23" s="13"/>
      <c r="S23" s="34"/>
      <c r="T23" s="142" t="s">
        <v>64</v>
      </c>
      <c r="U23" s="31" t="s">
        <v>65</v>
      </c>
      <c r="V23" s="143" t="s">
        <v>66</v>
      </c>
      <c r="W23" s="143" t="s">
        <v>67</v>
      </c>
      <c r="Y23" s="120"/>
      <c r="Z23" s="120"/>
      <c r="AA23" s="121" t="s">
        <v>68</v>
      </c>
      <c r="AB23" s="120"/>
      <c r="AC23" s="120"/>
      <c r="AD23" s="120"/>
      <c r="AE23" s="144"/>
      <c r="AF23" s="90"/>
      <c r="AG23" s="43"/>
      <c r="AH23" s="60">
        <v>6</v>
      </c>
      <c r="AI23" s="7"/>
      <c r="AJ23" s="7"/>
      <c r="AK23" s="54"/>
      <c r="AL23" s="7"/>
      <c r="AM23" s="145"/>
      <c r="AN23" s="137"/>
      <c r="AO23" s="137"/>
      <c r="AP23" s="137"/>
      <c r="AQ23" s="137"/>
      <c r="AR23" s="137"/>
    </row>
    <row r="24" customHeight="1" spans="1:44">
      <c r="A24" s="81"/>
      <c r="B24" s="56"/>
      <c r="C24" s="118" t="s">
        <v>69</v>
      </c>
      <c r="D24" s="119">
        <f>SUMIF(BAÑOS!BP2:BP270,C24,BAÑOS!BO2:BO270)+SUMIF(C4:C18,C24,D4:D18)</f>
        <v>0</v>
      </c>
      <c r="E24" s="134"/>
      <c r="F24" s="135"/>
      <c r="G24" s="134"/>
      <c r="H24" s="101"/>
      <c r="I24" s="130" t="s">
        <v>69</v>
      </c>
      <c r="J24" s="124">
        <f>SUMIF(SAYAUSI!BP2:BP175,I24,SAYAUSI!BO2:BO175)+SUMIF(G4:G18,I24,J4:J18)</f>
        <v>0</v>
      </c>
      <c r="K24" s="33"/>
      <c r="L24" s="146"/>
      <c r="M24" s="53">
        <v>3</v>
      </c>
      <c r="N24" s="7"/>
      <c r="O24" s="49"/>
      <c r="P24" s="7"/>
      <c r="Q24" s="68"/>
      <c r="R24" s="13"/>
      <c r="S24" s="31" t="s">
        <v>70</v>
      </c>
      <c r="T24" s="147">
        <f>SUM(BAÑOS!IY2:IY207)+SUM(BAÑOS!JA2:JA207)+SUM(BAÑOS!JB2:JB207)</f>
        <v>0</v>
      </c>
      <c r="U24" s="148">
        <f>COUNTIF(BAÑOS!JA2:JA207,"&lt;&gt;")</f>
        <v>0</v>
      </c>
      <c r="V24" s="149">
        <f>SUM(BAÑOS!HQ2:HQ185)+SUM(BAÑOS!HS2:HS185)</f>
        <v>0</v>
      </c>
      <c r="W24" s="150">
        <f ca="1">SUMIF(BAÑOS!HR2:HR185,"",BAÑOS!HU6:HU185)</f>
        <v>0</v>
      </c>
      <c r="Y24" s="34"/>
      <c r="Z24" s="31" t="s">
        <v>18</v>
      </c>
      <c r="AA24" s="31" t="s">
        <v>71</v>
      </c>
      <c r="AB24" s="1"/>
      <c r="AC24" s="31" t="s">
        <v>25</v>
      </c>
      <c r="AD24" s="31" t="s">
        <v>71</v>
      </c>
      <c r="AE24" s="32" t="s">
        <v>21</v>
      </c>
      <c r="AF24" s="90"/>
      <c r="AG24" s="43"/>
      <c r="AH24" s="60">
        <v>7</v>
      </c>
      <c r="AI24" s="7"/>
      <c r="AJ24" s="7"/>
      <c r="AK24" s="54"/>
      <c r="AL24" s="7"/>
      <c r="AM24" s="145"/>
      <c r="AN24" s="137"/>
      <c r="AO24" s="137"/>
      <c r="AP24" s="137"/>
      <c r="AQ24" s="137"/>
      <c r="AR24" s="137"/>
    </row>
    <row r="25" customHeight="1" spans="1:44">
      <c r="A25" s="81"/>
      <c r="B25" s="56"/>
      <c r="C25" s="118" t="s">
        <v>72</v>
      </c>
      <c r="D25" s="119">
        <f>SUMIF(BAÑOS!BP2:BP270,C25,BAÑOS!BO2:BO270)+SUMIF(C4:C18,C25,D4:D18)</f>
        <v>0</v>
      </c>
      <c r="E25" s="7"/>
      <c r="F25" s="73"/>
      <c r="G25" s="7"/>
      <c r="H25" s="68"/>
      <c r="I25" s="151" t="s">
        <v>72</v>
      </c>
      <c r="J25" s="124">
        <f>SUMIF(SAYAUSI!BP2:BP175,I25,SAYAUSI!BO2:BO175)+SUMIF(G4:G18,I25,J4:J18)</f>
        <v>0</v>
      </c>
      <c r="K25" s="33"/>
      <c r="L25" s="152" t="s">
        <v>73</v>
      </c>
      <c r="M25" s="53">
        <v>1</v>
      </c>
      <c r="N25" s="7"/>
      <c r="O25" s="54"/>
      <c r="P25" s="7"/>
      <c r="Q25" s="55"/>
      <c r="R25" s="13"/>
      <c r="S25" s="31" t="s">
        <v>74</v>
      </c>
      <c r="T25" s="147">
        <f>SUM(SAYAUSI!JR2:JR115)+SUM(SAYAUSI!JT2:JT115)+SUM(SAYAUSI!JU2:JU115)</f>
        <v>0</v>
      </c>
      <c r="U25" s="148">
        <f>COUNTIF(SAYAUSI!JT2:JT115,"&lt;&gt;")</f>
        <v>0</v>
      </c>
      <c r="V25" s="149">
        <f>SUM(SAYAUSI!ID2:ID109)+SUM(SAYAUSI!IG2:IG109)</f>
        <v>0</v>
      </c>
      <c r="W25" s="150">
        <f>SUMIF(SAYAUSI!ID2:ID109,"",SAYAUSI!II2:II109)</f>
        <v>0</v>
      </c>
      <c r="Y25" s="153" t="s">
        <v>75</v>
      </c>
      <c r="Z25" s="69">
        <v>1</v>
      </c>
      <c r="AA25" s="7"/>
      <c r="AB25" s="7"/>
      <c r="AC25" s="54"/>
      <c r="AD25" s="7"/>
      <c r="AE25" s="72"/>
      <c r="AF25" s="90"/>
      <c r="AG25" s="43"/>
      <c r="AH25" s="60">
        <v>8</v>
      </c>
      <c r="AI25" s="7"/>
      <c r="AJ25" s="7"/>
      <c r="AK25" s="54"/>
      <c r="AL25" s="7"/>
      <c r="AM25" s="145"/>
      <c r="AN25" s="137"/>
      <c r="AO25" s="137"/>
      <c r="AP25" s="137"/>
      <c r="AQ25" s="137"/>
      <c r="AR25" s="137"/>
    </row>
    <row r="26" customHeight="1" spans="1:44">
      <c r="A26" s="7"/>
      <c r="B26" s="56"/>
      <c r="C26" s="118" t="s">
        <v>76</v>
      </c>
      <c r="D26" s="119">
        <f>SUMIF(BAÑOS!BP2:BP270,C26,BAÑOS!BO2:BO270)+SUMIF(C4:C18,C26,D4:D18)</f>
        <v>0</v>
      </c>
      <c r="E26" s="7"/>
      <c r="F26" s="73"/>
      <c r="G26" s="7"/>
      <c r="H26" s="68"/>
      <c r="I26" s="154" t="s">
        <v>76</v>
      </c>
      <c r="J26" s="124">
        <f>SUMIF(SAYAUSI!BP2:BP175,I26,SAYAUSI!BO2:BO175)+SUMIF(G4:G18,I26,J4:J18)</f>
        <v>0</v>
      </c>
      <c r="K26" s="33"/>
      <c r="L26" s="43"/>
      <c r="M26" s="53">
        <v>2</v>
      </c>
      <c r="N26" s="7"/>
      <c r="O26" s="54"/>
      <c r="P26" s="7"/>
      <c r="Q26" s="55"/>
      <c r="R26" s="13"/>
      <c r="S26" s="143" t="s">
        <v>77</v>
      </c>
      <c r="T26" s="77">
        <f>SUM(D4:D18)+SUM(J4:J18)</f>
        <v>0</v>
      </c>
      <c r="U26" s="155"/>
      <c r="V26" s="156"/>
      <c r="W26" s="38"/>
      <c r="Y26" s="43"/>
      <c r="Z26" s="69">
        <v>2</v>
      </c>
      <c r="AA26" s="7"/>
      <c r="AB26" s="7"/>
      <c r="AC26" s="49"/>
      <c r="AD26" s="7"/>
      <c r="AE26" s="68"/>
      <c r="AF26" s="90"/>
      <c r="AG26" s="43"/>
      <c r="AH26" s="60">
        <v>9</v>
      </c>
      <c r="AI26" s="7"/>
      <c r="AJ26" s="7"/>
      <c r="AK26" s="54"/>
      <c r="AL26" s="7"/>
      <c r="AM26" s="157"/>
      <c r="AN26" s="157"/>
      <c r="AO26" s="157"/>
      <c r="AP26" s="157"/>
      <c r="AQ26" s="157"/>
      <c r="AR26" s="157"/>
    </row>
    <row r="27" customHeight="1" spans="1:44">
      <c r="A27" s="12"/>
      <c r="B27" s="158"/>
      <c r="C27" s="159" t="s">
        <v>45</v>
      </c>
      <c r="D27" s="160">
        <f>SUM(D19:D26)</f>
        <v>571.82</v>
      </c>
      <c r="E27" s="7"/>
      <c r="F27" s="73"/>
      <c r="G27" s="7"/>
      <c r="H27" s="68"/>
      <c r="I27" s="161" t="s">
        <v>78</v>
      </c>
      <c r="J27" s="162">
        <f>SUM(J19:J26)</f>
        <v>140.64</v>
      </c>
      <c r="K27" s="33"/>
      <c r="L27" s="43"/>
      <c r="M27" s="163">
        <v>3</v>
      </c>
      <c r="N27" s="7"/>
      <c r="O27" s="49"/>
      <c r="P27" s="7"/>
      <c r="Q27" s="68"/>
      <c r="R27" s="13"/>
      <c r="S27" s="164" t="s">
        <v>79</v>
      </c>
      <c r="T27" s="165">
        <f>SUM(PLATAFORMA!BK2:BK38)</f>
        <v>0</v>
      </c>
      <c r="U27" s="98"/>
      <c r="V27" s="166"/>
      <c r="W27" s="38"/>
      <c r="Y27" s="43"/>
      <c r="Z27" s="69">
        <v>3</v>
      </c>
      <c r="AA27" s="7"/>
      <c r="AB27" s="7"/>
      <c r="AC27" s="49"/>
      <c r="AD27" s="7"/>
      <c r="AE27" s="68"/>
      <c r="AF27" s="29"/>
      <c r="AG27" s="43"/>
      <c r="AH27" s="60">
        <v>10</v>
      </c>
      <c r="AI27" s="7"/>
      <c r="AJ27" s="54"/>
      <c r="AK27" s="54"/>
      <c r="AL27" s="7"/>
      <c r="AM27" s="145"/>
      <c r="AN27" s="137"/>
      <c r="AO27" s="137"/>
      <c r="AP27" s="137"/>
      <c r="AQ27" s="137"/>
      <c r="AR27" s="137"/>
    </row>
    <row r="28" customHeight="1" spans="1:44">
      <c r="A28" s="7"/>
      <c r="B28" s="49"/>
      <c r="C28" s="167"/>
      <c r="D28" s="51"/>
      <c r="E28" s="7"/>
      <c r="F28" s="73"/>
      <c r="G28" s="7"/>
      <c r="H28" s="68"/>
      <c r="I28" s="96"/>
      <c r="J28" s="96"/>
      <c r="K28" s="33"/>
      <c r="L28" s="168" t="s">
        <v>80</v>
      </c>
      <c r="M28" s="169">
        <v>1</v>
      </c>
      <c r="N28" s="7"/>
      <c r="O28" s="7"/>
      <c r="P28" s="7"/>
      <c r="Q28" s="7"/>
      <c r="R28" s="13"/>
      <c r="S28" s="7"/>
      <c r="T28" s="7"/>
      <c r="U28" s="7"/>
      <c r="V28" s="7"/>
      <c r="W28" s="7"/>
      <c r="Y28" s="43"/>
      <c r="Z28" s="69">
        <v>4</v>
      </c>
      <c r="AA28" s="7"/>
      <c r="AB28" s="7"/>
      <c r="AC28" s="49"/>
      <c r="AD28" s="7"/>
      <c r="AE28" s="68"/>
      <c r="AF28" s="90"/>
      <c r="AG28" s="43"/>
      <c r="AH28" s="60">
        <v>11</v>
      </c>
      <c r="AI28" s="7"/>
      <c r="AJ28" s="54"/>
      <c r="AK28" s="54"/>
      <c r="AL28" s="7"/>
      <c r="AM28" s="133"/>
      <c r="AN28" s="726"/>
      <c r="AO28" s="726"/>
      <c r="AP28" s="726"/>
      <c r="AQ28" s="726"/>
      <c r="AR28" s="726"/>
    </row>
    <row r="29" customHeight="1" spans="1:44">
      <c r="A29" s="7"/>
      <c r="B29" s="49"/>
      <c r="C29" s="167"/>
      <c r="D29" s="51"/>
      <c r="E29" s="7"/>
      <c r="F29" s="73"/>
      <c r="G29" s="7"/>
      <c r="H29" s="68"/>
      <c r="I29" s="96"/>
      <c r="J29" s="96"/>
      <c r="K29" s="33"/>
      <c r="L29" s="43"/>
      <c r="M29" s="53">
        <v>2</v>
      </c>
      <c r="N29" s="7"/>
      <c r="O29" s="49"/>
      <c r="P29" s="7"/>
      <c r="Q29" s="68"/>
      <c r="R29" s="13"/>
      <c r="S29" s="7"/>
      <c r="T29" s="96"/>
      <c r="U29" s="7"/>
      <c r="V29" s="7"/>
      <c r="W29" s="7"/>
      <c r="Y29" s="43"/>
      <c r="Z29" s="69">
        <v>5</v>
      </c>
      <c r="AA29" s="7"/>
      <c r="AB29" s="7"/>
      <c r="AC29" s="49"/>
      <c r="AD29" s="7"/>
      <c r="AE29" s="68"/>
      <c r="AF29" s="29"/>
      <c r="AG29" s="43"/>
      <c r="AH29" s="60">
        <v>12</v>
      </c>
      <c r="AI29" s="7"/>
      <c r="AJ29" s="7"/>
      <c r="AK29" s="54"/>
      <c r="AL29" s="7"/>
      <c r="AM29" s="170"/>
      <c r="AN29" s="72"/>
      <c r="AO29" s="72"/>
      <c r="AP29" s="72"/>
      <c r="AQ29" s="72"/>
      <c r="AR29" s="72"/>
    </row>
    <row r="30" customHeight="1" spans="1:44">
      <c r="A30" s="7"/>
      <c r="B30" s="49"/>
      <c r="C30" s="167"/>
      <c r="D30" s="51"/>
      <c r="E30" s="7"/>
      <c r="F30" s="73"/>
      <c r="G30" s="7"/>
      <c r="H30" s="68"/>
      <c r="I30" s="96"/>
      <c r="J30" s="96"/>
      <c r="K30" s="33"/>
      <c r="L30" s="79"/>
      <c r="M30" s="53">
        <v>3</v>
      </c>
      <c r="N30" s="7"/>
      <c r="O30" s="49"/>
      <c r="P30" s="7"/>
      <c r="Q30" s="68"/>
      <c r="R30" s="13"/>
      <c r="S30" s="171" t="s">
        <v>45</v>
      </c>
      <c r="T30" s="172">
        <f>SUM(T24:T29)</f>
        <v>0</v>
      </c>
      <c r="U30" s="173">
        <f>SUM(U24:U25)</f>
        <v>0</v>
      </c>
      <c r="V30" s="174"/>
      <c r="W30" s="7"/>
      <c r="Y30" s="43"/>
      <c r="Z30" s="69">
        <v>6</v>
      </c>
      <c r="AA30" s="7"/>
      <c r="AB30" s="12"/>
      <c r="AC30" s="49"/>
      <c r="AD30" s="7"/>
      <c r="AE30" s="68"/>
      <c r="AF30" s="29"/>
      <c r="AG30" s="43"/>
      <c r="AH30" s="60">
        <v>13</v>
      </c>
      <c r="AI30" s="7"/>
      <c r="AJ30" s="7"/>
      <c r="AK30" s="54"/>
      <c r="AL30" s="7"/>
      <c r="AM30" s="170"/>
      <c r="AN30" s="72"/>
      <c r="AO30" s="72"/>
      <c r="AP30" s="72"/>
      <c r="AQ30" s="72"/>
      <c r="AR30" s="72"/>
    </row>
    <row r="31" customHeight="1" spans="1:44">
      <c r="A31" s="12"/>
      <c r="B31" s="73"/>
      <c r="C31" s="167"/>
      <c r="D31" s="51"/>
      <c r="E31" s="7"/>
      <c r="F31" s="73"/>
      <c r="G31" s="7"/>
      <c r="H31" s="68"/>
      <c r="I31" s="96"/>
      <c r="J31" s="96"/>
      <c r="K31" s="33"/>
      <c r="L31" s="152" t="s">
        <v>81</v>
      </c>
      <c r="M31" s="53">
        <v>1</v>
      </c>
      <c r="N31" s="64"/>
      <c r="O31" s="61"/>
      <c r="P31" s="7"/>
      <c r="Q31" s="115"/>
      <c r="R31" s="13"/>
      <c r="S31" s="143" t="s">
        <v>82</v>
      </c>
      <c r="T31" s="175">
        <f>SUM(Q4:Q100)+SUM(AE4:AE18)</f>
        <v>4674.45</v>
      </c>
      <c r="U31" s="34"/>
      <c r="V31" s="38"/>
      <c r="W31" s="7"/>
      <c r="Y31" s="43"/>
      <c r="Z31" s="69">
        <v>7</v>
      </c>
      <c r="AA31" s="7"/>
      <c r="AB31" s="12"/>
      <c r="AC31" s="49"/>
      <c r="AD31" s="7"/>
      <c r="AE31" s="68"/>
      <c r="AF31" s="41"/>
      <c r="AG31" s="43"/>
      <c r="AH31" s="60">
        <v>14</v>
      </c>
      <c r="AI31" s="176"/>
      <c r="AK31" s="54"/>
      <c r="AL31" s="7"/>
      <c r="AM31" s="55"/>
      <c r="AN31" s="77"/>
      <c r="AO31" s="77"/>
      <c r="AP31" s="77"/>
      <c r="AQ31" s="77"/>
      <c r="AR31" s="77"/>
    </row>
    <row r="32" customHeight="1" spans="1:44">
      <c r="A32" s="7"/>
      <c r="B32" s="7"/>
      <c r="C32" s="167"/>
      <c r="D32" s="51"/>
      <c r="E32" s="7"/>
      <c r="F32" s="73"/>
      <c r="G32" s="7"/>
      <c r="H32" s="68"/>
      <c r="I32" s="96"/>
      <c r="J32" s="96"/>
      <c r="K32" s="33"/>
      <c r="L32" s="43"/>
      <c r="M32" s="53">
        <v>2</v>
      </c>
      <c r="N32" s="7"/>
      <c r="O32" s="54"/>
      <c r="P32" s="7"/>
      <c r="Q32" s="55"/>
      <c r="R32" s="13"/>
      <c r="S32" s="34"/>
      <c r="T32" s="34"/>
      <c r="U32" s="34"/>
      <c r="V32" s="38"/>
      <c r="W32" s="7"/>
      <c r="Y32" s="43"/>
      <c r="Z32" s="60">
        <v>8</v>
      </c>
      <c r="AA32" s="7"/>
      <c r="AB32" s="7"/>
      <c r="AC32" s="49"/>
      <c r="AD32" s="7"/>
      <c r="AE32" s="68"/>
      <c r="AF32" s="41"/>
      <c r="AG32" s="43"/>
      <c r="AH32" s="60">
        <v>15</v>
      </c>
      <c r="AI32" s="7"/>
      <c r="AJ32" s="7"/>
      <c r="AK32" s="54"/>
      <c r="AL32" s="7"/>
      <c r="AM32" s="60"/>
      <c r="AN32" s="60"/>
      <c r="AO32" s="60"/>
      <c r="AP32" s="60"/>
      <c r="AQ32" s="60"/>
      <c r="AR32" s="60"/>
    </row>
    <row r="33" customHeight="1" spans="1:44">
      <c r="A33" s="7"/>
      <c r="B33" s="49"/>
      <c r="C33" s="167"/>
      <c r="D33" s="51"/>
      <c r="E33" s="7"/>
      <c r="F33" s="73"/>
      <c r="G33" s="7"/>
      <c r="H33" s="68"/>
      <c r="I33" s="96"/>
      <c r="J33" s="96"/>
      <c r="K33" s="33"/>
      <c r="L33" s="43"/>
      <c r="M33" s="53">
        <v>1</v>
      </c>
      <c r="N33" s="7"/>
      <c r="O33" s="49"/>
      <c r="P33" s="7"/>
      <c r="Q33" s="68"/>
      <c r="R33" s="13"/>
      <c r="S33" s="31" t="s">
        <v>83</v>
      </c>
      <c r="T33" s="177">
        <f>T30-T31</f>
        <v>-4674.45</v>
      </c>
      <c r="U33" s="34"/>
      <c r="V33" s="38"/>
      <c r="W33" s="7"/>
      <c r="Y33" s="79"/>
      <c r="Z33" s="178">
        <v>9</v>
      </c>
      <c r="AA33" s="1"/>
      <c r="AB33" s="1"/>
      <c r="AC33" s="7"/>
      <c r="AD33" s="1"/>
      <c r="AE33" s="179"/>
      <c r="AF33" s="41"/>
      <c r="AG33" s="43"/>
      <c r="AH33" s="60">
        <v>16</v>
      </c>
      <c r="AI33" s="64"/>
      <c r="AJ33" s="65"/>
      <c r="AK33" s="61"/>
      <c r="AL33" s="64"/>
      <c r="AM33" s="115"/>
      <c r="AN33" s="77"/>
      <c r="AO33" s="77"/>
      <c r="AP33" s="77"/>
      <c r="AQ33" s="77"/>
      <c r="AR33" s="77"/>
    </row>
    <row r="34" customHeight="1" spans="1:44">
      <c r="A34" s="12"/>
      <c r="B34" s="73"/>
      <c r="C34" s="167"/>
      <c r="D34" s="51"/>
      <c r="E34" s="7"/>
      <c r="F34" s="73"/>
      <c r="G34" s="7"/>
      <c r="H34" s="68"/>
      <c r="I34" s="96"/>
      <c r="J34" s="96"/>
      <c r="K34" s="33"/>
      <c r="L34" s="43"/>
      <c r="M34" s="53">
        <v>2</v>
      </c>
      <c r="N34" s="7"/>
      <c r="O34" s="49"/>
      <c r="P34" s="7"/>
      <c r="Q34" s="91"/>
      <c r="R34" s="13"/>
      <c r="S34" s="7"/>
      <c r="T34" s="7"/>
      <c r="U34" s="7"/>
      <c r="V34" s="7"/>
      <c r="W34" s="7"/>
      <c r="Y34" s="153" t="s">
        <v>84</v>
      </c>
      <c r="Z34" s="69">
        <v>1</v>
      </c>
      <c r="AA34" s="7"/>
      <c r="AB34" s="7"/>
      <c r="AC34" s="180"/>
      <c r="AD34" s="7"/>
      <c r="AE34" s="68"/>
      <c r="AF34" s="41"/>
      <c r="AG34" s="43"/>
      <c r="AH34" s="181">
        <v>1</v>
      </c>
      <c r="AI34" s="7"/>
      <c r="AK34" s="54"/>
      <c r="AL34" s="7"/>
      <c r="AM34" s="77"/>
      <c r="AN34" s="77"/>
      <c r="AO34" s="77"/>
      <c r="AP34" s="77"/>
      <c r="AQ34" s="77"/>
      <c r="AR34" s="77"/>
    </row>
    <row r="35" customHeight="1" spans="1:44">
      <c r="A35" s="12"/>
      <c r="B35" s="73"/>
      <c r="C35" s="167"/>
      <c r="D35" s="51"/>
      <c r="E35" s="7"/>
      <c r="F35" s="73"/>
      <c r="G35" s="7"/>
      <c r="H35" s="68"/>
      <c r="I35" s="96"/>
      <c r="J35" s="96"/>
      <c r="K35" s="33"/>
      <c r="L35" s="43"/>
      <c r="M35" s="53">
        <v>3</v>
      </c>
      <c r="N35" s="7"/>
      <c r="O35" s="49"/>
      <c r="P35" s="7"/>
      <c r="Q35" s="68"/>
      <c r="R35" s="13"/>
      <c r="S35" s="7"/>
      <c r="T35" s="7"/>
      <c r="U35" s="7"/>
      <c r="V35" s="7"/>
      <c r="W35" s="7"/>
      <c r="Y35" s="43"/>
      <c r="Z35" s="69">
        <v>2</v>
      </c>
      <c r="AA35" s="7"/>
      <c r="AB35" s="7"/>
      <c r="AC35" s="49"/>
      <c r="AD35" s="7"/>
      <c r="AE35" s="68"/>
      <c r="AF35" s="41"/>
      <c r="AG35" s="43"/>
      <c r="AH35" s="60">
        <v>2</v>
      </c>
      <c r="AI35" s="7"/>
      <c r="AJ35" s="7"/>
      <c r="AK35" s="54"/>
      <c r="AL35" s="7"/>
      <c r="AM35" s="55"/>
      <c r="AN35" s="77"/>
      <c r="AO35" s="77"/>
      <c r="AP35" s="77"/>
      <c r="AQ35" s="77"/>
      <c r="AR35" s="77"/>
    </row>
    <row r="36" customHeight="1" spans="1:44">
      <c r="A36" s="12"/>
      <c r="B36" s="73"/>
      <c r="C36" s="167"/>
      <c r="D36" s="51"/>
      <c r="E36" s="7"/>
      <c r="F36" s="73"/>
      <c r="G36" s="7"/>
      <c r="H36" s="68"/>
      <c r="I36" s="96"/>
      <c r="J36" s="96"/>
      <c r="K36" s="33"/>
      <c r="L36" s="43"/>
      <c r="M36" s="53">
        <v>4</v>
      </c>
      <c r="N36" s="7"/>
      <c r="O36" s="49"/>
      <c r="P36" s="7"/>
      <c r="Q36" s="68"/>
      <c r="R36" s="13"/>
      <c r="S36" s="182"/>
      <c r="T36" s="40" t="s">
        <v>85</v>
      </c>
      <c r="U36" s="40" t="s">
        <v>86</v>
      </c>
      <c r="V36" s="39" t="s">
        <v>87</v>
      </c>
      <c r="W36" s="7" t="s">
        <v>88</v>
      </c>
      <c r="Y36" s="43"/>
      <c r="Z36" s="69">
        <v>3</v>
      </c>
      <c r="AA36" s="7"/>
      <c r="AB36" s="7"/>
      <c r="AC36" s="7"/>
      <c r="AD36" s="7"/>
      <c r="AE36" s="7"/>
      <c r="AF36" s="41"/>
      <c r="AG36" s="43"/>
      <c r="AH36" s="60">
        <v>3</v>
      </c>
      <c r="AI36" s="7"/>
      <c r="AJ36" s="7"/>
      <c r="AK36" s="54"/>
      <c r="AL36" s="7"/>
      <c r="AM36" s="55"/>
      <c r="AN36" s="77"/>
      <c r="AO36" s="77"/>
      <c r="AP36" s="77"/>
      <c r="AQ36" s="77"/>
      <c r="AR36" s="77"/>
    </row>
    <row r="37" customHeight="1" spans="1:44">
      <c r="A37" s="12"/>
      <c r="B37" s="73"/>
      <c r="C37" s="167"/>
      <c r="D37" s="51"/>
      <c r="E37" s="1"/>
      <c r="F37" s="183"/>
      <c r="G37" s="7"/>
      <c r="H37" s="58"/>
      <c r="I37" s="96"/>
      <c r="J37" s="96"/>
      <c r="K37" s="33"/>
      <c r="L37" s="43"/>
      <c r="M37" s="53">
        <v>5</v>
      </c>
      <c r="N37" s="7"/>
      <c r="O37" s="49"/>
      <c r="P37" s="7"/>
      <c r="Q37" s="68"/>
      <c r="R37" s="13"/>
      <c r="S37" s="39" t="s">
        <v>89</v>
      </c>
      <c r="T37" s="184"/>
      <c r="U37" s="74"/>
      <c r="V37" s="68"/>
      <c r="W37" s="60">
        <v>2.75</v>
      </c>
      <c r="Y37" s="43"/>
      <c r="Z37" s="69">
        <v>4</v>
      </c>
      <c r="AA37" s="7"/>
      <c r="AB37" s="7"/>
      <c r="AC37" s="49"/>
      <c r="AD37" s="7"/>
      <c r="AE37" s="68"/>
      <c r="AF37" s="41"/>
      <c r="AG37" s="43"/>
      <c r="AH37" s="60">
        <v>4</v>
      </c>
      <c r="AI37" s="7"/>
      <c r="AJ37" s="7"/>
      <c r="AK37" s="54"/>
      <c r="AL37" s="7"/>
      <c r="AM37" s="55"/>
      <c r="AN37" s="77"/>
      <c r="AO37" s="77"/>
      <c r="AP37" s="77"/>
      <c r="AQ37" s="77"/>
      <c r="AR37" s="77"/>
    </row>
    <row r="38" customHeight="1" spans="1:44">
      <c r="A38" s="7"/>
      <c r="B38" s="49"/>
      <c r="C38" s="167"/>
      <c r="D38" s="167"/>
      <c r="E38" s="7"/>
      <c r="F38" s="56"/>
      <c r="G38" s="185" t="s">
        <v>56</v>
      </c>
      <c r="H38" s="128">
        <f>SUMIF(G21:G37,"Efectivo",H21:H37)</f>
        <v>0</v>
      </c>
      <c r="I38" s="96"/>
      <c r="J38" s="96"/>
      <c r="K38" s="33"/>
      <c r="L38" s="43"/>
      <c r="M38" s="53">
        <v>6</v>
      </c>
      <c r="N38" s="7"/>
      <c r="O38" s="49"/>
      <c r="P38" s="7"/>
      <c r="Q38" s="7"/>
      <c r="R38" s="13"/>
      <c r="S38" s="40" t="s">
        <v>8</v>
      </c>
      <c r="T38" s="186"/>
      <c r="U38" s="74"/>
      <c r="V38" s="101"/>
      <c r="W38" s="7"/>
      <c r="Y38" s="43"/>
      <c r="Z38" s="69">
        <v>5</v>
      </c>
      <c r="AA38" s="7"/>
      <c r="AB38" s="7"/>
      <c r="AC38" s="49"/>
      <c r="AD38" s="7"/>
      <c r="AE38" s="68"/>
      <c r="AF38" s="41"/>
      <c r="AG38" s="43"/>
      <c r="AH38" s="60">
        <v>5</v>
      </c>
      <c r="AI38" s="7"/>
      <c r="AJ38" s="7"/>
      <c r="AK38" s="54"/>
      <c r="AL38" s="7"/>
      <c r="AM38" s="55"/>
      <c r="AN38" s="77"/>
      <c r="AO38" s="77"/>
      <c r="AP38" s="77"/>
      <c r="AQ38" s="77"/>
      <c r="AR38" s="77"/>
    </row>
    <row r="39" customHeight="1" spans="1:44">
      <c r="A39" s="12"/>
      <c r="B39" s="73"/>
      <c r="C39" s="167"/>
      <c r="D39" s="167"/>
      <c r="E39" s="7"/>
      <c r="F39" s="56"/>
      <c r="G39" s="31" t="s">
        <v>90</v>
      </c>
      <c r="H39" s="128">
        <f>SUMIF(G21:G37,"Pichincha",H21:H37)</f>
        <v>0</v>
      </c>
      <c r="I39" s="96"/>
      <c r="J39" s="96"/>
      <c r="K39" s="33"/>
      <c r="L39" s="43"/>
      <c r="M39" s="53">
        <v>7</v>
      </c>
      <c r="N39" s="1"/>
      <c r="O39" s="187"/>
      <c r="P39" s="1"/>
      <c r="Q39" s="7"/>
      <c r="R39" s="13"/>
      <c r="S39" s="143" t="s">
        <v>91</v>
      </c>
      <c r="T39" s="188"/>
      <c r="U39" s="167"/>
      <c r="V39" s="68"/>
      <c r="W39" s="7"/>
      <c r="Y39" s="79"/>
      <c r="Z39" s="189">
        <v>6</v>
      </c>
      <c r="AA39" s="1"/>
      <c r="AB39" s="1"/>
      <c r="AC39" s="49"/>
      <c r="AD39" s="7"/>
      <c r="AE39" s="58"/>
      <c r="AF39" s="29"/>
      <c r="AG39" s="43"/>
      <c r="AH39" s="60">
        <v>6</v>
      </c>
      <c r="AI39" s="176"/>
      <c r="AK39" s="54"/>
      <c r="AL39" s="7"/>
      <c r="AM39" s="55"/>
      <c r="AN39" s="77"/>
      <c r="AO39" s="77"/>
      <c r="AP39" s="77"/>
      <c r="AQ39" s="77"/>
      <c r="AR39" s="77"/>
    </row>
    <row r="40" customHeight="1" spans="1:44">
      <c r="A40" s="12"/>
      <c r="B40" s="73"/>
      <c r="C40" s="167"/>
      <c r="D40" s="167"/>
      <c r="E40" s="7"/>
      <c r="F40" s="56"/>
      <c r="G40" s="31" t="s">
        <v>92</v>
      </c>
      <c r="H40" s="128">
        <f>SUMIF(G21:G37,"JEP",H21:H37)</f>
        <v>0</v>
      </c>
      <c r="I40" s="96"/>
      <c r="J40" s="96"/>
      <c r="K40" s="33"/>
      <c r="L40" s="190" t="s">
        <v>93</v>
      </c>
      <c r="M40" s="191">
        <v>1</v>
      </c>
      <c r="N40" s="7"/>
      <c r="O40" s="49"/>
      <c r="P40" s="7"/>
      <c r="Q40" s="91"/>
      <c r="R40" s="13"/>
      <c r="S40" s="40" t="s">
        <v>94</v>
      </c>
      <c r="T40" s="192"/>
      <c r="U40" s="77"/>
      <c r="V40" s="68"/>
      <c r="W40" s="7"/>
      <c r="Y40" s="7"/>
      <c r="Z40" s="7"/>
      <c r="AA40" s="7"/>
      <c r="AB40" s="56"/>
      <c r="AC40" s="193"/>
      <c r="AD40" s="127" t="s">
        <v>95</v>
      </c>
      <c r="AE40" s="128">
        <f>SUMIF($AD$25:$AD$33,"Efectivo",$AE$25:$AE$33)</f>
        <v>0</v>
      </c>
      <c r="AF40" s="29"/>
      <c r="AG40" s="43"/>
      <c r="AH40" s="60">
        <v>1</v>
      </c>
      <c r="AI40" s="7"/>
      <c r="AJ40" s="7"/>
      <c r="AK40" s="54"/>
      <c r="AL40" s="7"/>
      <c r="AM40" s="55"/>
      <c r="AN40" s="77"/>
      <c r="AO40" s="77"/>
      <c r="AP40" s="77"/>
      <c r="AQ40" s="77"/>
      <c r="AR40" s="77"/>
    </row>
    <row r="41" customHeight="1" spans="1:44">
      <c r="A41" s="12"/>
      <c r="B41" s="73"/>
      <c r="C41" s="167"/>
      <c r="D41" s="167"/>
      <c r="E41" s="7"/>
      <c r="F41" s="7"/>
      <c r="G41" s="194" t="s">
        <v>96</v>
      </c>
      <c r="H41" s="195">
        <f t="shared" ref="H41:H43" si="2">D19+H38+J19</f>
        <v>254.85</v>
      </c>
      <c r="I41" s="7"/>
      <c r="J41" s="51"/>
      <c r="K41" s="33"/>
      <c r="L41" s="43"/>
      <c r="M41" s="196">
        <v>2</v>
      </c>
      <c r="N41" s="7"/>
      <c r="O41" s="49"/>
      <c r="P41" s="7"/>
      <c r="Q41" s="91"/>
      <c r="R41" s="13"/>
      <c r="S41" s="40" t="s">
        <v>97</v>
      </c>
      <c r="T41" s="188"/>
      <c r="U41" s="96"/>
      <c r="V41" s="68"/>
      <c r="W41" s="7"/>
      <c r="Y41" s="7"/>
      <c r="Z41" s="7"/>
      <c r="AA41" s="7"/>
      <c r="AB41" s="56"/>
      <c r="AC41" s="193"/>
      <c r="AD41" s="127" t="s">
        <v>98</v>
      </c>
      <c r="AE41" s="128">
        <f>SUMIF($AD$25:$AD$33,"Pichincha",$AE$25:$AE$33)</f>
        <v>0</v>
      </c>
      <c r="AF41" s="41"/>
      <c r="AG41" s="43"/>
      <c r="AH41" s="60">
        <v>2</v>
      </c>
      <c r="AI41" s="7"/>
      <c r="AJ41" s="7"/>
      <c r="AK41" s="54"/>
      <c r="AL41" s="7"/>
      <c r="AM41" s="55"/>
      <c r="AN41" s="77"/>
      <c r="AO41" s="77"/>
      <c r="AP41" s="77"/>
      <c r="AQ41" s="77"/>
      <c r="AR41" s="77"/>
    </row>
    <row r="42" customHeight="1" spans="1:44">
      <c r="A42" s="12"/>
      <c r="B42" s="73"/>
      <c r="C42" s="167"/>
      <c r="D42" s="167"/>
      <c r="E42" s="7"/>
      <c r="F42" s="56"/>
      <c r="G42" s="194" t="s">
        <v>99</v>
      </c>
      <c r="H42" s="195">
        <f t="shared" si="2"/>
        <v>304.47</v>
      </c>
      <c r="I42" s="50"/>
      <c r="J42" s="51"/>
      <c r="K42" s="33"/>
      <c r="L42" s="43"/>
      <c r="M42" s="196">
        <v>3</v>
      </c>
      <c r="N42" s="7"/>
      <c r="O42" s="49"/>
      <c r="P42" s="7"/>
      <c r="Q42" s="91"/>
      <c r="R42" s="13"/>
      <c r="S42" s="40" t="s">
        <v>100</v>
      </c>
      <c r="T42" s="197"/>
      <c r="U42" s="198"/>
      <c r="V42" s="115"/>
      <c r="W42" s="7"/>
      <c r="Y42" s="7"/>
      <c r="Z42" s="7"/>
      <c r="AA42" s="7"/>
      <c r="AB42" s="56"/>
      <c r="AC42" s="193"/>
      <c r="AD42" s="127" t="s">
        <v>101</v>
      </c>
      <c r="AE42" s="128">
        <f>SUMIF($AD$25:$AD$33,"JEP",$AE$25:$AE$33)</f>
        <v>0</v>
      </c>
      <c r="AF42" s="41"/>
      <c r="AG42" s="43"/>
      <c r="AH42" s="60">
        <v>3</v>
      </c>
      <c r="AI42" s="7"/>
      <c r="AJ42" s="7"/>
      <c r="AK42" s="54"/>
      <c r="AL42" s="7"/>
      <c r="AM42" s="55"/>
      <c r="AN42" s="77"/>
      <c r="AO42" s="77"/>
      <c r="AP42" s="77"/>
      <c r="AQ42" s="77"/>
      <c r="AR42" s="77"/>
    </row>
    <row r="43" customHeight="1" spans="1:44">
      <c r="A43" s="12"/>
      <c r="B43" s="73"/>
      <c r="C43" s="167"/>
      <c r="D43" s="167"/>
      <c r="E43" s="7"/>
      <c r="F43" s="56"/>
      <c r="G43" s="194" t="s">
        <v>102</v>
      </c>
      <c r="H43" s="195">
        <f t="shared" si="2"/>
        <v>153.14</v>
      </c>
      <c r="I43" s="50"/>
      <c r="J43" s="51"/>
      <c r="K43" s="33"/>
      <c r="L43" s="43"/>
      <c r="M43" s="196">
        <v>4</v>
      </c>
      <c r="N43" s="7"/>
      <c r="O43" s="49"/>
      <c r="P43" s="7"/>
      <c r="Q43" s="68"/>
      <c r="R43" s="13"/>
      <c r="S43" s="40" t="s">
        <v>97</v>
      </c>
      <c r="T43" s="188"/>
      <c r="U43" s="96"/>
      <c r="V43" s="68"/>
      <c r="W43" s="7"/>
      <c r="Y43" s="7"/>
      <c r="Z43" s="7"/>
      <c r="AA43" s="7"/>
      <c r="AB43" s="56"/>
      <c r="AC43" s="199"/>
      <c r="AD43" s="130" t="s">
        <v>103</v>
      </c>
      <c r="AE43" s="128">
        <f>SUMIF($AD$34:$AD$39,"Efectivo",$AE$34:$AE$39)</f>
        <v>0</v>
      </c>
      <c r="AF43" s="41"/>
      <c r="AG43" s="43"/>
      <c r="AH43" s="60">
        <v>4</v>
      </c>
      <c r="AI43" s="7"/>
      <c r="AJ43" s="7"/>
      <c r="AK43" s="54"/>
      <c r="AL43" s="7"/>
      <c r="AM43" s="55"/>
      <c r="AN43" s="77"/>
      <c r="AO43" s="77"/>
      <c r="AP43" s="77"/>
      <c r="AQ43" s="77"/>
      <c r="AR43" s="77"/>
    </row>
    <row r="44" customHeight="1" spans="1:44">
      <c r="A44" s="12"/>
      <c r="B44" s="73"/>
      <c r="C44" s="167"/>
      <c r="D44" s="167"/>
      <c r="E44" s="12"/>
      <c r="F44" s="73"/>
      <c r="G44" s="7"/>
      <c r="H44" s="73"/>
      <c r="I44" s="50"/>
      <c r="J44" s="51"/>
      <c r="K44" s="33"/>
      <c r="L44" s="43"/>
      <c r="M44" s="200">
        <v>5</v>
      </c>
      <c r="N44" s="7"/>
      <c r="O44" s="49"/>
      <c r="P44" s="7"/>
      <c r="Q44" s="7"/>
      <c r="R44" s="13"/>
      <c r="S44" s="40" t="s">
        <v>104</v>
      </c>
      <c r="T44" s="81"/>
      <c r="U44" s="96"/>
      <c r="V44" s="56"/>
      <c r="W44" s="7"/>
      <c r="Y44" s="7"/>
      <c r="Z44" s="7"/>
      <c r="AA44" s="7"/>
      <c r="AB44" s="56"/>
      <c r="AC44" s="199"/>
      <c r="AD44" s="130" t="s">
        <v>105</v>
      </c>
      <c r="AE44" s="128">
        <f>SUMIF($AD$34:$AD$39,"Pichincha",$AE$34:$AE$39)</f>
        <v>0</v>
      </c>
      <c r="AF44" s="41"/>
      <c r="AG44" s="43"/>
      <c r="AH44" s="60">
        <v>1</v>
      </c>
      <c r="AI44" s="7"/>
      <c r="AJ44" s="7"/>
      <c r="AK44" s="54"/>
      <c r="AL44" s="7"/>
      <c r="AM44" s="55"/>
      <c r="AN44" s="77"/>
      <c r="AO44" s="77"/>
      <c r="AP44" s="77"/>
      <c r="AQ44" s="77"/>
      <c r="AR44" s="77"/>
    </row>
    <row r="45" customHeight="1" spans="1:44">
      <c r="A45" s="12"/>
      <c r="B45" s="73"/>
      <c r="C45" s="167"/>
      <c r="D45" s="167"/>
      <c r="E45" s="12"/>
      <c r="F45" s="73"/>
      <c r="G45" s="7"/>
      <c r="H45" s="73"/>
      <c r="I45" s="50"/>
      <c r="J45" s="51"/>
      <c r="K45" s="33"/>
      <c r="L45" s="43"/>
      <c r="M45" s="53">
        <v>6</v>
      </c>
      <c r="N45" s="7"/>
      <c r="O45" s="49"/>
      <c r="P45" s="7"/>
      <c r="Q45" s="68"/>
      <c r="R45" s="13"/>
      <c r="S45" s="40" t="s">
        <v>106</v>
      </c>
      <c r="T45" s="188"/>
      <c r="U45" s="96"/>
      <c r="V45" s="56"/>
      <c r="W45" s="7"/>
      <c r="Y45" s="1"/>
      <c r="Z45" s="1"/>
      <c r="AA45" s="1"/>
      <c r="AB45" s="34"/>
      <c r="AC45" s="201"/>
      <c r="AD45" s="130" t="s">
        <v>107</v>
      </c>
      <c r="AE45" s="128">
        <f>SUMIF($AD$34:$AD$39,"JEP",$AE$34:$AE$39)</f>
        <v>0</v>
      </c>
      <c r="AF45" s="41"/>
      <c r="AG45" s="43"/>
      <c r="AH45" s="60">
        <v>2</v>
      </c>
      <c r="AI45" s="7"/>
      <c r="AJ45" s="7"/>
      <c r="AK45" s="54"/>
      <c r="AL45" s="7"/>
      <c r="AM45" s="55"/>
      <c r="AN45" s="77"/>
      <c r="AO45" s="77"/>
      <c r="AP45" s="77"/>
      <c r="AQ45" s="77"/>
      <c r="AR45" s="77"/>
    </row>
    <row r="46" customHeight="1" spans="1:44">
      <c r="A46" s="12"/>
      <c r="B46" s="73"/>
      <c r="C46" s="167"/>
      <c r="D46" s="167"/>
      <c r="E46" s="12"/>
      <c r="F46" s="73"/>
      <c r="G46" s="7"/>
      <c r="H46" s="73"/>
      <c r="I46" s="50"/>
      <c r="J46" s="51"/>
      <c r="K46" s="33"/>
      <c r="L46" s="43"/>
      <c r="M46" s="63">
        <v>7</v>
      </c>
      <c r="N46" s="7"/>
      <c r="O46" s="49"/>
      <c r="P46" s="7"/>
      <c r="Q46" s="68"/>
      <c r="R46" s="13"/>
      <c r="S46" s="40" t="s">
        <v>8</v>
      </c>
      <c r="T46" s="202"/>
      <c r="U46" s="1"/>
      <c r="V46" s="203"/>
      <c r="W46" s="7"/>
      <c r="Y46" s="96"/>
      <c r="Z46" s="68"/>
      <c r="AA46" s="204" t="s">
        <v>45</v>
      </c>
      <c r="AB46" s="205">
        <f>SUM(AE46:AE47)</f>
        <v>27.16</v>
      </c>
      <c r="AC46" s="206"/>
      <c r="AD46" s="194" t="s">
        <v>56</v>
      </c>
      <c r="AE46" s="128">
        <f>SUMIF(PLATAFORMA!AX2:AX60,AD46,PLATAFORMA!AW2:AW60)+SUMIF(BAÑOS!BS2:BS270,AD46,BAÑOS!BR2:BR270)+SUMIF(SAYAUSI!BS2:BS175,AD46,SAYAUSI!BR2:BR175)-AE19-AE40+AE43</f>
        <v>6</v>
      </c>
      <c r="AF46" s="41"/>
      <c r="AG46" s="43"/>
      <c r="AH46" s="60">
        <v>3</v>
      </c>
      <c r="AI46" s="7"/>
      <c r="AJ46" s="7"/>
      <c r="AK46" s="54"/>
      <c r="AL46" s="7"/>
      <c r="AM46" s="55"/>
      <c r="AN46" s="77"/>
      <c r="AO46" s="77"/>
      <c r="AP46" s="77"/>
      <c r="AQ46" s="77"/>
      <c r="AR46" s="77"/>
    </row>
    <row r="47" customHeight="1" spans="1:44">
      <c r="A47" s="12"/>
      <c r="B47" s="73"/>
      <c r="C47" s="167"/>
      <c r="D47" s="167"/>
      <c r="E47" s="12"/>
      <c r="F47" s="73"/>
      <c r="G47" s="7"/>
      <c r="H47" s="73"/>
      <c r="I47" s="50"/>
      <c r="J47" s="51"/>
      <c r="K47" s="33"/>
      <c r="L47" s="43"/>
      <c r="M47" s="63">
        <v>8</v>
      </c>
      <c r="N47" s="7"/>
      <c r="O47" s="7"/>
      <c r="P47" s="7"/>
      <c r="Q47" s="7"/>
      <c r="R47" s="13"/>
      <c r="S47" s="7"/>
      <c r="T47" s="207">
        <f t="shared" ref="T47:V47" si="3">SUM(T37:T46)</f>
        <v>0</v>
      </c>
      <c r="U47" s="208">
        <f t="shared" si="3"/>
        <v>0</v>
      </c>
      <c r="V47" s="209">
        <f t="shared" si="3"/>
        <v>0</v>
      </c>
      <c r="W47" s="7"/>
      <c r="Y47" s="96"/>
      <c r="Z47" s="68"/>
      <c r="AA47" s="43"/>
      <c r="AB47" s="67"/>
      <c r="AC47" s="206"/>
      <c r="AD47" s="194" t="s">
        <v>23</v>
      </c>
      <c r="AE47" s="128">
        <f>SUMIF(PLATAFORMA!AX2:AX60,AD47,PLATAFORMA!AW2:AW60)+SUMIF(BAÑOS!BS2:BS270,AD47,BAÑOS!BR2:BR270)+SUMIF(SAYAUSI!BS2:BS175,AD47,SAYAUSI!BR2:BR175)-AE20-AE41+AE44</f>
        <v>21.16</v>
      </c>
      <c r="AF47" s="41"/>
      <c r="AG47" s="43"/>
      <c r="AH47" s="60">
        <v>1</v>
      </c>
      <c r="AI47" s="7"/>
      <c r="AJ47" s="7"/>
      <c r="AK47" s="54"/>
      <c r="AL47" s="7"/>
      <c r="AM47" s="55"/>
      <c r="AN47" s="77"/>
      <c r="AO47" s="77"/>
      <c r="AP47" s="77"/>
      <c r="AQ47" s="77"/>
      <c r="AR47" s="77"/>
    </row>
    <row r="48" customHeight="1" spans="1:44">
      <c r="A48" s="12"/>
      <c r="B48" s="73"/>
      <c r="C48" s="167"/>
      <c r="D48" s="167"/>
      <c r="E48" s="12"/>
      <c r="F48" s="73"/>
      <c r="G48" s="7"/>
      <c r="H48" s="73"/>
      <c r="I48" s="50"/>
      <c r="J48" s="51"/>
      <c r="K48" s="33"/>
      <c r="L48" s="43"/>
      <c r="M48" s="53">
        <v>9</v>
      </c>
      <c r="N48" s="7"/>
      <c r="O48" s="7"/>
      <c r="P48" s="7"/>
      <c r="Q48" s="7"/>
      <c r="R48" s="13"/>
      <c r="S48" s="7"/>
      <c r="T48" s="7"/>
      <c r="U48" s="7"/>
      <c r="V48" s="7"/>
      <c r="W48" s="7"/>
      <c r="Y48" s="7"/>
      <c r="Z48" s="56"/>
      <c r="AA48" s="79"/>
      <c r="AB48" s="138"/>
      <c r="AC48" s="206"/>
      <c r="AD48" s="210" t="s">
        <v>35</v>
      </c>
      <c r="AE48" s="128">
        <f>SUMIF(PLATAFORMA!AX2:AX60,AD48,PLATAFORMA!AW2:AW60)+SUMIF(BAÑOS!BS2:BS270,AD48,BAÑOS!BR2:BR270)+SUMIF(SAYAUSI!BS2:BS175,AD48,SAYAUSI!BR2:BR175)-AE21-AE42+AE45</f>
        <v>12</v>
      </c>
      <c r="AF48" s="41"/>
      <c r="AG48" s="43"/>
      <c r="AH48" s="60">
        <v>2</v>
      </c>
      <c r="AI48" s="7"/>
      <c r="AJ48" s="7"/>
      <c r="AK48" s="54"/>
      <c r="AL48" s="7"/>
      <c r="AM48" s="55"/>
      <c r="AN48" s="77"/>
      <c r="AO48" s="77"/>
      <c r="AP48" s="77"/>
      <c r="AQ48" s="77"/>
      <c r="AR48" s="77"/>
    </row>
    <row r="49" customHeight="1" spans="1:44">
      <c r="A49" s="12"/>
      <c r="B49" s="73"/>
      <c r="C49" s="167"/>
      <c r="D49" s="167"/>
      <c r="E49" s="12"/>
      <c r="F49" s="73"/>
      <c r="G49" s="7"/>
      <c r="H49" s="73"/>
      <c r="I49" s="50"/>
      <c r="J49" s="51"/>
      <c r="K49" s="33"/>
      <c r="L49" s="43"/>
      <c r="M49" s="211">
        <v>10</v>
      </c>
      <c r="N49" s="7"/>
      <c r="O49" s="7"/>
      <c r="P49" s="7"/>
      <c r="Q49" s="7"/>
      <c r="R49" s="13"/>
      <c r="S49" s="7"/>
      <c r="T49" s="7"/>
      <c r="U49" s="7"/>
      <c r="V49" s="7"/>
      <c r="W49" s="7"/>
      <c r="Y49" s="7"/>
      <c r="Z49" s="7"/>
      <c r="AA49" s="7"/>
      <c r="AB49" s="7"/>
      <c r="AC49" s="7"/>
      <c r="AD49" s="7"/>
      <c r="AE49" s="56"/>
      <c r="AF49" s="41"/>
      <c r="AG49" s="43"/>
      <c r="AH49" s="60">
        <v>3</v>
      </c>
      <c r="AI49" s="7"/>
      <c r="AJ49" s="7"/>
      <c r="AK49" s="54"/>
      <c r="AL49" s="7"/>
      <c r="AM49" s="55"/>
      <c r="AN49" s="77"/>
      <c r="AO49" s="77"/>
      <c r="AP49" s="77"/>
      <c r="AQ49" s="77"/>
      <c r="AR49" s="77"/>
    </row>
    <row r="50" customHeight="1" spans="1:44">
      <c r="A50" s="12"/>
      <c r="B50" s="73"/>
      <c r="C50" s="167"/>
      <c r="D50" s="167"/>
      <c r="E50" s="12"/>
      <c r="F50" s="73"/>
      <c r="G50" s="7"/>
      <c r="H50" s="73"/>
      <c r="I50" s="50"/>
      <c r="J50" s="51"/>
      <c r="K50" s="33"/>
      <c r="L50" s="43"/>
      <c r="M50" s="53">
        <v>11</v>
      </c>
      <c r="N50" s="7"/>
      <c r="O50" s="7"/>
      <c r="P50" s="7"/>
      <c r="Q50" s="7"/>
      <c r="R50" s="13"/>
      <c r="S50" s="7"/>
      <c r="T50" s="7"/>
      <c r="U50" s="7"/>
      <c r="V50" s="7"/>
      <c r="W50" s="7"/>
      <c r="Y50" s="7"/>
      <c r="Z50" s="7"/>
      <c r="AA50" s="7"/>
      <c r="AB50" s="7"/>
      <c r="AC50" s="7"/>
      <c r="AD50" s="7"/>
      <c r="AE50" s="7"/>
      <c r="AF50" s="41"/>
      <c r="AG50" s="43"/>
      <c r="AH50" s="60">
        <v>4</v>
      </c>
      <c r="AI50" s="7"/>
      <c r="AJ50" s="7"/>
      <c r="AK50" s="54"/>
      <c r="AL50" s="7"/>
      <c r="AM50" s="55"/>
      <c r="AN50" s="77"/>
      <c r="AO50" s="77"/>
      <c r="AP50" s="77"/>
      <c r="AQ50" s="77"/>
      <c r="AR50" s="77"/>
    </row>
    <row r="51" customHeight="1" spans="1:44">
      <c r="A51" s="7"/>
      <c r="B51" s="49"/>
      <c r="C51" s="167"/>
      <c r="D51" s="167"/>
      <c r="E51" s="12"/>
      <c r="F51" s="73"/>
      <c r="G51" s="7"/>
      <c r="H51" s="73"/>
      <c r="I51" s="50"/>
      <c r="J51" s="51"/>
      <c r="K51" s="33"/>
      <c r="L51" s="79"/>
      <c r="M51" s="38"/>
      <c r="N51" s="1"/>
      <c r="O51" s="1"/>
      <c r="P51" s="1"/>
      <c r="Q51" s="7"/>
      <c r="R51" s="13"/>
      <c r="S51" s="7"/>
      <c r="T51" s="7"/>
      <c r="U51" s="7"/>
      <c r="V51" s="7"/>
      <c r="W51" s="7"/>
      <c r="Y51" s="7"/>
      <c r="Z51" s="7"/>
      <c r="AA51" s="7"/>
      <c r="AB51" s="7"/>
      <c r="AC51" s="7"/>
      <c r="AD51" s="7"/>
      <c r="AE51" s="7"/>
      <c r="AF51" s="41"/>
      <c r="AG51" s="43"/>
      <c r="AH51" s="60">
        <v>5</v>
      </c>
      <c r="AI51" s="7"/>
      <c r="AJ51" s="7"/>
      <c r="AK51" s="54"/>
      <c r="AL51" s="7"/>
      <c r="AM51" s="55"/>
      <c r="AN51" s="77"/>
      <c r="AO51" s="77"/>
      <c r="AP51" s="77"/>
      <c r="AQ51" s="77"/>
      <c r="AR51" s="77"/>
    </row>
    <row r="52" customHeight="1" spans="1:44">
      <c r="A52" s="7"/>
      <c r="B52" s="49"/>
      <c r="C52" s="167"/>
      <c r="D52" s="167"/>
      <c r="E52" s="12"/>
      <c r="F52" s="73"/>
      <c r="G52" s="7"/>
      <c r="H52" s="73"/>
      <c r="I52" s="50"/>
      <c r="J52" s="51"/>
      <c r="K52" s="33"/>
      <c r="L52" s="212" t="s">
        <v>108</v>
      </c>
      <c r="M52" s="63">
        <v>1</v>
      </c>
      <c r="N52" s="7"/>
      <c r="O52" s="49"/>
      <c r="P52" s="64"/>
      <c r="Q52" s="213"/>
      <c r="R52" s="13"/>
      <c r="S52" s="7"/>
      <c r="T52" s="7"/>
      <c r="U52" s="7"/>
      <c r="V52" s="7"/>
      <c r="W52" s="7"/>
      <c r="Y52" s="7"/>
      <c r="Z52" s="7"/>
      <c r="AA52" s="7"/>
      <c r="AB52" s="7"/>
      <c r="AC52" s="7"/>
      <c r="AD52" s="7"/>
      <c r="AE52" s="7"/>
      <c r="AF52" s="41"/>
      <c r="AG52" s="43"/>
      <c r="AH52" s="60">
        <v>2</v>
      </c>
      <c r="AI52" s="7"/>
      <c r="AJ52" s="7"/>
      <c r="AK52" s="54"/>
      <c r="AL52" s="7"/>
      <c r="AM52" s="55"/>
      <c r="AN52" s="77"/>
      <c r="AO52" s="77"/>
      <c r="AP52" s="77"/>
      <c r="AQ52" s="77"/>
      <c r="AR52" s="77"/>
    </row>
    <row r="53" customHeight="1" spans="1:44">
      <c r="A53" s="12"/>
      <c r="B53" s="49"/>
      <c r="C53" s="167"/>
      <c r="D53" s="167"/>
      <c r="E53" s="12"/>
      <c r="F53" s="73"/>
      <c r="G53" s="7"/>
      <c r="H53" s="73"/>
      <c r="I53" s="50"/>
      <c r="J53" s="51"/>
      <c r="K53" s="33"/>
      <c r="L53" s="43"/>
      <c r="M53" s="63">
        <v>2</v>
      </c>
      <c r="N53" s="7"/>
      <c r="O53" s="49"/>
      <c r="P53" s="7"/>
      <c r="Q53" s="68"/>
      <c r="R53" s="13"/>
      <c r="S53" s="7"/>
      <c r="T53" s="7"/>
      <c r="U53" s="7"/>
      <c r="V53" s="7"/>
      <c r="W53" s="7"/>
      <c r="Y53" s="7"/>
      <c r="Z53" s="7"/>
      <c r="AA53" s="7"/>
      <c r="AB53" s="7"/>
      <c r="AC53" s="7"/>
      <c r="AD53" s="7"/>
      <c r="AE53" s="7"/>
      <c r="AF53" s="41"/>
      <c r="AG53" s="43"/>
      <c r="AH53" s="60">
        <v>6</v>
      </c>
      <c r="AI53" s="7"/>
      <c r="AJ53" s="7"/>
      <c r="AK53" s="54"/>
      <c r="AL53" s="7"/>
      <c r="AM53" s="55"/>
      <c r="AN53" s="77"/>
      <c r="AO53" s="77"/>
      <c r="AP53" s="77"/>
      <c r="AQ53" s="77"/>
      <c r="AR53" s="77"/>
    </row>
    <row r="54" customHeight="1" spans="1:44">
      <c r="A54" s="12"/>
      <c r="B54" s="73"/>
      <c r="C54" s="167"/>
      <c r="D54" s="167"/>
      <c r="E54" s="12"/>
      <c r="F54" s="73"/>
      <c r="G54" s="7"/>
      <c r="H54" s="73"/>
      <c r="I54" s="50"/>
      <c r="J54" s="51"/>
      <c r="K54" s="33"/>
      <c r="L54" s="43"/>
      <c r="M54" s="63">
        <v>3</v>
      </c>
      <c r="N54" s="7"/>
      <c r="O54" s="49"/>
      <c r="P54" s="7"/>
      <c r="Q54" s="68"/>
      <c r="R54" s="13"/>
      <c r="S54" s="7"/>
      <c r="T54" s="7"/>
      <c r="U54" s="7"/>
      <c r="V54" s="7"/>
      <c r="W54" s="7"/>
      <c r="Y54" s="7"/>
      <c r="Z54" s="7"/>
      <c r="AA54" s="7"/>
      <c r="AB54" s="7"/>
      <c r="AC54" s="7"/>
      <c r="AD54" s="7"/>
      <c r="AE54" s="7"/>
      <c r="AF54" s="41"/>
      <c r="AG54" s="43"/>
      <c r="AH54" s="60">
        <v>7</v>
      </c>
      <c r="AI54" s="7"/>
      <c r="AK54" s="54"/>
      <c r="AL54" s="214"/>
      <c r="AM54" s="77"/>
      <c r="AN54" s="77"/>
      <c r="AO54" s="77"/>
      <c r="AP54" s="77"/>
      <c r="AQ54" s="77"/>
      <c r="AR54" s="77"/>
    </row>
    <row r="55" customHeight="1" spans="1:44">
      <c r="A55" s="12"/>
      <c r="B55" s="73"/>
      <c r="C55" s="167"/>
      <c r="D55" s="167"/>
      <c r="E55" s="12"/>
      <c r="F55" s="73"/>
      <c r="G55" s="7"/>
      <c r="H55" s="73"/>
      <c r="I55" s="50"/>
      <c r="J55" s="51"/>
      <c r="K55" s="33"/>
      <c r="L55" s="43"/>
      <c r="M55" s="63">
        <v>4</v>
      </c>
      <c r="N55" s="7"/>
      <c r="O55" s="7"/>
      <c r="P55" s="7"/>
      <c r="Q55" s="68"/>
      <c r="R55" s="13"/>
      <c r="S55" s="7"/>
      <c r="T55" s="7"/>
      <c r="U55" s="7"/>
      <c r="V55" s="7"/>
      <c r="W55" s="7"/>
      <c r="Y55" s="7"/>
      <c r="Z55" s="7"/>
      <c r="AA55" s="7"/>
      <c r="AB55" s="7"/>
      <c r="AC55" s="7"/>
      <c r="AD55" s="7"/>
      <c r="AE55" s="7"/>
      <c r="AF55" s="41"/>
      <c r="AG55" s="43"/>
      <c r="AH55" s="60">
        <v>3</v>
      </c>
      <c r="AI55" s="7"/>
      <c r="AJ55" s="7"/>
      <c r="AK55" s="7"/>
      <c r="AL55" s="7"/>
      <c r="AM55" s="55"/>
      <c r="AN55" s="77"/>
      <c r="AO55" s="77"/>
      <c r="AP55" s="77"/>
      <c r="AQ55" s="77"/>
      <c r="AR55" s="77"/>
    </row>
    <row r="56" customHeight="1" spans="1:44">
      <c r="A56" s="12"/>
      <c r="B56" s="73"/>
      <c r="C56" s="167"/>
      <c r="D56" s="167"/>
      <c r="E56" s="12"/>
      <c r="F56" s="73"/>
      <c r="G56" s="7"/>
      <c r="H56" s="73"/>
      <c r="I56" s="50"/>
      <c r="J56" s="51"/>
      <c r="K56" s="33"/>
      <c r="L56" s="43"/>
      <c r="M56" s="63">
        <v>5</v>
      </c>
      <c r="N56" s="7"/>
      <c r="O56" s="7"/>
      <c r="P56" s="7"/>
      <c r="Q56" s="68"/>
      <c r="R56" s="13"/>
      <c r="S56" s="7"/>
      <c r="T56" s="7"/>
      <c r="U56" s="7"/>
      <c r="V56" s="7"/>
      <c r="W56" s="7"/>
      <c r="Y56" s="7"/>
      <c r="Z56" s="7"/>
      <c r="AA56" s="7"/>
      <c r="AB56" s="7"/>
      <c r="AC56" s="7"/>
      <c r="AD56" s="7"/>
      <c r="AE56" s="7"/>
      <c r="AF56" s="41"/>
      <c r="AG56" s="79"/>
      <c r="AH56" s="60">
        <v>4</v>
      </c>
      <c r="AI56" s="7"/>
      <c r="AK56" s="54"/>
      <c r="AL56" s="47"/>
      <c r="AM56" s="77"/>
      <c r="AN56" s="77"/>
      <c r="AO56" s="77"/>
      <c r="AP56" s="77"/>
      <c r="AQ56" s="77"/>
      <c r="AR56" s="77"/>
    </row>
    <row r="57" customHeight="1" spans="1:44">
      <c r="A57" s="12"/>
      <c r="B57" s="73"/>
      <c r="C57" s="167"/>
      <c r="D57" s="167"/>
      <c r="E57" s="12"/>
      <c r="F57" s="73"/>
      <c r="G57" s="7"/>
      <c r="H57" s="73"/>
      <c r="I57" s="50"/>
      <c r="J57" s="51"/>
      <c r="K57" s="33"/>
      <c r="L57" s="43"/>
      <c r="M57" s="63">
        <v>6</v>
      </c>
      <c r="N57" s="7"/>
      <c r="O57" s="7"/>
      <c r="P57" s="7"/>
      <c r="Q57" s="68"/>
      <c r="R57" s="13"/>
      <c r="S57" s="7"/>
      <c r="T57" s="7"/>
      <c r="U57" s="7"/>
      <c r="V57" s="7"/>
      <c r="W57" s="7"/>
      <c r="Y57" s="7"/>
      <c r="Z57" s="7"/>
      <c r="AA57" s="7"/>
      <c r="AB57" s="7"/>
      <c r="AC57" s="7"/>
      <c r="AD57" s="7"/>
      <c r="AE57" s="7"/>
      <c r="AF57" s="41"/>
      <c r="AG57" s="215" t="s">
        <v>109</v>
      </c>
      <c r="AH57" s="216">
        <v>1</v>
      </c>
      <c r="AI57" s="217"/>
      <c r="AJ57" s="218"/>
      <c r="AK57" s="219"/>
      <c r="AL57" s="220"/>
      <c r="AM57" s="221"/>
      <c r="AN57" s="137"/>
      <c r="AO57" s="137"/>
      <c r="AP57" s="137"/>
      <c r="AQ57" s="137"/>
      <c r="AR57" s="137"/>
    </row>
    <row r="58" customHeight="1" spans="1:44">
      <c r="A58" s="12"/>
      <c r="B58" s="73"/>
      <c r="C58" s="167"/>
      <c r="D58" s="167"/>
      <c r="E58" s="12"/>
      <c r="F58" s="73"/>
      <c r="G58" s="7"/>
      <c r="H58" s="73"/>
      <c r="I58" s="50"/>
      <c r="J58" s="51"/>
      <c r="K58" s="33"/>
      <c r="L58" s="43"/>
      <c r="M58" s="63">
        <v>7</v>
      </c>
      <c r="N58" s="7"/>
      <c r="O58" s="7"/>
      <c r="P58" s="7"/>
      <c r="Q58" s="68"/>
      <c r="R58" s="13"/>
      <c r="S58" s="7"/>
      <c r="T58" s="7"/>
      <c r="U58" s="7"/>
      <c r="V58" s="7"/>
      <c r="W58" s="7"/>
      <c r="Y58" s="7"/>
      <c r="Z58" s="7"/>
      <c r="AA58" s="7"/>
      <c r="AB58" s="7"/>
      <c r="AC58" s="7"/>
      <c r="AD58" s="7"/>
      <c r="AE58" s="7"/>
      <c r="AF58" s="29"/>
      <c r="AH58" s="60">
        <v>2</v>
      </c>
      <c r="AI58" s="7"/>
      <c r="AK58" s="54"/>
      <c r="AL58" s="108"/>
      <c r="AM58" s="140"/>
      <c r="AN58" s="140"/>
      <c r="AO58" s="140"/>
      <c r="AP58" s="140"/>
      <c r="AQ58" s="140"/>
      <c r="AR58" s="140"/>
    </row>
    <row r="59" customHeight="1" spans="1:44">
      <c r="A59" s="12"/>
      <c r="B59" s="73"/>
      <c r="C59" s="167"/>
      <c r="D59" s="167"/>
      <c r="E59" s="12"/>
      <c r="F59" s="73"/>
      <c r="G59" s="7"/>
      <c r="H59" s="73"/>
      <c r="I59" s="50"/>
      <c r="J59" s="51"/>
      <c r="K59" s="33"/>
      <c r="L59" s="43"/>
      <c r="M59" s="63">
        <v>8</v>
      </c>
      <c r="N59" s="7"/>
      <c r="O59" s="7"/>
      <c r="P59" s="7"/>
      <c r="Q59" s="68"/>
      <c r="R59" s="13"/>
      <c r="S59" s="7"/>
      <c r="T59" s="7"/>
      <c r="U59" s="7"/>
      <c r="V59" s="7"/>
      <c r="W59" s="7"/>
      <c r="Y59" s="7"/>
      <c r="Z59" s="7"/>
      <c r="AA59" s="7"/>
      <c r="AB59" s="7"/>
      <c r="AC59" s="7"/>
      <c r="AD59" s="7"/>
      <c r="AE59" s="7"/>
      <c r="AF59" s="41"/>
      <c r="AH59" s="60">
        <v>3</v>
      </c>
      <c r="AI59" s="7"/>
      <c r="AK59" s="54"/>
      <c r="AL59" s="47"/>
      <c r="AM59" s="137"/>
      <c r="AN59" s="137"/>
      <c r="AO59" s="137"/>
      <c r="AP59" s="137"/>
      <c r="AQ59" s="137"/>
      <c r="AR59" s="137"/>
    </row>
    <row r="60" customHeight="1" spans="1:44">
      <c r="A60" s="12"/>
      <c r="B60" s="73"/>
      <c r="C60" s="167"/>
      <c r="D60" s="167"/>
      <c r="E60" s="12"/>
      <c r="F60" s="73"/>
      <c r="G60" s="7"/>
      <c r="H60" s="73"/>
      <c r="I60" s="50"/>
      <c r="J60" s="51"/>
      <c r="K60" s="33"/>
      <c r="L60" s="43"/>
      <c r="M60" s="63">
        <v>9</v>
      </c>
      <c r="N60" s="7"/>
      <c r="O60" s="7"/>
      <c r="P60" s="7"/>
      <c r="Q60" s="68"/>
      <c r="R60" s="13"/>
      <c r="S60" s="7"/>
      <c r="T60" s="7"/>
      <c r="U60" s="7"/>
      <c r="V60" s="7"/>
      <c r="W60" s="7"/>
      <c r="Y60" s="7"/>
      <c r="Z60" s="7"/>
      <c r="AA60" s="7"/>
      <c r="AB60" s="7"/>
      <c r="AC60" s="7"/>
      <c r="AD60" s="7"/>
      <c r="AE60" s="7"/>
      <c r="AF60" s="41"/>
      <c r="AH60" s="60">
        <v>4</v>
      </c>
      <c r="AI60" s="7"/>
      <c r="AK60" s="54"/>
      <c r="AL60" s="47"/>
      <c r="AM60" s="137"/>
      <c r="AN60" s="137"/>
      <c r="AO60" s="137"/>
      <c r="AP60" s="137"/>
      <c r="AQ60" s="137"/>
      <c r="AR60" s="137"/>
    </row>
    <row r="61" customHeight="1" spans="1:44">
      <c r="A61" s="12"/>
      <c r="B61" s="73"/>
      <c r="C61" s="167"/>
      <c r="D61" s="167"/>
      <c r="E61" s="12"/>
      <c r="F61" s="73"/>
      <c r="G61" s="7"/>
      <c r="H61" s="73"/>
      <c r="I61" s="50"/>
      <c r="J61" s="51"/>
      <c r="K61" s="33"/>
      <c r="L61" s="43"/>
      <c r="M61" s="63">
        <v>10</v>
      </c>
      <c r="N61" s="7"/>
      <c r="O61" s="7"/>
      <c r="P61" s="7"/>
      <c r="Q61" s="68"/>
      <c r="R61" s="13"/>
      <c r="S61" s="7"/>
      <c r="T61" s="7"/>
      <c r="U61" s="7"/>
      <c r="V61" s="7"/>
      <c r="W61" s="7"/>
      <c r="Y61" s="7"/>
      <c r="Z61" s="7"/>
      <c r="AA61" s="7"/>
      <c r="AB61" s="7"/>
      <c r="AC61" s="7"/>
      <c r="AD61" s="7"/>
      <c r="AE61" s="7"/>
      <c r="AF61" s="41"/>
      <c r="AH61" s="60">
        <v>5</v>
      </c>
      <c r="AI61" s="7"/>
      <c r="AK61" s="54"/>
      <c r="AL61" s="7"/>
      <c r="AM61" s="77"/>
      <c r="AN61" s="77"/>
      <c r="AO61" s="77"/>
      <c r="AP61" s="77"/>
      <c r="AQ61" s="77"/>
      <c r="AR61" s="77"/>
    </row>
    <row r="62" customHeight="1" spans="1:44">
      <c r="B62" s="73"/>
      <c r="C62" s="167"/>
      <c r="D62" s="167"/>
      <c r="E62" s="7"/>
      <c r="F62" s="73"/>
      <c r="G62" s="7"/>
      <c r="H62" s="49"/>
      <c r="I62" s="222"/>
      <c r="J62" s="51"/>
      <c r="K62" s="33"/>
      <c r="L62" s="79"/>
      <c r="M62" s="53">
        <v>11</v>
      </c>
      <c r="N62" s="223"/>
      <c r="O62" s="187"/>
      <c r="P62" s="1"/>
      <c r="Q62" s="68"/>
      <c r="R62" s="13"/>
      <c r="S62" s="7"/>
      <c r="T62" s="7"/>
      <c r="U62" s="7"/>
      <c r="V62" s="7"/>
      <c r="W62" s="7"/>
      <c r="Y62" s="7"/>
      <c r="Z62" s="7"/>
      <c r="AA62" s="7"/>
      <c r="AB62" s="7"/>
      <c r="AC62" s="7"/>
      <c r="AD62" s="7"/>
      <c r="AE62" s="7"/>
      <c r="AF62" s="41"/>
      <c r="AH62" s="60">
        <v>6</v>
      </c>
      <c r="AI62" s="7"/>
      <c r="AK62" s="54"/>
      <c r="AL62" s="7"/>
      <c r="AM62" s="77"/>
      <c r="AN62" s="77"/>
      <c r="AO62" s="77"/>
      <c r="AP62" s="77"/>
      <c r="AQ62" s="77"/>
      <c r="AR62" s="77"/>
    </row>
    <row r="63" customHeight="1" spans="1:44">
      <c r="A63" s="12"/>
      <c r="B63" s="73"/>
      <c r="C63" s="167"/>
      <c r="D63" s="167"/>
      <c r="E63" s="12"/>
      <c r="F63" s="73"/>
      <c r="G63" s="7"/>
      <c r="H63" s="49"/>
      <c r="I63" s="50"/>
      <c r="J63" s="51"/>
      <c r="K63" s="33"/>
      <c r="L63" s="224" t="s">
        <v>110</v>
      </c>
      <c r="M63" s="148" t="s">
        <v>111</v>
      </c>
      <c r="N63" s="131" t="s">
        <v>112</v>
      </c>
      <c r="O63" s="132">
        <v>45999</v>
      </c>
      <c r="P63" s="47"/>
      <c r="Q63" s="66">
        <v>267.41</v>
      </c>
      <c r="R63" s="13"/>
      <c r="S63" s="7"/>
      <c r="T63" s="7"/>
      <c r="U63" s="7"/>
      <c r="V63" s="7"/>
      <c r="W63" s="7"/>
      <c r="Y63" s="7"/>
      <c r="Z63" s="7"/>
      <c r="AA63" s="7"/>
      <c r="AB63" s="7"/>
      <c r="AC63" s="7"/>
      <c r="AD63" s="7"/>
      <c r="AE63" s="7"/>
      <c r="AF63" s="41"/>
      <c r="AH63" s="60">
        <v>7</v>
      </c>
      <c r="AI63" s="7"/>
      <c r="AK63" s="54"/>
      <c r="AL63" s="7"/>
      <c r="AM63" s="77"/>
      <c r="AN63" s="77"/>
      <c r="AO63" s="77"/>
      <c r="AP63" s="77"/>
      <c r="AQ63" s="77"/>
      <c r="AR63" s="77"/>
    </row>
    <row r="64" customHeight="1" spans="1:44">
      <c r="A64" s="12"/>
      <c r="B64" s="73"/>
      <c r="C64" s="167"/>
      <c r="D64" s="167"/>
      <c r="E64" s="12"/>
      <c r="F64" s="73"/>
      <c r="G64" s="7"/>
      <c r="H64" s="49"/>
      <c r="I64" s="50"/>
      <c r="J64" s="51"/>
      <c r="K64" s="33"/>
      <c r="L64" s="43"/>
      <c r="M64" s="148" t="s">
        <v>113</v>
      </c>
      <c r="N64" s="7" t="s">
        <v>114</v>
      </c>
      <c r="O64" s="54">
        <v>46003</v>
      </c>
      <c r="P64" s="47"/>
      <c r="Q64" s="101">
        <f>24.64+0.41</f>
        <v>25.05</v>
      </c>
      <c r="R64" s="13"/>
      <c r="S64" s="7"/>
      <c r="T64" s="7"/>
      <c r="U64" s="7"/>
      <c r="V64" s="7"/>
      <c r="W64" s="7"/>
      <c r="Y64" s="7"/>
      <c r="Z64" s="7"/>
      <c r="AA64" s="7"/>
      <c r="AB64" s="7"/>
      <c r="AC64" s="7"/>
      <c r="AD64" s="7"/>
      <c r="AE64" s="7"/>
      <c r="AF64" s="41"/>
      <c r="AH64" s="60">
        <v>8</v>
      </c>
      <c r="AI64" s="7"/>
      <c r="AK64" s="54"/>
      <c r="AL64" s="7"/>
      <c r="AM64" s="77"/>
      <c r="AN64" s="77"/>
      <c r="AO64" s="77"/>
      <c r="AP64" s="77"/>
      <c r="AQ64" s="77"/>
      <c r="AR64" s="77"/>
    </row>
    <row r="65" customHeight="1" spans="1:44">
      <c r="A65" s="12"/>
      <c r="B65" s="73"/>
      <c r="C65" s="167"/>
      <c r="D65" s="167"/>
      <c r="E65" s="12"/>
      <c r="F65" s="73"/>
      <c r="G65" s="7"/>
      <c r="H65" s="73"/>
      <c r="I65" s="50"/>
      <c r="J65" s="51"/>
      <c r="K65" s="225"/>
      <c r="L65" s="43"/>
      <c r="M65" s="148" t="s">
        <v>115</v>
      </c>
      <c r="N65" s="81" t="s">
        <v>116</v>
      </c>
      <c r="O65" s="54">
        <v>46004</v>
      </c>
      <c r="P65" s="47"/>
      <c r="Q65" s="101">
        <v>76.08</v>
      </c>
      <c r="R65" s="13"/>
      <c r="S65" s="7"/>
      <c r="T65" s="7"/>
      <c r="U65" s="7"/>
      <c r="V65" s="7"/>
      <c r="W65" s="7"/>
      <c r="Y65" s="7"/>
      <c r="Z65" s="7"/>
      <c r="AA65" s="7"/>
      <c r="AB65" s="7"/>
      <c r="AC65" s="7"/>
      <c r="AD65" s="7"/>
      <c r="AE65" s="7"/>
      <c r="AF65" s="41"/>
      <c r="AH65" s="60">
        <v>9</v>
      </c>
      <c r="AI65" s="7"/>
      <c r="AK65" s="54"/>
      <c r="AL65" s="7"/>
      <c r="AM65" s="77"/>
      <c r="AN65" s="77"/>
      <c r="AO65" s="77"/>
      <c r="AP65" s="77"/>
      <c r="AQ65" s="77"/>
      <c r="AR65" s="77"/>
    </row>
    <row r="66" customHeight="1" spans="1:44">
      <c r="A66" s="12"/>
      <c r="B66" s="73"/>
      <c r="C66" s="167"/>
      <c r="D66" s="167"/>
      <c r="E66" s="12"/>
      <c r="F66" s="73"/>
      <c r="G66" s="7"/>
      <c r="H66" s="73"/>
      <c r="I66" s="50"/>
      <c r="J66" s="51"/>
      <c r="K66" s="33"/>
      <c r="L66" s="43"/>
      <c r="M66" s="148" t="s">
        <v>117</v>
      </c>
      <c r="N66" s="81" t="s">
        <v>118</v>
      </c>
      <c r="O66" s="54">
        <v>46001</v>
      </c>
      <c r="P66" s="47"/>
      <c r="Q66" s="101">
        <v>150.41</v>
      </c>
      <c r="R66" s="13"/>
      <c r="S66" s="7"/>
      <c r="T66" s="7"/>
      <c r="U66" s="7"/>
      <c r="V66" s="7"/>
      <c r="W66" s="7"/>
      <c r="Y66" s="7"/>
      <c r="Z66" s="7"/>
      <c r="AA66" s="7"/>
      <c r="AB66" s="7"/>
      <c r="AC66" s="7"/>
      <c r="AD66" s="7"/>
      <c r="AE66" s="7"/>
      <c r="AF66" s="41"/>
      <c r="AH66" s="60">
        <v>10</v>
      </c>
      <c r="AI66" s="7"/>
      <c r="AK66" s="54"/>
      <c r="AL66" s="7"/>
      <c r="AM66" s="77"/>
      <c r="AN66" s="77"/>
      <c r="AO66" s="77"/>
      <c r="AP66" s="77"/>
      <c r="AQ66" s="77"/>
      <c r="AR66" s="77"/>
    </row>
    <row r="67" customHeight="1" spans="1:44">
      <c r="A67" s="12"/>
      <c r="B67" s="73"/>
      <c r="C67" s="167"/>
      <c r="D67" s="167"/>
      <c r="E67" s="12"/>
      <c r="F67" s="73"/>
      <c r="G67" s="7"/>
      <c r="H67" s="73"/>
      <c r="I67" s="50"/>
      <c r="J67" s="51"/>
      <c r="K67" s="33"/>
      <c r="L67" s="43"/>
      <c r="M67" s="148" t="s">
        <v>119</v>
      </c>
      <c r="N67" s="81" t="s">
        <v>120</v>
      </c>
      <c r="O67" s="54">
        <v>46008</v>
      </c>
      <c r="P67" s="7"/>
      <c r="Q67" s="101">
        <v>200</v>
      </c>
      <c r="R67" s="13"/>
      <c r="S67" s="7"/>
      <c r="T67" s="7"/>
      <c r="U67" s="7"/>
      <c r="V67" s="7"/>
      <c r="W67" s="7"/>
      <c r="Y67" s="7"/>
      <c r="Z67" s="7"/>
      <c r="AA67" s="7"/>
      <c r="AB67" s="7"/>
      <c r="AC67" s="7"/>
      <c r="AD67" s="7"/>
      <c r="AE67" s="7"/>
      <c r="AF67" s="41"/>
      <c r="AH67" s="60">
        <v>11</v>
      </c>
      <c r="AI67" s="7"/>
      <c r="AJ67" s="7"/>
      <c r="AK67" s="54"/>
      <c r="AL67" s="7"/>
      <c r="AM67" s="77"/>
      <c r="AN67" s="77"/>
      <c r="AO67" s="77"/>
      <c r="AP67" s="77"/>
      <c r="AQ67" s="77"/>
      <c r="AR67" s="77"/>
    </row>
    <row r="68" customHeight="1" spans="1:44">
      <c r="A68" s="7"/>
      <c r="B68" s="73"/>
      <c r="C68" s="167"/>
      <c r="D68" s="167"/>
      <c r="E68" s="7"/>
      <c r="F68" s="49"/>
      <c r="G68" s="7"/>
      <c r="H68" s="49"/>
      <c r="I68" s="222"/>
      <c r="J68" s="68"/>
      <c r="K68" s="33"/>
      <c r="L68" s="43"/>
      <c r="M68" s="148" t="s">
        <v>121</v>
      </c>
      <c r="N68" s="7"/>
      <c r="O68" s="49"/>
      <c r="P68" s="7"/>
      <c r="Q68" s="68"/>
      <c r="R68" s="13"/>
      <c r="S68" s="7"/>
      <c r="T68" s="7"/>
      <c r="U68" s="7"/>
      <c r="V68" s="7"/>
      <c r="W68" s="7"/>
      <c r="Y68" s="7"/>
      <c r="Z68" s="7"/>
      <c r="AA68" s="7"/>
      <c r="AB68" s="7"/>
      <c r="AC68" s="7"/>
      <c r="AD68" s="7"/>
      <c r="AE68" s="7"/>
      <c r="AF68" s="41"/>
      <c r="AH68" s="60">
        <v>5</v>
      </c>
      <c r="AI68" s="7"/>
      <c r="AJ68" s="7"/>
      <c r="AK68" s="54"/>
      <c r="AL68" s="7"/>
      <c r="AM68" s="77"/>
      <c r="AN68" s="77"/>
      <c r="AO68" s="77"/>
      <c r="AP68" s="77"/>
      <c r="AQ68" s="77"/>
      <c r="AR68" s="77"/>
    </row>
    <row r="69" customHeight="1" spans="1:44">
      <c r="A69" s="7"/>
      <c r="B69" s="73"/>
      <c r="C69" s="167"/>
      <c r="D69" s="167"/>
      <c r="E69" s="7"/>
      <c r="F69" s="49"/>
      <c r="G69" s="7"/>
      <c r="H69" s="49"/>
      <c r="I69" s="222"/>
      <c r="J69" s="68"/>
      <c r="K69" s="33"/>
      <c r="L69" s="43"/>
      <c r="M69" s="148" t="s">
        <v>122</v>
      </c>
      <c r="N69" s="7"/>
      <c r="O69" s="7"/>
      <c r="P69" s="7"/>
      <c r="Q69" s="7"/>
      <c r="R69" s="13"/>
      <c r="S69" s="7"/>
      <c r="T69" s="7"/>
      <c r="U69" s="7"/>
      <c r="V69" s="7"/>
      <c r="W69" s="7"/>
      <c r="Y69" s="7"/>
      <c r="Z69" s="7"/>
      <c r="AA69" s="7"/>
      <c r="AB69" s="7"/>
      <c r="AC69" s="7"/>
      <c r="AD69" s="7"/>
      <c r="AE69" s="7"/>
      <c r="AF69" s="41"/>
      <c r="AH69" s="60">
        <v>6</v>
      </c>
      <c r="AI69" s="7"/>
      <c r="AJ69" s="7"/>
      <c r="AK69" s="54"/>
      <c r="AL69" s="7"/>
      <c r="AM69" s="77"/>
      <c r="AN69" s="77"/>
      <c r="AO69" s="77"/>
      <c r="AP69" s="77"/>
      <c r="AQ69" s="77"/>
      <c r="AR69" s="77"/>
    </row>
    <row r="70" customHeight="1" spans="1:44">
      <c r="A70" s="7"/>
      <c r="B70" s="73"/>
      <c r="C70" s="167"/>
      <c r="D70" s="167"/>
      <c r="E70" s="7"/>
      <c r="F70" s="49"/>
      <c r="G70" s="7"/>
      <c r="H70" s="49"/>
      <c r="I70" s="222"/>
      <c r="J70" s="68"/>
      <c r="K70" s="33"/>
      <c r="L70" s="43"/>
      <c r="M70" s="148" t="s">
        <v>123</v>
      </c>
      <c r="N70" s="7" t="s">
        <v>124</v>
      </c>
      <c r="O70" s="54">
        <v>46006</v>
      </c>
      <c r="P70" s="7"/>
      <c r="Q70" s="60">
        <v>283.66</v>
      </c>
      <c r="R70" s="13"/>
      <c r="S70" s="7"/>
      <c r="T70" s="7"/>
      <c r="U70" s="7"/>
      <c r="V70" s="7"/>
      <c r="W70" s="7"/>
      <c r="Y70" s="7"/>
      <c r="Z70" s="7"/>
      <c r="AA70" s="7"/>
      <c r="AB70" s="7"/>
      <c r="AC70" s="7"/>
      <c r="AD70" s="7"/>
      <c r="AE70" s="7"/>
      <c r="AF70" s="41"/>
      <c r="AH70" s="60">
        <v>7</v>
      </c>
      <c r="AI70" s="7"/>
      <c r="AJ70" s="7"/>
      <c r="AK70" s="54"/>
      <c r="AL70" s="7"/>
      <c r="AM70" s="77"/>
      <c r="AN70" s="77"/>
      <c r="AO70" s="77"/>
      <c r="AP70" s="77"/>
      <c r="AQ70" s="77"/>
      <c r="AR70" s="77"/>
    </row>
    <row r="71" customHeight="1" spans="1:44">
      <c r="A71" s="7"/>
      <c r="B71" s="73"/>
      <c r="C71" s="167"/>
      <c r="D71" s="167"/>
      <c r="E71" s="7"/>
      <c r="F71" s="49"/>
      <c r="G71" s="7"/>
      <c r="H71" s="49"/>
      <c r="I71" s="222"/>
      <c r="J71" s="68"/>
      <c r="K71" s="33"/>
      <c r="L71" s="43"/>
      <c r="M71" s="148" t="s">
        <v>125</v>
      </c>
      <c r="N71" s="7" t="s">
        <v>126</v>
      </c>
      <c r="O71" s="54">
        <v>46010</v>
      </c>
      <c r="P71" s="47"/>
      <c r="Q71" s="101">
        <v>476.38</v>
      </c>
      <c r="R71" s="13"/>
      <c r="S71" s="7"/>
      <c r="T71" s="7"/>
      <c r="U71" s="7"/>
      <c r="V71" s="7"/>
      <c r="W71" s="7"/>
      <c r="Y71" s="7"/>
      <c r="Z71" s="7"/>
      <c r="AA71" s="7"/>
      <c r="AB71" s="7"/>
      <c r="AC71" s="7"/>
      <c r="AD71" s="7"/>
      <c r="AE71" s="7"/>
      <c r="AF71" s="41"/>
      <c r="AH71" s="60">
        <v>8</v>
      </c>
      <c r="AI71" s="7"/>
      <c r="AJ71" s="7"/>
      <c r="AK71" s="54"/>
      <c r="AL71" s="7"/>
      <c r="AM71" s="77"/>
      <c r="AN71" s="77"/>
      <c r="AO71" s="77"/>
      <c r="AP71" s="77"/>
      <c r="AQ71" s="77"/>
      <c r="AR71" s="77"/>
    </row>
    <row r="72" customHeight="1" spans="1:44">
      <c r="A72" s="7"/>
      <c r="B72" s="73"/>
      <c r="C72" s="167"/>
      <c r="D72" s="167"/>
      <c r="E72" s="7"/>
      <c r="F72" s="49"/>
      <c r="G72" s="7"/>
      <c r="H72" s="49"/>
      <c r="I72" s="222"/>
      <c r="J72" s="68"/>
      <c r="K72" s="33"/>
      <c r="L72" s="43"/>
      <c r="M72" s="148" t="s">
        <v>127</v>
      </c>
      <c r="N72" s="226" t="s">
        <v>86</v>
      </c>
      <c r="O72" s="54">
        <v>46003</v>
      </c>
      <c r="P72" s="47"/>
      <c r="Q72" s="101">
        <v>360</v>
      </c>
      <c r="R72" s="13"/>
      <c r="S72" s="7"/>
      <c r="T72" s="7"/>
      <c r="U72" s="7"/>
      <c r="V72" s="7"/>
      <c r="W72" s="7"/>
      <c r="Y72" s="7"/>
      <c r="Z72" s="7"/>
      <c r="AA72" s="7"/>
      <c r="AB72" s="7"/>
      <c r="AC72" s="7"/>
      <c r="AD72" s="7"/>
      <c r="AE72" s="7"/>
      <c r="AF72" s="29"/>
      <c r="AH72" s="60">
        <v>1</v>
      </c>
      <c r="AI72" s="7"/>
      <c r="AJ72" s="7"/>
      <c r="AK72" s="54"/>
      <c r="AL72" s="7"/>
      <c r="AM72" s="55"/>
      <c r="AN72" s="77"/>
      <c r="AO72" s="77"/>
      <c r="AP72" s="77"/>
      <c r="AQ72" s="77"/>
      <c r="AR72" s="77"/>
    </row>
    <row r="73" customHeight="1" spans="1:44">
      <c r="A73" s="7"/>
      <c r="B73" s="73"/>
      <c r="C73" s="167"/>
      <c r="D73" s="167"/>
      <c r="E73" s="7"/>
      <c r="F73" s="49"/>
      <c r="G73" s="7"/>
      <c r="H73" s="49"/>
      <c r="I73" s="222"/>
      <c r="J73" s="68"/>
      <c r="K73" s="33"/>
      <c r="L73" s="43"/>
      <c r="M73" s="148" t="s">
        <v>128</v>
      </c>
      <c r="N73" s="227" t="s">
        <v>87</v>
      </c>
      <c r="O73" s="54">
        <v>46008</v>
      </c>
      <c r="P73" s="47"/>
      <c r="Q73" s="101">
        <v>360</v>
      </c>
      <c r="R73" s="13"/>
      <c r="S73" s="7"/>
      <c r="T73" s="7"/>
      <c r="U73" s="7"/>
      <c r="V73" s="7"/>
      <c r="W73" s="7"/>
      <c r="Y73" s="7"/>
      <c r="Z73" s="7"/>
      <c r="AA73" s="7"/>
      <c r="AB73" s="7"/>
      <c r="AC73" s="7"/>
      <c r="AD73" s="7"/>
      <c r="AE73" s="7"/>
      <c r="AF73" s="41"/>
      <c r="AH73" s="60">
        <v>2</v>
      </c>
      <c r="AI73" s="7"/>
      <c r="AJ73" s="7"/>
      <c r="AK73" s="54"/>
      <c r="AL73" s="7"/>
      <c r="AM73" s="55"/>
      <c r="AN73" s="77"/>
      <c r="AO73" s="77"/>
      <c r="AP73" s="77"/>
      <c r="AQ73" s="77"/>
      <c r="AR73" s="77"/>
    </row>
    <row r="74" customHeight="1" spans="1:44">
      <c r="A74" s="7"/>
      <c r="B74" s="73"/>
      <c r="C74" s="167"/>
      <c r="D74" s="167"/>
      <c r="E74" s="7"/>
      <c r="F74" s="49"/>
      <c r="G74" s="7"/>
      <c r="H74" s="49"/>
      <c r="I74" s="222"/>
      <c r="J74" s="68"/>
      <c r="K74" s="33"/>
      <c r="L74" s="43"/>
      <c r="M74" s="148" t="s">
        <v>129</v>
      </c>
      <c r="N74" s="81" t="s">
        <v>85</v>
      </c>
      <c r="O74" s="54">
        <v>46006</v>
      </c>
      <c r="P74" s="47"/>
      <c r="Q74" s="101">
        <v>360</v>
      </c>
      <c r="R74" s="13"/>
      <c r="S74" s="7"/>
      <c r="T74" s="7"/>
      <c r="U74" s="7"/>
      <c r="V74" s="7"/>
      <c r="W74" s="7"/>
      <c r="Y74" s="7"/>
      <c r="Z74" s="7"/>
      <c r="AA74" s="7"/>
      <c r="AB74" s="7"/>
      <c r="AC74" s="7"/>
      <c r="AD74" s="7"/>
      <c r="AE74" s="7"/>
      <c r="AF74" s="41"/>
      <c r="AG74" s="25"/>
      <c r="AH74" s="60">
        <v>3</v>
      </c>
      <c r="AI74" s="7"/>
      <c r="AJ74" s="7"/>
      <c r="AK74" s="54"/>
      <c r="AL74" s="7"/>
      <c r="AM74" s="55"/>
      <c r="AN74" s="77"/>
      <c r="AO74" s="77"/>
      <c r="AP74" s="77"/>
      <c r="AQ74" s="77"/>
      <c r="AR74" s="77"/>
    </row>
    <row r="75" customHeight="1" spans="1:44">
      <c r="A75" s="7"/>
      <c r="B75" s="73"/>
      <c r="C75" s="167"/>
      <c r="D75" s="167"/>
      <c r="E75" s="7"/>
      <c r="F75" s="49"/>
      <c r="G75" s="7"/>
      <c r="H75" s="49"/>
      <c r="I75" s="222"/>
      <c r="J75" s="68"/>
      <c r="K75" s="33"/>
      <c r="L75" s="43"/>
      <c r="M75" s="148" t="s">
        <v>130</v>
      </c>
      <c r="N75" s="7"/>
      <c r="O75" s="7"/>
      <c r="P75" s="7"/>
      <c r="Q75" s="7"/>
      <c r="R75" s="13"/>
      <c r="S75" s="7"/>
      <c r="T75" s="7"/>
      <c r="U75" s="7"/>
      <c r="V75" s="7"/>
      <c r="W75" s="7"/>
      <c r="Y75" s="7"/>
      <c r="Z75" s="7"/>
      <c r="AA75" s="7"/>
      <c r="AB75" s="7"/>
      <c r="AC75" s="7"/>
      <c r="AD75" s="7"/>
      <c r="AE75" s="7"/>
      <c r="AF75" s="41"/>
      <c r="AG75" s="228" t="s">
        <v>131</v>
      </c>
      <c r="AH75" s="181">
        <v>1</v>
      </c>
      <c r="AI75" s="64"/>
      <c r="AJ75" s="61"/>
      <c r="AK75" s="61"/>
      <c r="AL75" s="64"/>
      <c r="AM75" s="229"/>
      <c r="AN75" s="726"/>
      <c r="AO75" s="726"/>
      <c r="AP75" s="726"/>
      <c r="AQ75" s="726"/>
      <c r="AR75" s="726"/>
    </row>
    <row r="76" customHeight="1" spans="1:44">
      <c r="A76" s="7"/>
      <c r="B76" s="73"/>
      <c r="C76" s="167"/>
      <c r="D76" s="167"/>
      <c r="E76" s="7"/>
      <c r="F76" s="49"/>
      <c r="G76" s="7"/>
      <c r="H76" s="49"/>
      <c r="I76" s="222"/>
      <c r="J76" s="68"/>
      <c r="K76" s="33"/>
      <c r="L76" s="43"/>
      <c r="M76" s="148" t="s">
        <v>132</v>
      </c>
      <c r="N76" s="7"/>
      <c r="O76" s="49"/>
      <c r="P76" s="7"/>
      <c r="Q76" s="68"/>
      <c r="R76" s="13"/>
      <c r="S76" s="7"/>
      <c r="T76" s="7"/>
      <c r="U76" s="7"/>
      <c r="V76" s="7"/>
      <c r="W76" s="7"/>
      <c r="Y76" s="7"/>
      <c r="Z76" s="7"/>
      <c r="AA76" s="7"/>
      <c r="AB76" s="7"/>
      <c r="AC76" s="7"/>
      <c r="AD76" s="7"/>
      <c r="AE76" s="7"/>
      <c r="AF76" s="41"/>
      <c r="AG76" s="230"/>
      <c r="AH76" s="60">
        <v>2</v>
      </c>
      <c r="AI76" s="198"/>
      <c r="AJ76" s="65"/>
      <c r="AK76" s="61"/>
      <c r="AL76" s="64"/>
      <c r="AM76" s="115"/>
      <c r="AN76" s="77"/>
      <c r="AO76" s="77"/>
      <c r="AP76" s="77"/>
      <c r="AQ76" s="77"/>
      <c r="AR76" s="77"/>
    </row>
    <row r="77" customHeight="1" spans="1:44">
      <c r="A77" s="7"/>
      <c r="B77" s="73"/>
      <c r="C77" s="167"/>
      <c r="D77" s="167"/>
      <c r="E77" s="7"/>
      <c r="F77" s="49"/>
      <c r="G77" s="7"/>
      <c r="H77" s="49"/>
      <c r="I77" s="222"/>
      <c r="J77" s="68"/>
      <c r="K77" s="33"/>
      <c r="L77" s="43"/>
      <c r="M77" s="148" t="s">
        <v>133</v>
      </c>
      <c r="N77" s="7" t="s">
        <v>134</v>
      </c>
      <c r="O77" s="54">
        <v>46010</v>
      </c>
      <c r="P77" s="47"/>
      <c r="Q77" s="101">
        <v>70</v>
      </c>
      <c r="R77" s="13"/>
      <c r="S77" s="7"/>
      <c r="T77" s="7"/>
      <c r="U77" s="7"/>
      <c r="V77" s="7"/>
      <c r="W77" s="7"/>
      <c r="Y77" s="7"/>
      <c r="Z77" s="7"/>
      <c r="AA77" s="7"/>
      <c r="AB77" s="7"/>
      <c r="AC77" s="7"/>
      <c r="AD77" s="7"/>
      <c r="AE77" s="7"/>
      <c r="AF77" s="41"/>
      <c r="AG77" s="230"/>
      <c r="AH77" s="60">
        <v>3</v>
      </c>
      <c r="AI77" s="7"/>
      <c r="AK77" s="54"/>
      <c r="AL77" s="7"/>
      <c r="AM77" s="55"/>
      <c r="AN77" s="77"/>
      <c r="AO77" s="77"/>
      <c r="AP77" s="77"/>
      <c r="AQ77" s="77"/>
      <c r="AR77" s="77"/>
    </row>
    <row r="78" customHeight="1" spans="1:44">
      <c r="A78" s="7"/>
      <c r="B78" s="73"/>
      <c r="C78" s="167"/>
      <c r="D78" s="167"/>
      <c r="E78" s="7"/>
      <c r="F78" s="49"/>
      <c r="G78" s="7"/>
      <c r="H78" s="49"/>
      <c r="I78" s="222"/>
      <c r="J78" s="68"/>
      <c r="K78" s="33"/>
      <c r="L78" s="43"/>
      <c r="M78" s="148" t="s">
        <v>135</v>
      </c>
      <c r="N78" s="7"/>
      <c r="O78" s="49"/>
      <c r="P78" s="7"/>
      <c r="Q78" s="68"/>
      <c r="R78" s="13"/>
      <c r="S78" s="7"/>
      <c r="T78" s="7"/>
      <c r="U78" s="7"/>
      <c r="V78" s="7"/>
      <c r="W78" s="7"/>
      <c r="Y78" s="7"/>
      <c r="Z78" s="7"/>
      <c r="AA78" s="7"/>
      <c r="AB78" s="7"/>
      <c r="AC78" s="7"/>
      <c r="AD78" s="7"/>
      <c r="AE78" s="7"/>
      <c r="AF78" s="41"/>
      <c r="AG78" s="230"/>
      <c r="AH78" s="60">
        <v>4</v>
      </c>
      <c r="AI78" s="1"/>
      <c r="AJ78" s="3"/>
      <c r="AK78" s="231"/>
      <c r="AL78" s="1"/>
      <c r="AM78" s="55"/>
      <c r="AN78" s="77"/>
      <c r="AO78" s="77"/>
      <c r="AP78" s="77"/>
      <c r="AQ78" s="77"/>
      <c r="AR78" s="77"/>
    </row>
    <row r="79" customHeight="1" spans="1:44">
      <c r="A79" s="7"/>
      <c r="B79" s="73"/>
      <c r="C79" s="167"/>
      <c r="D79" s="167"/>
      <c r="E79" s="7"/>
      <c r="F79" s="232"/>
      <c r="G79" s="7"/>
      <c r="H79" s="232"/>
      <c r="I79" s="222"/>
      <c r="J79" s="68"/>
      <c r="K79" s="33"/>
      <c r="L79" s="43"/>
      <c r="M79" s="148" t="s">
        <v>136</v>
      </c>
      <c r="N79" s="227" t="s">
        <v>137</v>
      </c>
      <c r="O79" s="233">
        <v>46012</v>
      </c>
      <c r="P79" s="47"/>
      <c r="Q79" s="101">
        <v>906.75</v>
      </c>
      <c r="R79" s="13"/>
      <c r="S79" s="7"/>
      <c r="T79" s="7"/>
      <c r="U79" s="7"/>
      <c r="V79" s="7"/>
      <c r="W79" s="7"/>
      <c r="Y79" s="7"/>
      <c r="Z79" s="7"/>
      <c r="AA79" s="7"/>
      <c r="AB79" s="7"/>
      <c r="AC79" s="7"/>
      <c r="AD79" s="7"/>
      <c r="AE79" s="7"/>
      <c r="AF79" s="41"/>
      <c r="AG79" s="230"/>
      <c r="AH79" s="60">
        <v>5</v>
      </c>
      <c r="AI79" s="7"/>
      <c r="AK79" s="54"/>
      <c r="AL79" s="7"/>
      <c r="AM79" s="55"/>
      <c r="AN79" s="77"/>
      <c r="AO79" s="77"/>
      <c r="AP79" s="77"/>
      <c r="AQ79" s="77"/>
      <c r="AR79" s="77"/>
    </row>
    <row r="80" customHeight="1" spans="1:44">
      <c r="A80" s="7"/>
      <c r="B80" s="73"/>
      <c r="C80" s="167"/>
      <c r="D80" s="167"/>
      <c r="E80" s="7"/>
      <c r="F80" s="49"/>
      <c r="G80" s="7"/>
      <c r="H80" s="49"/>
      <c r="I80" s="222"/>
      <c r="J80" s="68"/>
      <c r="K80" s="33"/>
      <c r="L80" s="43"/>
      <c r="M80" s="148" t="s">
        <v>138</v>
      </c>
      <c r="N80" s="7" t="s">
        <v>139</v>
      </c>
      <c r="O80" s="54">
        <v>46017</v>
      </c>
      <c r="P80" s="47"/>
      <c r="Q80" s="101">
        <v>42.58</v>
      </c>
      <c r="R80" s="13"/>
      <c r="S80" s="7"/>
      <c r="T80" s="7"/>
      <c r="U80" s="7"/>
      <c r="V80" s="7"/>
      <c r="W80" s="7"/>
      <c r="Y80" s="7"/>
      <c r="Z80" s="7"/>
      <c r="AA80" s="7"/>
      <c r="AB80" s="7"/>
      <c r="AC80" s="7"/>
      <c r="AD80" s="7"/>
      <c r="AE80" s="7"/>
      <c r="AF80" s="41"/>
      <c r="AG80" s="230"/>
      <c r="AH80" s="60">
        <v>6</v>
      </c>
      <c r="AI80" s="7"/>
      <c r="AK80" s="54"/>
      <c r="AL80" s="7"/>
      <c r="AM80" s="55"/>
      <c r="AN80" s="77"/>
      <c r="AO80" s="77"/>
      <c r="AP80" s="77"/>
      <c r="AQ80" s="77"/>
      <c r="AR80" s="77"/>
    </row>
    <row r="81" customHeight="1" spans="1:44">
      <c r="A81" s="7"/>
      <c r="B81" s="73"/>
      <c r="C81" s="167"/>
      <c r="D81" s="167"/>
      <c r="E81" s="7"/>
      <c r="F81" s="49"/>
      <c r="G81" s="7"/>
      <c r="H81" s="49"/>
      <c r="I81" s="222"/>
      <c r="J81" s="68"/>
      <c r="K81" s="33"/>
      <c r="L81" s="43"/>
      <c r="M81" s="148" t="s">
        <v>140</v>
      </c>
      <c r="N81" s="7" t="s">
        <v>141</v>
      </c>
      <c r="O81" s="54">
        <v>46018</v>
      </c>
      <c r="P81" s="47"/>
      <c r="Q81" s="101">
        <v>53.88</v>
      </c>
      <c r="R81" s="13"/>
      <c r="S81" s="7"/>
      <c r="T81" s="7"/>
      <c r="U81" s="7"/>
      <c r="V81" s="7"/>
      <c r="W81" s="7"/>
      <c r="Y81" s="7"/>
      <c r="Z81" s="7"/>
      <c r="AA81" s="7"/>
      <c r="AB81" s="7"/>
      <c r="AC81" s="7"/>
      <c r="AD81" s="7"/>
      <c r="AE81" s="7"/>
      <c r="AF81" s="41"/>
      <c r="AG81" s="230"/>
      <c r="AH81" s="60">
        <v>7</v>
      </c>
      <c r="AI81" s="64"/>
      <c r="AJ81" s="64"/>
      <c r="AK81" s="61"/>
      <c r="AL81" s="7"/>
      <c r="AM81" s="115"/>
      <c r="AN81" s="77"/>
      <c r="AO81" s="77"/>
      <c r="AP81" s="77"/>
      <c r="AQ81" s="77"/>
      <c r="AR81" s="77"/>
    </row>
    <row r="82" customHeight="1" spans="1:44">
      <c r="A82" s="7"/>
      <c r="B82" s="73"/>
      <c r="C82" s="167"/>
      <c r="D82" s="167"/>
      <c r="E82" s="7"/>
      <c r="F82" s="49"/>
      <c r="G82" s="7"/>
      <c r="H82" s="49"/>
      <c r="I82" s="222"/>
      <c r="J82" s="68"/>
      <c r="K82" s="33"/>
      <c r="L82" s="43"/>
      <c r="M82" s="148" t="s">
        <v>142</v>
      </c>
      <c r="N82" s="81" t="s">
        <v>87</v>
      </c>
      <c r="O82" s="54">
        <v>46021</v>
      </c>
      <c r="P82" s="7"/>
      <c r="Q82" s="101">
        <v>17.25</v>
      </c>
      <c r="R82" s="13"/>
      <c r="S82" s="7"/>
      <c r="T82" s="7"/>
      <c r="U82" s="7"/>
      <c r="V82" s="7"/>
      <c r="W82" s="7"/>
      <c r="Y82" s="7"/>
      <c r="Z82" s="7"/>
      <c r="AA82" s="7"/>
      <c r="AB82" s="7"/>
      <c r="AC82" s="7"/>
      <c r="AD82" s="7"/>
      <c r="AE82" s="7"/>
      <c r="AF82" s="90"/>
      <c r="AG82" s="230"/>
      <c r="AH82" s="60">
        <v>8</v>
      </c>
      <c r="AI82" s="234"/>
      <c r="AJ82" s="234"/>
      <c r="AK82" s="235"/>
      <c r="AL82" s="1"/>
      <c r="AM82" s="107"/>
      <c r="AN82" s="77"/>
      <c r="AO82" s="77"/>
      <c r="AP82" s="77"/>
      <c r="AQ82" s="77"/>
      <c r="AR82" s="77"/>
    </row>
    <row r="83" customHeight="1" spans="1:44">
      <c r="A83" s="7"/>
      <c r="B83" s="73"/>
      <c r="C83" s="167"/>
      <c r="D83" s="167"/>
      <c r="E83" s="7"/>
      <c r="F83" s="7"/>
      <c r="G83" s="7"/>
      <c r="H83" s="96"/>
      <c r="I83" s="222"/>
      <c r="J83" s="68"/>
      <c r="K83" s="33"/>
      <c r="L83" s="43"/>
      <c r="M83" s="148" t="s">
        <v>143</v>
      </c>
      <c r="N83" s="227" t="s">
        <v>86</v>
      </c>
      <c r="O83" s="54">
        <v>46021</v>
      </c>
      <c r="P83" s="7"/>
      <c r="Q83" s="101">
        <v>360</v>
      </c>
      <c r="R83" s="13"/>
      <c r="S83" s="7"/>
      <c r="T83" s="7"/>
      <c r="U83" s="7"/>
      <c r="V83" s="7"/>
      <c r="W83" s="7"/>
      <c r="Y83" s="7"/>
      <c r="Z83" s="7"/>
      <c r="AA83" s="7"/>
      <c r="AB83" s="7"/>
      <c r="AC83" s="7"/>
      <c r="AD83" s="7"/>
      <c r="AE83" s="7"/>
      <c r="AF83" s="41"/>
      <c r="AG83" s="230"/>
      <c r="AH83" s="60">
        <v>9</v>
      </c>
      <c r="AI83" s="7"/>
      <c r="AJ83" s="7"/>
      <c r="AK83" s="54"/>
      <c r="AL83" s="7"/>
      <c r="AM83" s="55"/>
      <c r="AN83" s="77"/>
      <c r="AO83" s="77"/>
      <c r="AP83" s="77"/>
      <c r="AQ83" s="77"/>
      <c r="AR83" s="77"/>
    </row>
    <row r="84" customHeight="1" spans="1:44">
      <c r="A84" s="7"/>
      <c r="B84" s="73"/>
      <c r="C84" s="167"/>
      <c r="D84" s="167"/>
      <c r="E84" s="7"/>
      <c r="F84" s="7"/>
      <c r="G84" s="7"/>
      <c r="H84" s="96"/>
      <c r="I84" s="222"/>
      <c r="J84" s="68"/>
      <c r="K84" s="33"/>
      <c r="L84" s="43"/>
      <c r="M84" s="189" t="s">
        <v>144</v>
      </c>
      <c r="N84" s="81" t="s">
        <v>145</v>
      </c>
      <c r="O84" s="54">
        <v>46021</v>
      </c>
      <c r="P84" s="7"/>
      <c r="Q84" s="74">
        <v>25</v>
      </c>
      <c r="R84" s="13"/>
      <c r="S84" s="7"/>
      <c r="T84" s="7"/>
      <c r="U84" s="7"/>
      <c r="V84" s="7"/>
      <c r="W84" s="7"/>
      <c r="Y84" s="7"/>
      <c r="Z84" s="7"/>
      <c r="AA84" s="7"/>
      <c r="AB84" s="7"/>
      <c r="AC84" s="7"/>
      <c r="AD84" s="7"/>
      <c r="AE84" s="7"/>
      <c r="AF84" s="41"/>
      <c r="AG84" s="230"/>
      <c r="AH84" s="60">
        <v>10</v>
      </c>
      <c r="AI84" s="7"/>
      <c r="AJ84" s="7"/>
      <c r="AK84" s="54"/>
      <c r="AL84" s="7"/>
      <c r="AM84" s="55"/>
      <c r="AN84" s="77"/>
      <c r="AO84" s="77"/>
      <c r="AP84" s="77"/>
      <c r="AQ84" s="77"/>
      <c r="AR84" s="77"/>
    </row>
    <row r="85" customHeight="1" spans="1:44">
      <c r="A85" s="7"/>
      <c r="B85" s="73"/>
      <c r="C85" s="167"/>
      <c r="D85" s="167"/>
      <c r="E85" s="7"/>
      <c r="F85" s="7"/>
      <c r="G85" s="7"/>
      <c r="H85" s="96"/>
      <c r="I85" s="222"/>
      <c r="J85" s="68"/>
      <c r="K85" s="33"/>
      <c r="L85" s="43"/>
      <c r="M85" s="148" t="s">
        <v>146</v>
      </c>
      <c r="N85" s="81" t="s">
        <v>147</v>
      </c>
      <c r="O85" s="54">
        <v>46022</v>
      </c>
      <c r="P85" s="7"/>
      <c r="Q85" s="74">
        <v>600</v>
      </c>
      <c r="R85" s="13"/>
      <c r="S85" s="7"/>
      <c r="T85" s="7"/>
      <c r="U85" s="7"/>
      <c r="V85" s="7"/>
      <c r="W85" s="7"/>
      <c r="Y85" s="7"/>
      <c r="Z85" s="7"/>
      <c r="AA85" s="7"/>
      <c r="AB85" s="7"/>
      <c r="AC85" s="7"/>
      <c r="AD85" s="7"/>
      <c r="AE85" s="7"/>
      <c r="AF85" s="41"/>
      <c r="AG85" s="230"/>
      <c r="AH85" s="60">
        <v>11</v>
      </c>
      <c r="AI85" s="7"/>
      <c r="AJ85" s="7"/>
      <c r="AK85" s="54"/>
      <c r="AL85" s="7"/>
      <c r="AM85" s="55"/>
      <c r="AN85" s="77"/>
      <c r="AO85" s="77"/>
      <c r="AP85" s="77"/>
      <c r="AQ85" s="77"/>
      <c r="AR85" s="77"/>
    </row>
    <row r="86" customHeight="1" spans="1:44">
      <c r="A86" s="7"/>
      <c r="B86" s="73"/>
      <c r="C86" s="167"/>
      <c r="D86" s="167"/>
      <c r="E86" s="7"/>
      <c r="F86" s="7"/>
      <c r="G86" s="7"/>
      <c r="H86" s="96"/>
      <c r="I86" s="222"/>
      <c r="J86" s="68"/>
      <c r="K86" s="33"/>
      <c r="L86" s="43"/>
      <c r="M86" s="148" t="s">
        <v>148</v>
      </c>
      <c r="N86" s="81"/>
      <c r="O86" s="49"/>
      <c r="P86" s="7"/>
      <c r="Q86" s="68"/>
      <c r="R86" s="13"/>
      <c r="S86" s="7"/>
      <c r="T86" s="7"/>
      <c r="U86" s="7"/>
      <c r="V86" s="7"/>
      <c r="W86" s="7"/>
      <c r="Y86" s="7"/>
      <c r="Z86" s="7"/>
      <c r="AA86" s="7"/>
      <c r="AB86" s="7"/>
      <c r="AC86" s="7"/>
      <c r="AD86" s="7"/>
      <c r="AE86" s="7"/>
      <c r="AF86" s="41"/>
      <c r="AG86" s="230"/>
      <c r="AH86" s="178">
        <v>13</v>
      </c>
      <c r="AI86" s="7"/>
      <c r="AJ86" s="7"/>
      <c r="AK86" s="54"/>
      <c r="AL86" s="7"/>
      <c r="AM86" s="55"/>
      <c r="AN86" s="77"/>
      <c r="AO86" s="77"/>
      <c r="AP86" s="77"/>
      <c r="AQ86" s="77"/>
      <c r="AR86" s="77"/>
    </row>
    <row r="87" customHeight="1" spans="1:44">
      <c r="A87" s="7"/>
      <c r="B87" s="73"/>
      <c r="C87" s="167"/>
      <c r="D87" s="167"/>
      <c r="E87" s="7"/>
      <c r="F87" s="7"/>
      <c r="G87" s="7"/>
      <c r="H87" s="96"/>
      <c r="I87" s="222"/>
      <c r="J87" s="68"/>
      <c r="K87" s="33"/>
      <c r="L87" s="79"/>
      <c r="M87" s="236" t="s">
        <v>149</v>
      </c>
      <c r="N87" s="81"/>
      <c r="O87" s="49"/>
      <c r="P87" s="7"/>
      <c r="Q87" s="58"/>
      <c r="R87" s="13"/>
      <c r="S87" s="7"/>
      <c r="T87" s="7"/>
      <c r="U87" s="7"/>
      <c r="V87" s="7"/>
      <c r="W87" s="7"/>
      <c r="Y87" s="7"/>
      <c r="Z87" s="7"/>
      <c r="AA87" s="7"/>
      <c r="AB87" s="7"/>
      <c r="AC87" s="7"/>
      <c r="AD87" s="7"/>
      <c r="AE87" s="7"/>
      <c r="AF87" s="41"/>
      <c r="AG87" s="230"/>
      <c r="AH87" s="178">
        <v>14</v>
      </c>
      <c r="AI87" s="7"/>
      <c r="AJ87" s="7"/>
      <c r="AK87" s="54"/>
      <c r="AL87" s="7"/>
      <c r="AM87" s="55"/>
      <c r="AN87" s="77"/>
      <c r="AO87" s="77"/>
      <c r="AP87" s="77"/>
      <c r="AQ87" s="77"/>
      <c r="AR87" s="77"/>
    </row>
    <row r="88" customHeight="1" spans="1:44">
      <c r="A88" s="7"/>
      <c r="B88" s="73"/>
      <c r="C88" s="167"/>
      <c r="D88" s="167"/>
      <c r="E88" s="7"/>
      <c r="F88" s="7"/>
      <c r="G88" s="7"/>
      <c r="H88" s="96"/>
      <c r="I88" s="222"/>
      <c r="J88" s="68"/>
      <c r="K88" s="33"/>
      <c r="L88" s="237" t="s">
        <v>150</v>
      </c>
      <c r="M88" s="53" t="s">
        <v>151</v>
      </c>
      <c r="N88" s="238" t="s">
        <v>152</v>
      </c>
      <c r="O88" s="61">
        <v>45992</v>
      </c>
      <c r="P88" s="64"/>
      <c r="Q88" s="101">
        <v>20</v>
      </c>
      <c r="R88" s="13"/>
      <c r="S88" s="7"/>
      <c r="T88" s="7"/>
      <c r="U88" s="7"/>
      <c r="V88" s="7"/>
      <c r="W88" s="7"/>
      <c r="Y88" s="7"/>
      <c r="Z88" s="7"/>
      <c r="AA88" s="7"/>
      <c r="AB88" s="7"/>
      <c r="AC88" s="7"/>
      <c r="AD88" s="7"/>
      <c r="AE88" s="7"/>
      <c r="AF88" s="41"/>
      <c r="AG88" s="230"/>
      <c r="AH88" s="178">
        <v>15</v>
      </c>
      <c r="AI88" s="7"/>
      <c r="AJ88" s="7"/>
      <c r="AK88" s="54"/>
      <c r="AL88" s="7"/>
      <c r="AM88" s="55"/>
      <c r="AN88" s="77"/>
      <c r="AO88" s="77"/>
      <c r="AP88" s="77"/>
      <c r="AQ88" s="77"/>
      <c r="AR88" s="77"/>
    </row>
    <row r="89" customHeight="1" spans="1:44">
      <c r="A89" s="7"/>
      <c r="B89" s="73"/>
      <c r="C89" s="167"/>
      <c r="D89" s="167"/>
      <c r="E89" s="7"/>
      <c r="F89" s="7"/>
      <c r="G89" s="7"/>
      <c r="H89" s="96"/>
      <c r="I89" s="222"/>
      <c r="J89" s="68"/>
      <c r="K89" s="33"/>
      <c r="L89" s="43"/>
      <c r="M89" s="53" t="s">
        <v>153</v>
      </c>
      <c r="N89" s="7" t="s">
        <v>152</v>
      </c>
      <c r="O89" s="61">
        <v>45995</v>
      </c>
      <c r="P89" s="64"/>
      <c r="Q89" s="101">
        <v>20</v>
      </c>
      <c r="R89" s="13"/>
      <c r="S89" s="7"/>
      <c r="T89" s="7"/>
      <c r="U89" s="7"/>
      <c r="V89" s="7"/>
      <c r="W89" s="7"/>
      <c r="Y89" s="7"/>
      <c r="Z89" s="7"/>
      <c r="AA89" s="7"/>
      <c r="AB89" s="7"/>
      <c r="AC89" s="7"/>
      <c r="AD89" s="7"/>
      <c r="AE89" s="7"/>
      <c r="AF89" s="41"/>
      <c r="AG89" s="230"/>
      <c r="AH89" s="178">
        <v>16</v>
      </c>
      <c r="AI89" s="7"/>
      <c r="AK89" s="54"/>
      <c r="AL89" s="7"/>
      <c r="AM89" s="55"/>
      <c r="AN89" s="77"/>
      <c r="AO89" s="77"/>
      <c r="AP89" s="77"/>
      <c r="AQ89" s="77"/>
      <c r="AR89" s="77"/>
    </row>
    <row r="90" customHeight="1" spans="1:44">
      <c r="A90" s="7"/>
      <c r="B90" s="73"/>
      <c r="C90" s="167"/>
      <c r="D90" s="167"/>
      <c r="E90" s="7"/>
      <c r="F90" s="7"/>
      <c r="G90" s="7"/>
      <c r="H90" s="96"/>
      <c r="I90" s="222"/>
      <c r="J90" s="68"/>
      <c r="K90" s="33"/>
      <c r="L90" s="43"/>
      <c r="M90" s="53" t="s">
        <v>154</v>
      </c>
      <c r="N90" s="238"/>
      <c r="O90" s="61"/>
      <c r="P90" s="64"/>
      <c r="Q90" s="101"/>
      <c r="R90" s="13"/>
      <c r="S90" s="7"/>
      <c r="T90" s="7"/>
      <c r="U90" s="7"/>
      <c r="V90" s="7"/>
      <c r="W90" s="7"/>
      <c r="Y90" s="7"/>
      <c r="Z90" s="7"/>
      <c r="AA90" s="7"/>
      <c r="AB90" s="7"/>
      <c r="AC90" s="7"/>
      <c r="AD90" s="7"/>
      <c r="AE90" s="7"/>
      <c r="AF90" s="41"/>
      <c r="AG90" s="230"/>
      <c r="AH90" s="178">
        <v>17</v>
      </c>
      <c r="AI90" s="7"/>
      <c r="AJ90" s="7"/>
      <c r="AK90" s="54"/>
      <c r="AL90" s="7"/>
      <c r="AM90" s="55"/>
      <c r="AN90" s="77"/>
      <c r="AO90" s="77"/>
      <c r="AP90" s="77"/>
      <c r="AQ90" s="77"/>
      <c r="AR90" s="77"/>
    </row>
    <row r="91" customHeight="1" spans="1:44">
      <c r="A91" s="7"/>
      <c r="B91" s="73"/>
      <c r="C91" s="167"/>
      <c r="D91" s="96"/>
      <c r="E91" s="7"/>
      <c r="F91" s="7"/>
      <c r="G91" s="7"/>
      <c r="H91" s="96"/>
      <c r="I91" s="222"/>
      <c r="J91" s="68"/>
      <c r="K91" s="33"/>
      <c r="L91" s="43"/>
      <c r="M91" s="53" t="s">
        <v>155</v>
      </c>
      <c r="N91" s="7"/>
      <c r="O91" s="61"/>
      <c r="P91" s="64"/>
      <c r="Q91" s="101"/>
      <c r="R91" s="13"/>
      <c r="S91" s="7"/>
      <c r="T91" s="7"/>
      <c r="U91" s="7"/>
      <c r="V91" s="7"/>
      <c r="W91" s="7"/>
      <c r="Y91" s="7"/>
      <c r="Z91" s="7"/>
      <c r="AA91" s="7"/>
      <c r="AB91" s="7"/>
      <c r="AC91" s="7"/>
      <c r="AD91" s="7"/>
      <c r="AE91" s="7"/>
      <c r="AF91" s="41"/>
      <c r="AG91" s="230"/>
      <c r="AH91" s="60">
        <v>18</v>
      </c>
      <c r="AI91" s="7"/>
      <c r="AJ91" s="7"/>
      <c r="AK91" s="54"/>
      <c r="AL91" s="7"/>
      <c r="AM91" s="55"/>
      <c r="AN91" s="77"/>
      <c r="AO91" s="77"/>
      <c r="AP91" s="77"/>
      <c r="AQ91" s="77"/>
      <c r="AR91" s="77"/>
    </row>
    <row r="92" customHeight="1" spans="1:44">
      <c r="A92" s="7"/>
      <c r="B92" s="73"/>
      <c r="C92" s="167"/>
      <c r="D92" s="96"/>
      <c r="E92" s="7"/>
      <c r="F92" s="7"/>
      <c r="G92" s="7"/>
      <c r="H92" s="96"/>
      <c r="I92" s="222"/>
      <c r="J92" s="68"/>
      <c r="K92" s="33"/>
      <c r="L92" s="43"/>
      <c r="M92" s="53" t="s">
        <v>156</v>
      </c>
      <c r="N92" s="64"/>
      <c r="O92" s="61"/>
      <c r="P92" s="64"/>
      <c r="Q92" s="101"/>
      <c r="R92" s="13"/>
      <c r="S92" s="7"/>
      <c r="T92" s="7"/>
      <c r="U92" s="7"/>
      <c r="V92" s="7"/>
      <c r="W92" s="7"/>
      <c r="Y92" s="7"/>
      <c r="Z92" s="7"/>
      <c r="AA92" s="7"/>
      <c r="AB92" s="7"/>
      <c r="AC92" s="7"/>
      <c r="AD92" s="7"/>
      <c r="AE92" s="7"/>
      <c r="AF92" s="41"/>
      <c r="AG92" s="230"/>
      <c r="AH92" s="60">
        <v>19</v>
      </c>
      <c r="AI92" s="7"/>
      <c r="AJ92" s="7"/>
      <c r="AK92" s="54"/>
      <c r="AL92" s="7"/>
      <c r="AM92" s="55"/>
      <c r="AN92" s="77"/>
      <c r="AO92" s="77"/>
      <c r="AP92" s="77"/>
      <c r="AQ92" s="77"/>
      <c r="AR92" s="77"/>
    </row>
    <row r="93" customHeight="1" spans="1:44">
      <c r="A93" s="7"/>
      <c r="B93" s="73"/>
      <c r="C93" s="167"/>
      <c r="D93" s="96"/>
      <c r="E93" s="7"/>
      <c r="F93" s="7"/>
      <c r="G93" s="7"/>
      <c r="H93" s="96"/>
      <c r="I93" s="222"/>
      <c r="J93" s="68"/>
      <c r="K93" s="33"/>
      <c r="L93" s="43"/>
      <c r="M93" s="53" t="s">
        <v>157</v>
      </c>
      <c r="N93" s="64"/>
      <c r="O93" s="61"/>
      <c r="P93" s="64"/>
      <c r="Q93" s="101"/>
      <c r="R93" s="13"/>
      <c r="S93" s="7"/>
      <c r="T93" s="7"/>
      <c r="U93" s="7"/>
      <c r="V93" s="7"/>
      <c r="W93" s="7"/>
      <c r="Y93" s="7"/>
      <c r="Z93" s="7"/>
      <c r="AA93" s="7"/>
      <c r="AB93" s="7"/>
      <c r="AC93" s="7"/>
      <c r="AD93" s="7"/>
      <c r="AE93" s="7"/>
      <c r="AF93" s="41"/>
      <c r="AG93" s="230"/>
      <c r="AH93" s="60">
        <v>20</v>
      </c>
      <c r="AI93" s="7"/>
      <c r="AJ93" s="7"/>
      <c r="AK93" s="54"/>
      <c r="AL93" s="7"/>
      <c r="AM93" s="55"/>
      <c r="AN93" s="77"/>
      <c r="AO93" s="77"/>
      <c r="AP93" s="77"/>
      <c r="AQ93" s="77"/>
      <c r="AR93" s="77"/>
    </row>
    <row r="94" customHeight="1" spans="1:44">
      <c r="A94" s="7"/>
      <c r="B94" s="73"/>
      <c r="C94" s="167"/>
      <c r="D94" s="96"/>
      <c r="E94" s="7"/>
      <c r="F94" s="7"/>
      <c r="G94" s="7"/>
      <c r="H94" s="96"/>
      <c r="I94" s="222"/>
      <c r="J94" s="68"/>
      <c r="K94" s="33"/>
      <c r="L94" s="43"/>
      <c r="M94" s="53" t="s">
        <v>158</v>
      </c>
      <c r="N94" s="64"/>
      <c r="O94" s="61"/>
      <c r="P94" s="64"/>
      <c r="Q94" s="101"/>
      <c r="R94" s="13"/>
      <c r="S94" s="7"/>
      <c r="T94" s="7"/>
      <c r="U94" s="7"/>
      <c r="V94" s="7"/>
      <c r="W94" s="7"/>
      <c r="Y94" s="7"/>
      <c r="Z94" s="7"/>
      <c r="AA94" s="7"/>
      <c r="AB94" s="7"/>
      <c r="AC94" s="7"/>
      <c r="AD94" s="7"/>
      <c r="AE94" s="7"/>
      <c r="AF94" s="41"/>
      <c r="AG94" s="230"/>
      <c r="AH94" s="60">
        <v>21</v>
      </c>
      <c r="AI94" s="7"/>
      <c r="AJ94" s="7"/>
      <c r="AK94" s="54"/>
      <c r="AL94" s="7"/>
      <c r="AM94" s="55"/>
      <c r="AN94" s="77"/>
      <c r="AO94" s="77"/>
      <c r="AP94" s="77"/>
      <c r="AQ94" s="77"/>
      <c r="AR94" s="77"/>
    </row>
    <row r="95" customHeight="1" spans="1:44">
      <c r="A95" s="7"/>
      <c r="B95" s="49"/>
      <c r="C95" s="167"/>
      <c r="D95" s="96"/>
      <c r="E95" s="7"/>
      <c r="F95" s="7"/>
      <c r="G95" s="7"/>
      <c r="H95" s="96"/>
      <c r="I95" s="222"/>
      <c r="J95" s="96"/>
      <c r="K95" s="33"/>
      <c r="L95" s="43"/>
      <c r="M95" s="53" t="s">
        <v>159</v>
      </c>
      <c r="N95" s="7"/>
      <c r="O95" s="61"/>
      <c r="P95" s="64"/>
      <c r="Q95" s="101"/>
      <c r="R95" s="13"/>
      <c r="S95" s="7"/>
      <c r="T95" s="7"/>
      <c r="U95" s="7"/>
      <c r="V95" s="7"/>
      <c r="W95" s="7"/>
      <c r="Y95" s="7"/>
      <c r="Z95" s="7"/>
      <c r="AA95" s="7"/>
      <c r="AB95" s="7"/>
      <c r="AC95" s="7"/>
      <c r="AD95" s="7"/>
      <c r="AE95" s="7"/>
      <c r="AF95" s="41"/>
      <c r="AG95" s="230"/>
      <c r="AH95" s="60">
        <v>22</v>
      </c>
      <c r="AI95" s="7"/>
      <c r="AJ95" s="7"/>
      <c r="AK95" s="54"/>
      <c r="AL95" s="7"/>
      <c r="AM95" s="55"/>
      <c r="AN95" s="77"/>
      <c r="AO95" s="77"/>
      <c r="AP95" s="77"/>
      <c r="AQ95" s="77"/>
      <c r="AR95" s="77"/>
    </row>
    <row r="96" customHeight="1" spans="1:44">
      <c r="A96" s="7"/>
      <c r="B96" s="7"/>
      <c r="C96" s="167"/>
      <c r="D96" s="7"/>
      <c r="E96" s="7"/>
      <c r="F96" s="7"/>
      <c r="G96" s="7"/>
      <c r="H96" s="7"/>
      <c r="I96" s="7"/>
      <c r="J96" s="7"/>
      <c r="K96" s="225"/>
      <c r="L96" s="43"/>
      <c r="M96" s="53" t="s">
        <v>160</v>
      </c>
      <c r="N96" s="64"/>
      <c r="O96" s="61"/>
      <c r="P96" s="64"/>
      <c r="Q96" s="101"/>
      <c r="R96" s="13"/>
      <c r="S96" s="7"/>
      <c r="T96" s="7"/>
      <c r="U96" s="7"/>
      <c r="V96" s="7"/>
      <c r="W96" s="7"/>
      <c r="Y96" s="7"/>
      <c r="Z96" s="7"/>
      <c r="AA96" s="7"/>
      <c r="AB96" s="7"/>
      <c r="AC96" s="7"/>
      <c r="AD96" s="7"/>
      <c r="AE96" s="7"/>
      <c r="AF96" s="41"/>
      <c r="AG96" s="230"/>
      <c r="AH96" s="60">
        <v>23</v>
      </c>
      <c r="AI96" s="7"/>
      <c r="AJ96" s="7"/>
      <c r="AK96" s="54"/>
      <c r="AL96" s="7"/>
      <c r="AM96" s="55"/>
      <c r="AN96" s="77"/>
      <c r="AO96" s="77"/>
      <c r="AP96" s="77"/>
      <c r="AQ96" s="77"/>
      <c r="AR96" s="77"/>
    </row>
    <row r="97" customHeight="1" spans="1:44">
      <c r="A97" s="7"/>
      <c r="B97" s="7"/>
      <c r="C97" s="167"/>
      <c r="D97" s="7"/>
      <c r="E97" s="7"/>
      <c r="F97" s="7"/>
      <c r="G97" s="7"/>
      <c r="H97" s="7"/>
      <c r="I97" s="7"/>
      <c r="J97" s="7"/>
      <c r="K97" s="225"/>
      <c r="L97" s="43"/>
      <c r="M97" s="53" t="s">
        <v>161</v>
      </c>
      <c r="N97" s="7"/>
      <c r="O97" s="61"/>
      <c r="P97" s="64"/>
      <c r="Q97" s="101"/>
      <c r="R97" s="13"/>
      <c r="S97" s="7"/>
      <c r="T97" s="7"/>
      <c r="U97" s="7"/>
      <c r="V97" s="7"/>
      <c r="W97" s="7"/>
      <c r="Y97" s="7"/>
      <c r="Z97" s="7"/>
      <c r="AA97" s="7"/>
      <c r="AB97" s="7"/>
      <c r="AC97" s="7"/>
      <c r="AD97" s="7"/>
      <c r="AE97" s="7"/>
      <c r="AF97" s="41"/>
      <c r="AG97" s="230"/>
      <c r="AH97" s="60">
        <v>24</v>
      </c>
      <c r="AI97" s="7"/>
      <c r="AJ97" s="7"/>
      <c r="AK97" s="54"/>
      <c r="AL97" s="7"/>
      <c r="AM97" s="55"/>
      <c r="AN97" s="77"/>
      <c r="AO97" s="77"/>
      <c r="AP97" s="77"/>
      <c r="AQ97" s="77"/>
      <c r="AR97" s="77"/>
    </row>
    <row r="98" customHeight="1" spans="1:44">
      <c r="A98" s="7"/>
      <c r="B98" s="7"/>
      <c r="C98" s="167"/>
      <c r="D98" s="7"/>
      <c r="E98" s="7"/>
      <c r="F98" s="7"/>
      <c r="G98" s="7"/>
      <c r="H98" s="7"/>
      <c r="I98" s="7"/>
      <c r="J98" s="7"/>
      <c r="K98" s="225"/>
      <c r="L98" s="43"/>
      <c r="M98" s="53" t="s">
        <v>162</v>
      </c>
      <c r="N98" s="7"/>
      <c r="O98" s="61"/>
      <c r="P98" s="64"/>
      <c r="Q98" s="101"/>
      <c r="R98" s="13"/>
      <c r="S98" s="7"/>
      <c r="T98" s="7"/>
      <c r="U98" s="7"/>
      <c r="V98" s="7"/>
      <c r="W98" s="7"/>
      <c r="Y98" s="7"/>
      <c r="Z98" s="7"/>
      <c r="AA98" s="7"/>
      <c r="AB98" s="7"/>
      <c r="AC98" s="7"/>
      <c r="AD98" s="7"/>
      <c r="AE98" s="7"/>
      <c r="AF98" s="29"/>
      <c r="AG98" s="230"/>
      <c r="AH98" s="60">
        <v>25</v>
      </c>
      <c r="AI98" s="7"/>
      <c r="AJ98" s="7"/>
      <c r="AK98" s="54"/>
      <c r="AL98" s="7"/>
      <c r="AM98" s="55"/>
      <c r="AN98" s="77"/>
      <c r="AO98" s="77"/>
      <c r="AP98" s="77"/>
      <c r="AQ98" s="77"/>
      <c r="AR98" s="77"/>
    </row>
    <row r="99" customHeight="1" spans="1:44">
      <c r="A99" s="7"/>
      <c r="B99" s="7"/>
      <c r="C99" s="167"/>
      <c r="D99" s="7"/>
      <c r="E99" s="7"/>
      <c r="F99" s="7"/>
      <c r="G99" s="7"/>
      <c r="H99" s="7"/>
      <c r="I99" s="7"/>
      <c r="J99" s="7"/>
      <c r="K99" s="33"/>
      <c r="L99" s="43"/>
      <c r="M99" s="53" t="s">
        <v>163</v>
      </c>
      <c r="N99" s="7"/>
      <c r="O99" s="7"/>
      <c r="P99" s="7"/>
      <c r="Q99" s="7"/>
      <c r="R99" s="13"/>
      <c r="S99" s="96"/>
      <c r="T99" s="96"/>
      <c r="U99" s="96"/>
      <c r="V99" s="96"/>
      <c r="W99" s="96"/>
      <c r="Y99" s="7"/>
      <c r="Z99" s="7"/>
      <c r="AA99" s="7"/>
      <c r="AB99" s="7"/>
      <c r="AC99" s="7"/>
      <c r="AD99" s="7"/>
      <c r="AE99" s="7"/>
      <c r="AF99" s="29"/>
      <c r="AG99" s="230"/>
      <c r="AH99" s="60">
        <v>26</v>
      </c>
      <c r="AI99" s="7"/>
      <c r="AJ99" s="7"/>
      <c r="AK99" s="54"/>
      <c r="AL99" s="7"/>
      <c r="AM99" s="55"/>
      <c r="AN99" s="77"/>
      <c r="AO99" s="77"/>
      <c r="AP99" s="77"/>
      <c r="AQ99" s="77"/>
      <c r="AR99" s="77"/>
    </row>
    <row r="100" customHeight="1" spans="1:44">
      <c r="A100" s="7"/>
      <c r="B100" s="7"/>
      <c r="C100" s="167"/>
      <c r="D100" s="7"/>
      <c r="E100" s="7"/>
      <c r="F100" s="7"/>
      <c r="G100" s="7"/>
      <c r="H100" s="7"/>
      <c r="I100" s="7"/>
      <c r="J100" s="7"/>
      <c r="K100" s="33"/>
      <c r="L100" s="43"/>
      <c r="M100" s="53" t="s">
        <v>164</v>
      </c>
      <c r="N100" s="7"/>
      <c r="O100" s="49"/>
      <c r="P100" s="64"/>
      <c r="Q100" s="68"/>
      <c r="R100" s="13"/>
      <c r="S100" s="96"/>
      <c r="T100" s="96"/>
      <c r="U100" s="96"/>
      <c r="V100" s="96"/>
      <c r="W100" s="96"/>
      <c r="Y100" s="7"/>
      <c r="Z100" s="7"/>
      <c r="AA100" s="7"/>
      <c r="AB100" s="7"/>
      <c r="AC100" s="7"/>
      <c r="AD100" s="7"/>
      <c r="AE100" s="7"/>
      <c r="AF100" s="29"/>
      <c r="AG100" s="239" t="s">
        <v>165</v>
      </c>
      <c r="AH100" s="60">
        <v>27</v>
      </c>
      <c r="AI100" s="7"/>
      <c r="AJ100" s="7"/>
      <c r="AK100" s="54"/>
      <c r="AL100" s="7"/>
      <c r="AM100" s="55"/>
      <c r="AN100" s="77"/>
      <c r="AO100" s="77"/>
      <c r="AP100" s="77"/>
      <c r="AQ100" s="77"/>
      <c r="AR100" s="77"/>
    </row>
    <row r="101" customHeight="1" spans="1:44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33"/>
      <c r="L101" s="56"/>
      <c r="M101" s="7"/>
      <c r="N101" s="7"/>
      <c r="O101" s="56"/>
      <c r="P101" s="240" t="s">
        <v>96</v>
      </c>
      <c r="Q101" s="124">
        <f>SUMIF(P4:P100,"Efectivo",Q4:Q100)</f>
        <v>0</v>
      </c>
      <c r="R101" s="13"/>
      <c r="S101" s="96"/>
      <c r="T101" s="96"/>
      <c r="U101" s="96"/>
      <c r="V101" s="96"/>
      <c r="W101" s="96"/>
      <c r="Y101" s="7"/>
      <c r="Z101" s="7"/>
      <c r="AA101" s="7"/>
      <c r="AB101" s="7"/>
      <c r="AC101" s="7"/>
      <c r="AD101" s="7"/>
      <c r="AE101" s="7"/>
      <c r="AF101" s="29"/>
      <c r="AG101" s="230"/>
      <c r="AH101" s="60">
        <v>28</v>
      </c>
      <c r="AI101" s="7"/>
      <c r="AJ101" s="7"/>
      <c r="AK101" s="54"/>
      <c r="AL101" s="7"/>
      <c r="AM101" s="55"/>
      <c r="AN101" s="77"/>
      <c r="AO101" s="77"/>
      <c r="AP101" s="77"/>
      <c r="AQ101" s="77"/>
      <c r="AR101" s="77"/>
    </row>
    <row r="102" customHeight="1" spans="1:44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225"/>
      <c r="L102" s="56"/>
      <c r="M102" s="7"/>
      <c r="N102" s="7"/>
      <c r="O102" s="56"/>
      <c r="P102" s="127" t="s">
        <v>99</v>
      </c>
      <c r="Q102" s="128">
        <f>SUMIF(P4:P100,"Pichincha",Q4:Q100)</f>
        <v>0</v>
      </c>
      <c r="R102" s="13"/>
      <c r="S102" s="96"/>
      <c r="T102" s="96"/>
      <c r="U102" s="96"/>
      <c r="V102" s="96"/>
      <c r="W102" s="96"/>
      <c r="Y102" s="7"/>
      <c r="Z102" s="7"/>
      <c r="AA102" s="7"/>
      <c r="AB102" s="7"/>
      <c r="AC102" s="7"/>
      <c r="AD102" s="7"/>
      <c r="AE102" s="7"/>
      <c r="AF102" s="29"/>
      <c r="AG102" s="230"/>
      <c r="AH102" s="181">
        <v>1</v>
      </c>
      <c r="AI102" s="64"/>
      <c r="AJ102" s="64"/>
      <c r="AK102" s="61"/>
      <c r="AL102" s="64"/>
      <c r="AM102" s="115"/>
      <c r="AN102" s="77"/>
      <c r="AO102" s="77"/>
      <c r="AP102" s="77"/>
      <c r="AQ102" s="77"/>
      <c r="AR102" s="77"/>
    </row>
    <row r="103" customHeight="1" spans="1:44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33"/>
      <c r="L103" s="34"/>
      <c r="M103" s="1"/>
      <c r="N103" s="1"/>
      <c r="O103" s="34"/>
      <c r="P103" s="127" t="s">
        <v>102</v>
      </c>
      <c r="Q103" s="128">
        <f>SUMIF(P4:P100,"JEP",Q4:Q100)</f>
        <v>0</v>
      </c>
      <c r="R103" s="13"/>
      <c r="S103" s="96"/>
      <c r="T103" s="96"/>
      <c r="U103" s="96"/>
      <c r="V103" s="96"/>
      <c r="W103" s="96"/>
      <c r="Y103" s="7"/>
      <c r="Z103" s="7"/>
      <c r="AA103" s="7"/>
      <c r="AB103" s="7"/>
      <c r="AC103" s="7"/>
      <c r="AD103" s="7"/>
      <c r="AE103" s="7"/>
      <c r="AF103" s="29"/>
      <c r="AG103" s="230"/>
      <c r="AH103" s="60">
        <v>2</v>
      </c>
      <c r="AI103" s="7"/>
      <c r="AJ103" s="7"/>
      <c r="AK103" s="54"/>
      <c r="AL103" s="7"/>
      <c r="AM103" s="55"/>
      <c r="AN103" s="77"/>
      <c r="AO103" s="77"/>
      <c r="AP103" s="77"/>
      <c r="AQ103" s="77"/>
      <c r="AR103" s="77"/>
    </row>
    <row r="104" customHeight="1" spans="1:4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33"/>
      <c r="L104" s="120"/>
      <c r="M104" s="120"/>
      <c r="N104" s="121" t="s">
        <v>68</v>
      </c>
      <c r="O104" s="120"/>
      <c r="P104" s="120"/>
      <c r="Q104" s="144"/>
      <c r="R104" s="13"/>
      <c r="S104" s="96"/>
      <c r="T104" s="96"/>
      <c r="U104" s="96"/>
      <c r="V104" s="96"/>
      <c r="W104" s="96"/>
      <c r="Y104" s="7"/>
      <c r="Z104" s="7"/>
      <c r="AA104" s="7"/>
      <c r="AB104" s="7"/>
      <c r="AC104" s="7"/>
      <c r="AD104" s="7"/>
      <c r="AE104" s="7"/>
      <c r="AF104" s="29"/>
      <c r="AG104" s="230"/>
      <c r="AH104" s="60">
        <v>3</v>
      </c>
      <c r="AI104" s="227"/>
      <c r="AK104" s="54"/>
      <c r="AL104" s="7"/>
      <c r="AM104" s="101"/>
      <c r="AN104" s="74"/>
      <c r="AO104" s="74"/>
      <c r="AP104" s="74"/>
      <c r="AQ104" s="74"/>
      <c r="AR104" s="74"/>
    </row>
    <row r="105" customHeight="1" spans="1:44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33"/>
      <c r="L105" s="34"/>
      <c r="M105" s="31" t="s">
        <v>18</v>
      </c>
      <c r="N105" s="31" t="s">
        <v>166</v>
      </c>
      <c r="O105" s="31" t="s">
        <v>13</v>
      </c>
      <c r="P105" s="31" t="s">
        <v>14</v>
      </c>
      <c r="Q105" s="111" t="s">
        <v>15</v>
      </c>
      <c r="R105" s="13"/>
      <c r="S105" s="96"/>
      <c r="T105" s="96"/>
      <c r="U105" s="96"/>
      <c r="V105" s="96"/>
      <c r="W105" s="96"/>
      <c r="Y105" s="7"/>
      <c r="Z105" s="7"/>
      <c r="AA105" s="7"/>
      <c r="AB105" s="7"/>
      <c r="AC105" s="7"/>
      <c r="AD105" s="7"/>
      <c r="AE105" s="7"/>
      <c r="AF105" s="29"/>
      <c r="AG105" s="230"/>
      <c r="AH105" s="60">
        <v>4</v>
      </c>
      <c r="AI105" s="7"/>
      <c r="AJ105" s="7"/>
      <c r="AK105" s="54"/>
      <c r="AL105" s="7"/>
      <c r="AM105" s="101"/>
      <c r="AN105" s="74"/>
      <c r="AO105" s="74"/>
      <c r="AP105" s="74"/>
      <c r="AQ105" s="74"/>
      <c r="AR105" s="74"/>
    </row>
    <row r="106" customHeight="1" spans="1:44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33"/>
      <c r="L106" s="152" t="s">
        <v>167</v>
      </c>
      <c r="M106" s="69">
        <v>1</v>
      </c>
      <c r="N106" s="47"/>
      <c r="O106" s="135"/>
      <c r="P106" s="47"/>
      <c r="Q106" s="101"/>
      <c r="R106" s="13"/>
      <c r="S106" s="96"/>
      <c r="T106" s="96"/>
      <c r="U106" s="96"/>
      <c r="V106" s="96"/>
      <c r="W106" s="96"/>
      <c r="Y106" s="7"/>
      <c r="Z106" s="7"/>
      <c r="AA106" s="7"/>
      <c r="AB106" s="7"/>
      <c r="AC106" s="7"/>
      <c r="AD106" s="7"/>
      <c r="AE106" s="7"/>
      <c r="AF106" s="29"/>
      <c r="AG106" s="241"/>
      <c r="AH106" s="60">
        <v>5</v>
      </c>
      <c r="AI106" s="7"/>
      <c r="AK106" s="54"/>
      <c r="AL106" s="7"/>
      <c r="AM106" s="101"/>
      <c r="AN106" s="74"/>
      <c r="AO106" s="74"/>
      <c r="AP106" s="74"/>
      <c r="AQ106" s="74"/>
      <c r="AR106" s="74"/>
    </row>
    <row r="107" customHeight="1" spans="1:44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33"/>
      <c r="L107" s="43"/>
      <c r="M107" s="69">
        <v>2</v>
      </c>
      <c r="N107" s="47"/>
      <c r="O107" s="135"/>
      <c r="P107" s="47"/>
      <c r="Q107" s="101"/>
      <c r="R107" s="13"/>
      <c r="S107" s="96"/>
      <c r="T107" s="96"/>
      <c r="U107" s="96"/>
      <c r="V107" s="96"/>
      <c r="W107" s="96"/>
      <c r="Y107" s="7"/>
      <c r="Z107" s="7"/>
      <c r="AA107" s="7"/>
      <c r="AB107" s="7"/>
      <c r="AC107" s="7"/>
      <c r="AD107" s="7"/>
      <c r="AE107" s="7"/>
      <c r="AF107" s="7"/>
      <c r="AG107" s="228" t="s">
        <v>168</v>
      </c>
      <c r="AH107" s="60">
        <v>6</v>
      </c>
      <c r="AI107" s="7"/>
      <c r="AK107" s="54"/>
      <c r="AL107" s="7"/>
      <c r="AM107" s="101"/>
      <c r="AN107" s="74"/>
      <c r="AO107" s="74"/>
      <c r="AP107" s="74"/>
      <c r="AQ107" s="74"/>
      <c r="AR107" s="74"/>
    </row>
    <row r="108" customHeight="1" spans="1:44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33"/>
      <c r="L108" s="43"/>
      <c r="M108" s="69">
        <v>3</v>
      </c>
      <c r="N108" s="47"/>
      <c r="O108" s="135"/>
      <c r="P108" s="47"/>
      <c r="Q108" s="101"/>
      <c r="R108" s="13"/>
      <c r="S108" s="7"/>
      <c r="T108" s="7"/>
      <c r="U108" s="7"/>
      <c r="V108" s="7"/>
      <c r="W108" s="7"/>
      <c r="Y108" s="7"/>
      <c r="Z108" s="7"/>
      <c r="AA108" s="7"/>
      <c r="AB108" s="7"/>
      <c r="AC108" s="7"/>
      <c r="AD108" s="7"/>
      <c r="AE108" s="7"/>
      <c r="AF108" s="7"/>
      <c r="AG108" s="230"/>
      <c r="AH108" s="181">
        <v>1</v>
      </c>
      <c r="AI108" s="64"/>
      <c r="AJ108" s="64"/>
      <c r="AK108" s="61"/>
      <c r="AL108" s="64"/>
      <c r="AM108" s="115"/>
      <c r="AN108" s="77"/>
      <c r="AO108" s="77"/>
      <c r="AP108" s="77"/>
      <c r="AQ108" s="77"/>
      <c r="AR108" s="77"/>
    </row>
    <row r="109" customHeight="1" spans="1:44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33"/>
      <c r="L109" s="43"/>
      <c r="M109" s="69">
        <v>4</v>
      </c>
      <c r="N109" s="7"/>
      <c r="O109" s="73"/>
      <c r="P109" s="7"/>
      <c r="Q109" s="68"/>
      <c r="R109" s="13"/>
      <c r="S109" s="7"/>
      <c r="T109" s="7"/>
      <c r="U109" s="7"/>
      <c r="V109" s="7"/>
      <c r="W109" s="7"/>
      <c r="Y109" s="7"/>
      <c r="Z109" s="7"/>
      <c r="AA109" s="7"/>
      <c r="AB109" s="7"/>
      <c r="AC109" s="7"/>
      <c r="AD109" s="7"/>
      <c r="AE109" s="7"/>
      <c r="AF109" s="7"/>
      <c r="AG109" s="230"/>
      <c r="AH109" s="60">
        <v>2</v>
      </c>
      <c r="AI109" s="7"/>
      <c r="AJ109" s="7"/>
      <c r="AK109" s="54"/>
      <c r="AL109" s="7"/>
      <c r="AM109" s="55"/>
      <c r="AN109" s="77"/>
      <c r="AO109" s="77"/>
      <c r="AP109" s="77"/>
      <c r="AQ109" s="77"/>
      <c r="AR109" s="77"/>
    </row>
    <row r="110" customHeight="1" spans="1:44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33"/>
      <c r="L110" s="43"/>
      <c r="M110" s="69">
        <v>5</v>
      </c>
      <c r="N110" s="7"/>
      <c r="O110" s="49"/>
      <c r="P110" s="7"/>
      <c r="Q110" s="68"/>
      <c r="R110" s="13"/>
      <c r="S110" s="7"/>
      <c r="T110" s="7"/>
      <c r="U110" s="7"/>
      <c r="V110" s="7"/>
      <c r="W110" s="7"/>
      <c r="Y110" s="7"/>
      <c r="Z110" s="7"/>
      <c r="AA110" s="7"/>
      <c r="AB110" s="7"/>
      <c r="AC110" s="7"/>
      <c r="AD110" s="7"/>
      <c r="AE110" s="7"/>
      <c r="AF110" s="7"/>
      <c r="AG110" s="230"/>
      <c r="AH110" s="60">
        <v>3</v>
      </c>
      <c r="AI110" s="7"/>
      <c r="AJ110" s="7"/>
      <c r="AK110" s="54"/>
      <c r="AL110" s="7"/>
      <c r="AM110" s="242"/>
      <c r="AN110" s="60"/>
      <c r="AO110" s="60"/>
      <c r="AP110" s="60"/>
      <c r="AQ110" s="60"/>
      <c r="AR110" s="60"/>
    </row>
    <row r="111" customHeight="1" spans="1:44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33"/>
      <c r="L111" s="43"/>
      <c r="M111" s="69">
        <v>6</v>
      </c>
      <c r="N111" s="7"/>
      <c r="O111" s="49"/>
      <c r="P111" s="7"/>
      <c r="Q111" s="68"/>
      <c r="R111" s="13"/>
      <c r="S111" s="7"/>
      <c r="T111" s="7"/>
      <c r="U111" s="7"/>
      <c r="V111" s="7"/>
      <c r="W111" s="7"/>
      <c r="Y111" s="7"/>
      <c r="Z111" s="7"/>
      <c r="AA111" s="7"/>
      <c r="AB111" s="7"/>
      <c r="AC111" s="7"/>
      <c r="AD111" s="7"/>
      <c r="AE111" s="7"/>
      <c r="AF111" s="7"/>
      <c r="AG111" s="230"/>
      <c r="AH111" s="60">
        <v>4</v>
      </c>
      <c r="AI111" s="7"/>
      <c r="AJ111" s="7"/>
      <c r="AK111" s="54"/>
      <c r="AL111" s="7"/>
      <c r="AM111" s="55"/>
      <c r="AN111" s="77"/>
      <c r="AO111" s="77"/>
      <c r="AP111" s="77"/>
      <c r="AQ111" s="77"/>
      <c r="AR111" s="77"/>
    </row>
    <row r="112" customHeight="1" spans="1:44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33"/>
      <c r="L112" s="43"/>
      <c r="M112" s="69">
        <v>7</v>
      </c>
      <c r="N112" s="7"/>
      <c r="O112" s="49"/>
      <c r="P112" s="7"/>
      <c r="Q112" s="68"/>
      <c r="R112" s="13"/>
      <c r="S112" s="7"/>
      <c r="T112" s="7"/>
      <c r="U112" s="7"/>
      <c r="V112" s="7"/>
      <c r="W112" s="7"/>
      <c r="Y112" s="7"/>
      <c r="Z112" s="7"/>
      <c r="AA112" s="7"/>
      <c r="AB112" s="7"/>
      <c r="AC112" s="7"/>
      <c r="AD112" s="7"/>
      <c r="AE112" s="7"/>
      <c r="AF112" s="7"/>
      <c r="AG112" s="230"/>
      <c r="AH112" s="60">
        <v>5</v>
      </c>
      <c r="AI112" s="7"/>
      <c r="AJ112" s="7"/>
      <c r="AK112" s="54"/>
      <c r="AL112" s="7"/>
      <c r="AM112" s="55"/>
      <c r="AN112" s="77"/>
      <c r="AO112" s="77"/>
      <c r="AP112" s="77"/>
      <c r="AQ112" s="77"/>
      <c r="AR112" s="77"/>
    </row>
    <row r="113" customHeight="1" spans="1:44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33"/>
      <c r="L113" s="43"/>
      <c r="M113" s="69">
        <v>8</v>
      </c>
      <c r="N113" s="7"/>
      <c r="O113" s="49"/>
      <c r="P113" s="7"/>
      <c r="Q113" s="68"/>
      <c r="R113" s="13"/>
      <c r="S113" s="7"/>
      <c r="T113" s="7"/>
      <c r="U113" s="7"/>
      <c r="V113" s="7"/>
      <c r="W113" s="7"/>
      <c r="Y113" s="7"/>
      <c r="Z113" s="7"/>
      <c r="AA113" s="7"/>
      <c r="AB113" s="7"/>
      <c r="AC113" s="7"/>
      <c r="AD113" s="7"/>
      <c r="AE113" s="7"/>
      <c r="AF113" s="7"/>
      <c r="AG113" s="230"/>
      <c r="AH113" s="60">
        <v>6</v>
      </c>
      <c r="AI113" s="7"/>
      <c r="AJ113" s="7"/>
      <c r="AK113" s="54"/>
      <c r="AL113" s="7"/>
      <c r="AM113" s="55"/>
      <c r="AN113" s="77"/>
      <c r="AO113" s="77"/>
      <c r="AP113" s="77"/>
      <c r="AQ113" s="77"/>
      <c r="AR113" s="77"/>
    </row>
    <row r="114" customHeight="1" spans="1:4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33"/>
      <c r="L114" s="43"/>
      <c r="M114" s="69">
        <v>9</v>
      </c>
      <c r="N114" s="7"/>
      <c r="O114" s="49"/>
      <c r="P114" s="7"/>
      <c r="Q114" s="68"/>
      <c r="R114" s="13"/>
      <c r="S114" s="96"/>
      <c r="T114" s="96"/>
      <c r="U114" s="96"/>
      <c r="V114" s="96"/>
      <c r="W114" s="96"/>
      <c r="Y114" s="7"/>
      <c r="Z114" s="7"/>
      <c r="AA114" s="7"/>
      <c r="AB114" s="7"/>
      <c r="AC114" s="7"/>
      <c r="AD114" s="7"/>
      <c r="AE114" s="7"/>
      <c r="AF114" s="7"/>
      <c r="AG114" s="241"/>
      <c r="AH114" s="60">
        <v>7</v>
      </c>
      <c r="AI114" s="7"/>
      <c r="AJ114" s="7"/>
      <c r="AK114" s="54"/>
      <c r="AL114" s="7"/>
      <c r="AM114" s="55"/>
      <c r="AN114" s="77"/>
      <c r="AO114" s="77"/>
      <c r="AP114" s="77"/>
      <c r="AQ114" s="77"/>
      <c r="AR114" s="77"/>
    </row>
    <row r="115" customHeight="1" spans="1:44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33"/>
      <c r="L115" s="43"/>
      <c r="M115" s="69">
        <v>10</v>
      </c>
      <c r="N115" s="7"/>
      <c r="O115" s="49"/>
      <c r="P115" s="7"/>
      <c r="Q115" s="68"/>
      <c r="R115" s="13"/>
      <c r="S115" s="96"/>
      <c r="T115" s="96"/>
      <c r="U115" s="96"/>
      <c r="V115" s="96"/>
      <c r="W115" s="96"/>
      <c r="Y115" s="7"/>
      <c r="Z115" s="7"/>
      <c r="AA115" s="7"/>
      <c r="AB115" s="7"/>
      <c r="AC115" s="7"/>
      <c r="AD115" s="7"/>
      <c r="AE115" s="7"/>
      <c r="AF115" s="7"/>
      <c r="AG115" s="228" t="s">
        <v>169</v>
      </c>
      <c r="AH115" s="181">
        <v>1</v>
      </c>
      <c r="AI115" s="64"/>
      <c r="AJ115" s="64"/>
      <c r="AK115" s="61"/>
      <c r="AL115" s="108"/>
      <c r="AM115" s="243"/>
      <c r="AN115" s="137"/>
      <c r="AO115" s="137"/>
      <c r="AP115" s="137"/>
      <c r="AQ115" s="137"/>
      <c r="AR115" s="137"/>
    </row>
    <row r="116" customHeight="1" spans="1:44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33"/>
      <c r="L116" s="43"/>
      <c r="M116" s="69">
        <v>11</v>
      </c>
      <c r="N116" s="7"/>
      <c r="O116" s="49"/>
      <c r="P116" s="7"/>
      <c r="Q116" s="68"/>
      <c r="R116" s="13"/>
      <c r="S116" s="96"/>
      <c r="T116" s="96"/>
      <c r="U116" s="96"/>
      <c r="V116" s="96"/>
      <c r="W116" s="96"/>
      <c r="Y116" s="7"/>
      <c r="Z116" s="7"/>
      <c r="AA116" s="7"/>
      <c r="AB116" s="7"/>
      <c r="AC116" s="7"/>
      <c r="AD116" s="7"/>
      <c r="AE116" s="7"/>
      <c r="AF116" s="7"/>
      <c r="AG116" s="230"/>
      <c r="AH116" s="60">
        <v>2</v>
      </c>
      <c r="AI116" s="7"/>
      <c r="AJ116" s="7"/>
      <c r="AK116" s="54"/>
      <c r="AL116" s="7"/>
      <c r="AM116" s="170"/>
      <c r="AN116" s="72"/>
      <c r="AO116" s="72"/>
      <c r="AP116" s="72"/>
      <c r="AQ116" s="72"/>
      <c r="AR116" s="72"/>
    </row>
    <row r="117" customHeight="1" spans="1:44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33"/>
      <c r="L117" s="43"/>
      <c r="M117" s="69">
        <v>12</v>
      </c>
      <c r="N117" s="7"/>
      <c r="O117" s="49"/>
      <c r="P117" s="7"/>
      <c r="Q117" s="68"/>
      <c r="R117" s="13"/>
      <c r="S117" s="96"/>
      <c r="T117" s="96"/>
      <c r="U117" s="96"/>
      <c r="V117" s="96"/>
      <c r="W117" s="96"/>
      <c r="Y117" s="7"/>
      <c r="Z117" s="7"/>
      <c r="AA117" s="7"/>
      <c r="AB117" s="7"/>
      <c r="AC117" s="7"/>
      <c r="AD117" s="7"/>
      <c r="AE117" s="7"/>
      <c r="AF117" s="7"/>
      <c r="AG117" s="230"/>
      <c r="AH117" s="60">
        <v>3</v>
      </c>
      <c r="AI117" s="7"/>
      <c r="AJ117" s="7"/>
      <c r="AK117" s="54"/>
      <c r="AL117" s="7"/>
      <c r="AM117" s="55"/>
      <c r="AN117" s="77"/>
      <c r="AO117" s="77"/>
      <c r="AP117" s="77"/>
      <c r="AQ117" s="77"/>
      <c r="AR117" s="77"/>
    </row>
    <row r="118" customHeight="1" spans="1:44">
      <c r="A118" s="7"/>
      <c r="B118" s="7"/>
      <c r="C118" s="7"/>
      <c r="D118" s="7"/>
      <c r="E118" s="7"/>
      <c r="F118" s="7"/>
      <c r="G118" s="7"/>
      <c r="H118" s="96"/>
      <c r="I118" s="96"/>
      <c r="J118" s="96"/>
      <c r="K118" s="33"/>
      <c r="L118" s="43"/>
      <c r="M118" s="69">
        <v>13</v>
      </c>
      <c r="N118" s="7"/>
      <c r="O118" s="232"/>
      <c r="P118" s="7"/>
      <c r="Q118" s="68"/>
      <c r="R118" s="13"/>
      <c r="S118" s="96"/>
      <c r="T118" s="96"/>
      <c r="U118" s="96"/>
      <c r="V118" s="96"/>
      <c r="W118" s="96"/>
      <c r="Y118" s="7"/>
      <c r="Z118" s="7"/>
      <c r="AA118" s="7"/>
      <c r="AB118" s="7"/>
      <c r="AC118" s="7"/>
      <c r="AD118" s="7"/>
      <c r="AE118" s="7"/>
      <c r="AF118" s="7"/>
      <c r="AG118" s="230"/>
      <c r="AH118" s="60">
        <v>4</v>
      </c>
      <c r="AI118" s="7"/>
      <c r="AJ118" s="7"/>
      <c r="AK118" s="54"/>
      <c r="AL118" s="7"/>
      <c r="AM118" s="55"/>
      <c r="AN118" s="77"/>
      <c r="AO118" s="77"/>
      <c r="AP118" s="77"/>
      <c r="AQ118" s="77"/>
      <c r="AR118" s="77"/>
    </row>
    <row r="119" customHeight="1" spans="1:44">
      <c r="A119" s="7"/>
      <c r="B119" s="7"/>
      <c r="C119" s="7"/>
      <c r="D119" s="7"/>
      <c r="E119" s="7"/>
      <c r="F119" s="7"/>
      <c r="G119" s="7"/>
      <c r="H119" s="96"/>
      <c r="I119" s="96"/>
      <c r="J119" s="96"/>
      <c r="K119" s="33"/>
      <c r="L119" s="43"/>
      <c r="M119" s="69">
        <v>15</v>
      </c>
      <c r="N119" s="7"/>
      <c r="O119" s="232"/>
      <c r="P119" s="7"/>
      <c r="Q119" s="68"/>
      <c r="R119" s="13"/>
      <c r="S119" s="96"/>
      <c r="T119" s="96"/>
      <c r="U119" s="96"/>
      <c r="V119" s="96"/>
      <c r="W119" s="96"/>
      <c r="Y119" s="7"/>
      <c r="Z119" s="7"/>
      <c r="AA119" s="7"/>
      <c r="AB119" s="7"/>
      <c r="AC119" s="7"/>
      <c r="AD119" s="7"/>
      <c r="AE119" s="7"/>
      <c r="AF119" s="7"/>
      <c r="AG119" s="230"/>
      <c r="AH119" s="60">
        <v>5</v>
      </c>
      <c r="AI119" s="7"/>
      <c r="AJ119" s="7"/>
      <c r="AK119" s="54"/>
      <c r="AL119" s="7"/>
      <c r="AM119" s="55"/>
      <c r="AN119" s="77"/>
      <c r="AO119" s="77"/>
      <c r="AP119" s="77"/>
      <c r="AQ119" s="77"/>
      <c r="AR119" s="77"/>
    </row>
    <row r="120" customHeight="1" spans="1:44">
      <c r="A120" s="7"/>
      <c r="B120" s="7"/>
      <c r="C120" s="7"/>
      <c r="D120" s="7"/>
      <c r="E120" s="7"/>
      <c r="F120" s="7"/>
      <c r="G120" s="7"/>
      <c r="H120" s="96"/>
      <c r="I120" s="96"/>
      <c r="J120" s="96"/>
      <c r="K120" s="33"/>
      <c r="L120" s="43"/>
      <c r="M120" s="60">
        <v>16</v>
      </c>
      <c r="N120" s="7"/>
      <c r="O120" s="49"/>
      <c r="P120" s="7"/>
      <c r="Q120" s="68"/>
      <c r="R120" s="13"/>
      <c r="S120" s="96"/>
      <c r="T120" s="96"/>
      <c r="U120" s="96"/>
      <c r="V120" s="96"/>
      <c r="W120" s="96"/>
      <c r="Y120" s="7"/>
      <c r="Z120" s="7"/>
      <c r="AA120" s="7"/>
      <c r="AB120" s="7"/>
      <c r="AC120" s="7"/>
      <c r="AD120" s="7"/>
      <c r="AE120" s="7"/>
      <c r="AF120" s="7"/>
      <c r="AG120" s="230"/>
      <c r="AH120" s="60">
        <v>6</v>
      </c>
      <c r="AI120" s="7"/>
      <c r="AJ120" s="7"/>
      <c r="AK120" s="75"/>
      <c r="AL120" s="7"/>
      <c r="AM120" s="55"/>
      <c r="AN120" s="77"/>
      <c r="AO120" s="77"/>
      <c r="AP120" s="77"/>
      <c r="AQ120" s="77"/>
      <c r="AR120" s="77"/>
    </row>
    <row r="121" customHeight="1" spans="1:44">
      <c r="A121" s="7"/>
      <c r="B121" s="7"/>
      <c r="C121" s="7"/>
      <c r="D121" s="7"/>
      <c r="E121" s="7"/>
      <c r="F121" s="7"/>
      <c r="G121" s="7"/>
      <c r="H121" s="96"/>
      <c r="I121" s="96"/>
      <c r="J121" s="96"/>
      <c r="K121" s="33"/>
      <c r="L121" s="43"/>
      <c r="M121" s="60">
        <v>17</v>
      </c>
      <c r="N121" s="7"/>
      <c r="O121" s="49"/>
      <c r="P121" s="7"/>
      <c r="Q121" s="68"/>
      <c r="R121" s="13"/>
      <c r="S121" s="96"/>
      <c r="T121" s="96"/>
      <c r="U121" s="96"/>
      <c r="V121" s="96"/>
      <c r="W121" s="96"/>
      <c r="Y121" s="7"/>
      <c r="Z121" s="7"/>
      <c r="AA121" s="7"/>
      <c r="AB121" s="7"/>
      <c r="AC121" s="7"/>
      <c r="AD121" s="7"/>
      <c r="AE121" s="7"/>
      <c r="AF121" s="7"/>
      <c r="AG121" s="230"/>
      <c r="AH121" s="60">
        <v>7</v>
      </c>
      <c r="AI121" s="7"/>
      <c r="AJ121" s="7"/>
      <c r="AK121" s="54"/>
      <c r="AL121" s="7"/>
      <c r="AM121" s="55"/>
      <c r="AN121" s="77"/>
      <c r="AO121" s="77"/>
      <c r="AP121" s="77"/>
      <c r="AQ121" s="77"/>
      <c r="AR121" s="77"/>
    </row>
    <row r="122" customHeight="1" spans="1:44">
      <c r="A122" s="7"/>
      <c r="B122" s="7"/>
      <c r="C122" s="7"/>
      <c r="D122" s="7"/>
      <c r="E122" s="7"/>
      <c r="F122" s="7"/>
      <c r="G122" s="7"/>
      <c r="H122" s="96"/>
      <c r="I122" s="96"/>
      <c r="J122" s="96"/>
      <c r="K122" s="33"/>
      <c r="L122" s="43"/>
      <c r="M122" s="60">
        <v>17</v>
      </c>
      <c r="N122" s="7"/>
      <c r="O122" s="49"/>
      <c r="P122" s="7"/>
      <c r="Q122" s="68"/>
      <c r="R122" s="13"/>
      <c r="S122" s="96"/>
      <c r="T122" s="96"/>
      <c r="U122" s="96"/>
      <c r="V122" s="96"/>
      <c r="W122" s="96"/>
      <c r="Y122" s="7"/>
      <c r="Z122" s="7"/>
      <c r="AA122" s="7"/>
      <c r="AB122" s="7"/>
      <c r="AC122" s="7"/>
      <c r="AD122" s="7"/>
      <c r="AE122" s="7"/>
      <c r="AF122" s="7"/>
      <c r="AG122" s="230"/>
      <c r="AH122" s="60">
        <v>8</v>
      </c>
      <c r="AI122" s="7"/>
      <c r="AJ122" s="7"/>
      <c r="AK122" s="54"/>
      <c r="AL122" s="7"/>
      <c r="AM122" s="55"/>
      <c r="AN122" s="77"/>
      <c r="AO122" s="77"/>
      <c r="AP122" s="77"/>
      <c r="AQ122" s="77"/>
      <c r="AR122" s="77"/>
    </row>
    <row r="123" customHeight="1" spans="1:44">
      <c r="A123" s="7"/>
      <c r="B123" s="7"/>
      <c r="C123" s="7"/>
      <c r="D123" s="7"/>
      <c r="E123" s="7"/>
      <c r="F123" s="7"/>
      <c r="G123" s="7"/>
      <c r="H123" s="96"/>
      <c r="I123" s="96"/>
      <c r="J123" s="96"/>
      <c r="K123" s="33"/>
      <c r="L123" s="43"/>
      <c r="M123" s="7"/>
      <c r="N123" s="7"/>
      <c r="O123" s="7"/>
      <c r="P123" s="7"/>
      <c r="Q123" s="68"/>
      <c r="R123" s="13"/>
      <c r="S123" s="96"/>
      <c r="T123" s="96"/>
      <c r="U123" s="96"/>
      <c r="V123" s="96"/>
      <c r="W123" s="96"/>
      <c r="Y123" s="7"/>
      <c r="Z123" s="7"/>
      <c r="AA123" s="7"/>
      <c r="AB123" s="7"/>
      <c r="AC123" s="7"/>
      <c r="AD123" s="7"/>
      <c r="AE123" s="7"/>
      <c r="AF123" s="7"/>
      <c r="AG123" s="230"/>
      <c r="AH123" s="60">
        <v>9</v>
      </c>
      <c r="AI123" s="7"/>
      <c r="AJ123" s="7"/>
      <c r="AK123" s="54"/>
      <c r="AL123" s="7"/>
      <c r="AM123" s="55"/>
      <c r="AN123" s="77"/>
      <c r="AO123" s="77"/>
      <c r="AP123" s="77"/>
      <c r="AQ123" s="77"/>
      <c r="AR123" s="77"/>
    </row>
    <row r="124" customHeight="1" spans="1:44">
      <c r="A124" s="7"/>
      <c r="B124" s="7"/>
      <c r="C124" s="7"/>
      <c r="D124" s="96"/>
      <c r="E124" s="7"/>
      <c r="F124" s="7"/>
      <c r="G124" s="7"/>
      <c r="H124" s="96"/>
      <c r="I124" s="96"/>
      <c r="J124" s="96"/>
      <c r="K124" s="33"/>
      <c r="L124" s="79"/>
      <c r="M124" s="7"/>
      <c r="N124" s="7"/>
      <c r="O124" s="7"/>
      <c r="P124" s="7"/>
      <c r="Q124" s="58"/>
      <c r="R124" s="244"/>
      <c r="S124" s="96"/>
      <c r="T124" s="96"/>
      <c r="U124" s="96"/>
      <c r="V124" s="96"/>
      <c r="W124" s="96"/>
      <c r="X124" s="3"/>
      <c r="Y124" s="7"/>
      <c r="Z124" s="7"/>
      <c r="AA124" s="7"/>
      <c r="AB124" s="7"/>
      <c r="AC124" s="7"/>
      <c r="AD124" s="7"/>
      <c r="AE124" s="7"/>
      <c r="AF124" s="7"/>
      <c r="AG124" s="230"/>
      <c r="AH124" s="60">
        <v>10</v>
      </c>
      <c r="AI124" s="7"/>
      <c r="AJ124" s="7"/>
      <c r="AK124" s="75"/>
      <c r="AL124" s="7"/>
      <c r="AM124" s="55"/>
      <c r="AN124" s="77"/>
      <c r="AO124" s="77"/>
      <c r="AP124" s="77"/>
      <c r="AQ124" s="77"/>
      <c r="AR124" s="77"/>
    </row>
    <row r="125" customHeight="1" spans="1:44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80"/>
      <c r="M125" s="64"/>
      <c r="N125" s="64"/>
      <c r="O125" s="117"/>
      <c r="P125" s="245" t="s">
        <v>96</v>
      </c>
      <c r="Q125" s="119">
        <f>SUMIF(P106:P124,"Efectivo",Q106:Q124)</f>
        <v>0</v>
      </c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230"/>
      <c r="AH125" s="60">
        <v>11</v>
      </c>
      <c r="AI125" s="7"/>
      <c r="AJ125" s="7"/>
      <c r="AK125" s="75"/>
      <c r="AL125" s="7"/>
      <c r="AM125" s="55"/>
      <c r="AN125" s="77"/>
      <c r="AO125" s="77"/>
      <c r="AP125" s="77"/>
      <c r="AQ125" s="77"/>
      <c r="AR125" s="77"/>
    </row>
    <row r="126" customHeight="1" spans="1:44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56"/>
      <c r="P126" s="127" t="s">
        <v>99</v>
      </c>
      <c r="Q126" s="128">
        <f>SUMIF(P106:P124,"Pichincha",Q106:Q124)</f>
        <v>0</v>
      </c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230"/>
      <c r="AH126" s="60" t="s">
        <v>170</v>
      </c>
      <c r="AI126" s="1"/>
      <c r="AJ126" s="1"/>
      <c r="AK126" s="231"/>
      <c r="AL126" s="7"/>
      <c r="AM126" s="55"/>
      <c r="AN126" s="77"/>
      <c r="AO126" s="77"/>
      <c r="AP126" s="77"/>
      <c r="AQ126" s="77"/>
      <c r="AR126" s="77"/>
    </row>
    <row r="127" customHeight="1" spans="1:44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56"/>
      <c r="P127" s="127" t="s">
        <v>102</v>
      </c>
      <c r="Q127" s="128">
        <f>SUMIF(P106:P124,"JEP",Q106:Q124)</f>
        <v>0</v>
      </c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230"/>
      <c r="AH127" s="181">
        <v>13</v>
      </c>
      <c r="AI127" s="7"/>
      <c r="AJ127" s="7"/>
      <c r="AK127" s="54"/>
      <c r="AL127" s="7"/>
      <c r="AM127" s="55"/>
      <c r="AN127" s="77"/>
      <c r="AO127" s="77"/>
      <c r="AP127" s="77"/>
      <c r="AQ127" s="77"/>
      <c r="AR127" s="77"/>
    </row>
    <row r="128" customHeight="1" spans="1:44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56"/>
      <c r="P128" s="194" t="s">
        <v>96</v>
      </c>
      <c r="Q128" s="195">
        <f t="shared" ref="Q128:Q130" si="4">Q101+Q125</f>
        <v>0</v>
      </c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230"/>
      <c r="AH128" s="60">
        <v>14</v>
      </c>
      <c r="AI128" s="1"/>
      <c r="AJ128" s="7"/>
      <c r="AK128" s="54"/>
      <c r="AL128" s="7"/>
      <c r="AM128" s="55"/>
      <c r="AN128" s="77"/>
      <c r="AO128" s="77"/>
      <c r="AP128" s="77"/>
      <c r="AQ128" s="77"/>
      <c r="AR128" s="77"/>
    </row>
    <row r="129" customHeight="1" spans="1:44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56"/>
      <c r="P129" s="194" t="s">
        <v>99</v>
      </c>
      <c r="Q129" s="195">
        <f t="shared" si="4"/>
        <v>0</v>
      </c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230"/>
      <c r="AH129" s="60">
        <v>15</v>
      </c>
      <c r="AI129" s="217"/>
      <c r="AJ129" s="7"/>
      <c r="AK129" s="54"/>
      <c r="AL129" s="7"/>
      <c r="AM129" s="55"/>
      <c r="AN129" s="77"/>
      <c r="AO129" s="77"/>
      <c r="AP129" s="77"/>
      <c r="AQ129" s="77"/>
      <c r="AR129" s="77"/>
    </row>
    <row r="130" customHeight="1" spans="1:44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56"/>
      <c r="P130" s="194" t="s">
        <v>102</v>
      </c>
      <c r="Q130" s="195">
        <f t="shared" si="4"/>
        <v>0</v>
      </c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230"/>
      <c r="AH130" s="60">
        <v>16</v>
      </c>
      <c r="AI130" s="7"/>
      <c r="AJ130" s="7"/>
      <c r="AK130" s="54"/>
      <c r="AL130" s="7"/>
      <c r="AM130" s="55"/>
      <c r="AN130" s="77"/>
      <c r="AO130" s="77"/>
      <c r="AP130" s="77"/>
      <c r="AQ130" s="77"/>
      <c r="AR130" s="77"/>
    </row>
    <row r="131" customHeight="1" spans="1:44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230"/>
      <c r="AH131" s="1"/>
      <c r="AI131" s="7"/>
      <c r="AJ131" s="7"/>
      <c r="AK131" s="7"/>
      <c r="AL131" s="7"/>
      <c r="AM131" s="7"/>
      <c r="AN131" s="7"/>
      <c r="AO131" s="7"/>
      <c r="AP131" s="7"/>
      <c r="AQ131" s="7"/>
      <c r="AR131" s="7"/>
    </row>
    <row r="132" customHeight="1" spans="1:44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230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</row>
    <row r="133" customHeight="1" spans="1:44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230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</row>
    <row r="134" customHeight="1" spans="1:4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230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</row>
    <row r="135" customHeight="1" spans="1:44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230"/>
      <c r="AH135" s="7"/>
      <c r="AI135" s="1"/>
      <c r="AJ135" s="1"/>
      <c r="AK135" s="231"/>
      <c r="AL135" s="7"/>
      <c r="AM135" s="55"/>
      <c r="AN135" s="77"/>
      <c r="AO135" s="77"/>
      <c r="AP135" s="77"/>
      <c r="AQ135" s="77"/>
      <c r="AR135" s="77"/>
    </row>
    <row r="136" customHeight="1" spans="1:44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230"/>
      <c r="AH136" s="7"/>
      <c r="AI136" s="7"/>
      <c r="AJ136" s="7"/>
      <c r="AK136" s="54"/>
      <c r="AL136" s="7"/>
      <c r="AM136" s="55"/>
      <c r="AN136" s="77"/>
      <c r="AO136" s="77"/>
      <c r="AP136" s="77"/>
      <c r="AQ136" s="77"/>
      <c r="AR136" s="77"/>
    </row>
    <row r="137" customHeight="1" spans="1:44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230"/>
      <c r="AH137" s="7"/>
      <c r="AI137" s="7"/>
      <c r="AJ137" s="7"/>
      <c r="AK137" s="54"/>
      <c r="AL137" s="7"/>
      <c r="AM137" s="55"/>
      <c r="AN137" s="77"/>
      <c r="AO137" s="77"/>
      <c r="AP137" s="77"/>
      <c r="AQ137" s="77"/>
      <c r="AR137" s="77"/>
    </row>
    <row r="138" customHeight="1" spans="1:44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230"/>
      <c r="AH138" s="7"/>
      <c r="AI138" s="7"/>
      <c r="AJ138" s="7"/>
      <c r="AK138" s="54"/>
      <c r="AL138" s="7"/>
      <c r="AM138" s="60"/>
      <c r="AN138" s="60"/>
      <c r="AO138" s="60"/>
      <c r="AP138" s="60"/>
      <c r="AQ138" s="60"/>
      <c r="AR138" s="60"/>
    </row>
    <row r="139" customHeight="1" spans="1:44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230"/>
      <c r="AH139" s="7"/>
      <c r="AI139" s="7"/>
      <c r="AJ139" s="7"/>
      <c r="AK139" s="54"/>
      <c r="AL139" s="7"/>
      <c r="AM139" s="60"/>
      <c r="AN139" s="60"/>
      <c r="AO139" s="60"/>
      <c r="AP139" s="60"/>
      <c r="AQ139" s="60"/>
      <c r="AR139" s="60"/>
    </row>
    <row r="140" customHeight="1" spans="1:44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230"/>
      <c r="AH140" s="7"/>
      <c r="AI140" s="7"/>
      <c r="AJ140" s="7"/>
      <c r="AK140" s="54"/>
      <c r="AL140" s="7"/>
      <c r="AM140" s="60"/>
      <c r="AN140" s="60"/>
      <c r="AO140" s="60"/>
      <c r="AP140" s="60"/>
      <c r="AQ140" s="60"/>
      <c r="AR140" s="60"/>
    </row>
    <row r="141" customHeight="1" spans="1:44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241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</row>
    <row r="142" customHeight="1" spans="1:44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246" t="s">
        <v>171</v>
      </c>
      <c r="AH142" s="7"/>
      <c r="AI142" s="64"/>
      <c r="AJ142" s="64"/>
      <c r="AK142" s="61"/>
      <c r="AL142" s="64"/>
      <c r="AM142" s="243"/>
      <c r="AN142" s="137"/>
      <c r="AO142" s="137"/>
      <c r="AP142" s="137"/>
      <c r="AQ142" s="137"/>
      <c r="AR142" s="137"/>
    </row>
    <row r="143" customHeight="1" spans="1:44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H143" s="7"/>
      <c r="AI143" s="7"/>
      <c r="AJ143" s="7"/>
      <c r="AK143" s="54"/>
      <c r="AL143" s="64"/>
      <c r="AM143" s="55"/>
      <c r="AN143" s="77"/>
      <c r="AO143" s="77"/>
      <c r="AP143" s="77"/>
      <c r="AQ143" s="77"/>
      <c r="AR143" s="77"/>
    </row>
    <row r="144" customHeight="1" spans="1: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H144" s="7"/>
      <c r="AI144" s="7"/>
      <c r="AJ144" s="7"/>
      <c r="AK144" s="54"/>
      <c r="AL144" s="64"/>
      <c r="AM144" s="115"/>
      <c r="AN144" s="77"/>
      <c r="AO144" s="77"/>
      <c r="AP144" s="77"/>
      <c r="AQ144" s="77"/>
      <c r="AR144" s="77"/>
    </row>
    <row r="145" customHeight="1" spans="1:44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H145" s="7"/>
      <c r="AI145" s="7"/>
      <c r="AJ145" s="7"/>
      <c r="AK145" s="54"/>
      <c r="AL145" s="64"/>
      <c r="AM145" s="115"/>
      <c r="AN145" s="77"/>
      <c r="AO145" s="77"/>
      <c r="AP145" s="77"/>
      <c r="AQ145" s="77"/>
      <c r="AR145" s="77"/>
    </row>
    <row r="146" customHeight="1" spans="1:44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H146" s="7"/>
      <c r="AI146" s="1"/>
      <c r="AJ146" s="1"/>
      <c r="AK146" s="231"/>
      <c r="AL146" s="64"/>
      <c r="AM146" s="115"/>
      <c r="AN146" s="77"/>
      <c r="AO146" s="77"/>
      <c r="AP146" s="77"/>
      <c r="AQ146" s="77"/>
      <c r="AR146" s="77"/>
    </row>
    <row r="147" customHeight="1" spans="1:44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H147" s="7"/>
      <c r="AI147" s="7"/>
      <c r="AJ147" s="7"/>
      <c r="AK147" s="54"/>
      <c r="AL147" s="64"/>
      <c r="AM147" s="115"/>
      <c r="AN147" s="77"/>
      <c r="AO147" s="77"/>
      <c r="AP147" s="77"/>
      <c r="AQ147" s="77"/>
      <c r="AR147" s="77"/>
    </row>
    <row r="148" customHeight="1" spans="1:44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H148" s="7"/>
      <c r="AI148" s="7"/>
      <c r="AJ148" s="7"/>
      <c r="AK148" s="54"/>
      <c r="AL148" s="64"/>
      <c r="AM148" s="115"/>
      <c r="AN148" s="77"/>
      <c r="AO148" s="77"/>
      <c r="AP148" s="77"/>
      <c r="AQ148" s="77"/>
      <c r="AR148" s="77"/>
    </row>
    <row r="149" customHeight="1" spans="1:44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247"/>
      <c r="AJ149" s="7"/>
      <c r="AK149" s="54"/>
      <c r="AL149" s="7"/>
      <c r="AM149" s="55"/>
      <c r="AN149" s="77"/>
      <c r="AO149" s="77"/>
      <c r="AP149" s="77"/>
      <c r="AQ149" s="77"/>
      <c r="AR149" s="77"/>
    </row>
    <row r="150" customHeight="1" spans="1:44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247"/>
      <c r="AJ150" s="7"/>
      <c r="AK150" s="54"/>
      <c r="AL150" s="7"/>
      <c r="AM150" s="55"/>
      <c r="AN150" s="77"/>
      <c r="AO150" s="77"/>
      <c r="AP150" s="77"/>
      <c r="AQ150" s="77"/>
      <c r="AR150" s="77"/>
    </row>
    <row r="151" customHeight="1" spans="1:44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247"/>
      <c r="AJ151" s="7"/>
      <c r="AK151" s="54"/>
      <c r="AL151" s="7"/>
      <c r="AM151" s="55"/>
      <c r="AN151" s="77"/>
      <c r="AO151" s="77"/>
      <c r="AP151" s="77"/>
      <c r="AQ151" s="77"/>
      <c r="AR151" s="77"/>
    </row>
    <row r="152" customHeight="1" spans="1:44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247"/>
      <c r="AJ152" s="1"/>
      <c r="AK152" s="54"/>
      <c r="AL152" s="7"/>
      <c r="AM152" s="55"/>
      <c r="AN152" s="77"/>
      <c r="AO152" s="77"/>
      <c r="AP152" s="77"/>
      <c r="AQ152" s="77"/>
      <c r="AR152" s="77"/>
    </row>
    <row r="153" customHeight="1" spans="1:44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248" t="s">
        <v>172</v>
      </c>
      <c r="AM153" s="249">
        <f>AM14-SUMIF(AL18:AL152,"Pichincha",AM18:AM152)</f>
        <v>0</v>
      </c>
      <c r="AN153" s="74"/>
      <c r="AO153" s="74"/>
      <c r="AP153" s="74"/>
      <c r="AQ153" s="74"/>
      <c r="AR153" s="74"/>
    </row>
    <row r="154" customHeight="1" spans="1:4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</row>
    <row r="155" customHeight="1" spans="1:44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60">
        <v>468.15</v>
      </c>
      <c r="AN155" s="60"/>
      <c r="AO155" s="60"/>
      <c r="AP155" s="60"/>
      <c r="AQ155" s="60"/>
      <c r="AR155" s="60"/>
    </row>
  </sheetData>
  <mergeCells count="77">
    <mergeCell ref="D1:E1"/>
    <mergeCell ref="AA1:AE1"/>
    <mergeCell ref="AI1:AM1"/>
    <mergeCell ref="N2:P2"/>
    <mergeCell ref="Z2:AE2"/>
    <mergeCell ref="AH2:AM2"/>
    <mergeCell ref="AI3:AJ3"/>
    <mergeCell ref="AI4:AJ4"/>
    <mergeCell ref="AI5:AJ5"/>
    <mergeCell ref="AI6:AJ6"/>
    <mergeCell ref="AI7:AJ7"/>
    <mergeCell ref="U8:V8"/>
    <mergeCell ref="AI8:AJ8"/>
    <mergeCell ref="U9:V9"/>
    <mergeCell ref="AI9:AJ9"/>
    <mergeCell ref="T10:U10"/>
    <mergeCell ref="V10:W10"/>
    <mergeCell ref="AI10:AJ10"/>
    <mergeCell ref="AI11:AJ11"/>
    <mergeCell ref="AI13:AJ13"/>
    <mergeCell ref="AI17:AJ17"/>
    <mergeCell ref="AI18:AJ18"/>
    <mergeCell ref="F19:G19"/>
    <mergeCell ref="T19:U19"/>
    <mergeCell ref="AI19:AJ19"/>
    <mergeCell ref="AI20:AJ20"/>
    <mergeCell ref="AI21:AJ21"/>
    <mergeCell ref="AI31:AJ31"/>
    <mergeCell ref="AI33:AJ33"/>
    <mergeCell ref="AI34:AJ34"/>
    <mergeCell ref="AI39:AJ39"/>
    <mergeCell ref="AI54:AJ54"/>
    <mergeCell ref="AI56:AJ56"/>
    <mergeCell ref="AI57:AJ57"/>
    <mergeCell ref="AI58:AJ58"/>
    <mergeCell ref="AI59:AJ59"/>
    <mergeCell ref="AI60:AJ60"/>
    <mergeCell ref="AI61:AJ61"/>
    <mergeCell ref="AI62:AJ62"/>
    <mergeCell ref="AI63:AJ63"/>
    <mergeCell ref="AI64:AJ64"/>
    <mergeCell ref="AI65:AJ65"/>
    <mergeCell ref="AI66:AJ66"/>
    <mergeCell ref="AI76:AJ76"/>
    <mergeCell ref="AI77:AJ77"/>
    <mergeCell ref="AI78:AJ78"/>
    <mergeCell ref="AI79:AJ79"/>
    <mergeCell ref="AI80:AJ80"/>
    <mergeCell ref="AI89:AJ89"/>
    <mergeCell ref="AI104:AJ104"/>
    <mergeCell ref="AI106:AJ106"/>
    <mergeCell ref="AI107:AJ107"/>
    <mergeCell ref="A61:A62"/>
    <mergeCell ref="L4:L22"/>
    <mergeCell ref="L25:L27"/>
    <mergeCell ref="L28:L30"/>
    <mergeCell ref="L31:L39"/>
    <mergeCell ref="L40:L51"/>
    <mergeCell ref="L52:L62"/>
    <mergeCell ref="L63:L87"/>
    <mergeCell ref="L88:L100"/>
    <mergeCell ref="L106:L124"/>
    <mergeCell ref="R1:R124"/>
    <mergeCell ref="X1:X124"/>
    <mergeCell ref="Y4:Y14"/>
    <mergeCell ref="Y25:Y33"/>
    <mergeCell ref="Y34:Y39"/>
    <mergeCell ref="AA46:AA48"/>
    <mergeCell ref="AB46:AB48"/>
    <mergeCell ref="AG18:AG56"/>
    <mergeCell ref="AG57:AG74"/>
    <mergeCell ref="AG75:AG99"/>
    <mergeCell ref="AG100:AG106"/>
    <mergeCell ref="AG107:AG114"/>
    <mergeCell ref="AG115:AG141"/>
    <mergeCell ref="AG142:AG148"/>
    <mergeCell ref="AG15:AM16"/>
  </mergeCells>
  <dataValidations count="1">
    <dataValidation type="list" allowBlank="1" showErrorMessage="1" sqref="AD4 P36 P77 P100 AL140 C4:C18 G4:G18 N106:N124 P4:P27 P29:P34 P40:P46 P52:P54 P63:P67 P70:P74 P79:P85 P88:P98 P106:P124 AA25:AA35 AD6:AD11 AD17:AD18 AD25:AD35 AD37:AD39 AL4:AL13 AL18:AL130 AL135:AL137 AL142:AL152">
      <formula1>"JEP,Pichincha,Efectivo,Extra Efectivo,Extra JEP,Extra Pichincha,Reserva Pichincha,Reserva Efectivo"</formula1>
    </dataValidation>
  </dataValidation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U1000"/>
  <sheetViews>
    <sheetView workbookViewId="0">
      <pane xSplit="4" ySplit="1" topLeftCell="E2" activePane="bottomRight" state="frozen"/>
      <selection/>
      <selection pane="topRight"/>
      <selection pane="bottomLeft"/>
      <selection pane="bottomRight" activeCell="E2" sqref="E2"/>
    </sheetView>
  </sheetViews>
  <sheetFormatPr defaultColWidth="12.6296296296296" defaultRowHeight="15.75" customHeight="1"/>
  <cols>
    <col min="1" max="1" width="5.62962962962963" customWidth="1"/>
    <col min="2" max="2" width="40.5" customWidth="1"/>
    <col min="10" max="10" width="49.6296296296296" customWidth="1"/>
    <col min="11" max="11" width="18.6296296296296" customWidth="1"/>
    <col min="12" max="12" width="25.6296296296296" customWidth="1"/>
    <col min="14" max="14" width="17" customWidth="1"/>
    <col min="20" max="20" width="6.12962962962963" customWidth="1"/>
    <col min="24" max="24" width="13.5" customWidth="1"/>
    <col min="25" max="25" width="8.75" customWidth="1"/>
    <col min="27" max="27" width="13.75" customWidth="1"/>
    <col min="30" max="30" width="16.25" customWidth="1"/>
    <col min="31" max="31" width="5" customWidth="1"/>
    <col min="32" max="32" width="12.6296296296296" customWidth="1"/>
    <col min="33" max="33" width="13.1296296296296" customWidth="1"/>
    <col min="34" max="34" width="13" customWidth="1"/>
    <col min="35" max="35" width="10.75" customWidth="1"/>
    <col min="36" max="36" width="4.12962962962963" customWidth="1"/>
    <col min="37" max="37" width="4.87962962962963" customWidth="1"/>
    <col min="38" max="38" width="11" customWidth="1"/>
    <col min="39" max="39" width="6.12962962962963" customWidth="1"/>
    <col min="40" max="40" width="12" customWidth="1"/>
    <col min="41" max="41" width="16.25" customWidth="1"/>
    <col min="42" max="42" width="5" customWidth="1"/>
    <col min="43" max="43" width="12.6296296296296" customWidth="1"/>
    <col min="44" max="44" width="11" customWidth="1"/>
    <col min="45" max="45" width="10.8796296296296" customWidth="1"/>
    <col min="46" max="46" width="11.5" customWidth="1"/>
    <col min="47" max="47" width="4.12962962962963" customWidth="1"/>
    <col min="48" max="48" width="4.87962962962963" customWidth="1"/>
    <col min="49" max="49" width="10.75" customWidth="1"/>
    <col min="50" max="50" width="6.12962962962963" customWidth="1"/>
    <col min="51" max="51" width="9" customWidth="1"/>
    <col min="52" max="52" width="16.25" customWidth="1"/>
    <col min="53" max="53" width="5" customWidth="1"/>
    <col min="54" max="54" width="12.6296296296296" customWidth="1"/>
    <col min="55" max="55" width="12.25" customWidth="1"/>
    <col min="56" max="56" width="11.5" customWidth="1"/>
    <col min="57" max="57" width="11.6296296296296" customWidth="1"/>
    <col min="58" max="58" width="4.12962962962963" customWidth="1"/>
    <col min="59" max="59" width="6.87962962962963" customWidth="1"/>
    <col min="60" max="60" width="10" customWidth="1"/>
    <col min="61" max="61" width="6.12962962962963" customWidth="1"/>
    <col min="62" max="62" width="9" customWidth="1"/>
    <col min="63" max="63" width="16.25" customWidth="1"/>
    <col min="64" max="64" width="5" customWidth="1"/>
    <col min="65" max="65" width="12.6296296296296" customWidth="1"/>
    <col min="66" max="66" width="12.1296296296296" customWidth="1"/>
    <col min="67" max="67" width="16.25" customWidth="1"/>
    <col min="68" max="68" width="11.8796296296296" customWidth="1"/>
    <col min="69" max="69" width="4.12962962962963" customWidth="1"/>
    <col min="70" max="70" width="4.87962962962963" customWidth="1"/>
    <col min="71" max="71" width="10" customWidth="1"/>
    <col min="72" max="72" width="6.12962962962963" customWidth="1"/>
    <col min="73" max="73" width="9" customWidth="1"/>
  </cols>
  <sheetData>
    <row r="1" customHeight="1" spans="1:73">
      <c r="A1" s="524" t="s">
        <v>173</v>
      </c>
      <c r="B1" s="525" t="s">
        <v>174</v>
      </c>
      <c r="C1" s="526" t="s">
        <v>175</v>
      </c>
      <c r="D1" s="527" t="s">
        <v>176</v>
      </c>
      <c r="E1" s="526" t="s">
        <v>177</v>
      </c>
      <c r="F1" s="526" t="s">
        <v>178</v>
      </c>
      <c r="G1" s="524" t="s">
        <v>179</v>
      </c>
      <c r="H1" s="525" t="s">
        <v>180</v>
      </c>
      <c r="I1" s="525" t="s">
        <v>181</v>
      </c>
      <c r="J1" s="525" t="s">
        <v>182</v>
      </c>
      <c r="K1" s="525" t="s">
        <v>183</v>
      </c>
      <c r="L1" s="524" t="s">
        <v>184</v>
      </c>
      <c r="M1" s="525" t="s">
        <v>185</v>
      </c>
      <c r="N1" s="525" t="s">
        <v>186</v>
      </c>
      <c r="O1" s="525" t="s">
        <v>187</v>
      </c>
      <c r="P1" s="528" t="s">
        <v>188</v>
      </c>
      <c r="Q1" s="529" t="s">
        <v>189</v>
      </c>
      <c r="R1" s="315" t="s">
        <v>190</v>
      </c>
      <c r="S1" s="530" t="s">
        <v>191</v>
      </c>
      <c r="T1" s="318" t="s">
        <v>192</v>
      </c>
      <c r="U1" s="531" t="s">
        <v>193</v>
      </c>
      <c r="V1" s="320" t="s">
        <v>194</v>
      </c>
      <c r="W1" s="532" t="s">
        <v>191</v>
      </c>
      <c r="X1" s="533" t="s">
        <v>71</v>
      </c>
      <c r="Y1" s="532" t="s">
        <v>195</v>
      </c>
      <c r="Z1" s="532" t="s">
        <v>33</v>
      </c>
      <c r="AA1" s="533" t="s">
        <v>196</v>
      </c>
      <c r="AB1" s="532" t="s">
        <v>189</v>
      </c>
      <c r="AC1" s="318" t="s">
        <v>197</v>
      </c>
      <c r="AD1" s="534" t="s">
        <v>191</v>
      </c>
      <c r="AE1" s="318" t="s">
        <v>192</v>
      </c>
      <c r="AF1" s="318" t="s">
        <v>193</v>
      </c>
      <c r="AG1" s="318" t="s">
        <v>194</v>
      </c>
      <c r="AH1" s="323" t="s">
        <v>191</v>
      </c>
      <c r="AI1" s="323" t="s">
        <v>71</v>
      </c>
      <c r="AJ1" s="323" t="s">
        <v>195</v>
      </c>
      <c r="AK1" s="323" t="s">
        <v>33</v>
      </c>
      <c r="AL1" s="323" t="s">
        <v>196</v>
      </c>
      <c r="AM1" s="323" t="s">
        <v>189</v>
      </c>
      <c r="AN1" s="318" t="s">
        <v>198</v>
      </c>
      <c r="AO1" s="318" t="s">
        <v>191</v>
      </c>
      <c r="AP1" s="318" t="s">
        <v>192</v>
      </c>
      <c r="AQ1" s="318" t="s">
        <v>193</v>
      </c>
      <c r="AR1" s="318" t="s">
        <v>194</v>
      </c>
      <c r="AS1" s="323" t="s">
        <v>191</v>
      </c>
      <c r="AT1" s="323" t="s">
        <v>71</v>
      </c>
      <c r="AU1" s="323" t="s">
        <v>195</v>
      </c>
      <c r="AV1" s="323" t="s">
        <v>33</v>
      </c>
      <c r="AW1" s="323" t="s">
        <v>196</v>
      </c>
      <c r="AX1" s="323" t="s">
        <v>189</v>
      </c>
      <c r="AY1" s="318" t="s">
        <v>198</v>
      </c>
      <c r="AZ1" s="318" t="s">
        <v>191</v>
      </c>
      <c r="BA1" s="318" t="s">
        <v>192</v>
      </c>
      <c r="BB1" s="318" t="s">
        <v>193</v>
      </c>
      <c r="BC1" s="318" t="s">
        <v>194</v>
      </c>
      <c r="BD1" s="323" t="s">
        <v>191</v>
      </c>
      <c r="BE1" s="323" t="s">
        <v>71</v>
      </c>
      <c r="BF1" s="323" t="s">
        <v>195</v>
      </c>
      <c r="BG1" s="323" t="s">
        <v>33</v>
      </c>
      <c r="BH1" s="323" t="s">
        <v>196</v>
      </c>
      <c r="BI1" s="323" t="s">
        <v>189</v>
      </c>
      <c r="BJ1" s="318" t="s">
        <v>198</v>
      </c>
      <c r="BK1" s="318" t="s">
        <v>191</v>
      </c>
      <c r="BL1" s="318" t="s">
        <v>192</v>
      </c>
      <c r="BM1" s="318" t="s">
        <v>193</v>
      </c>
      <c r="BN1" s="318" t="s">
        <v>194</v>
      </c>
      <c r="BO1" s="323" t="s">
        <v>191</v>
      </c>
      <c r="BP1" s="323" t="s">
        <v>71</v>
      </c>
      <c r="BQ1" s="323" t="s">
        <v>195</v>
      </c>
      <c r="BR1" s="323" t="s">
        <v>33</v>
      </c>
      <c r="BS1" s="323" t="s">
        <v>196</v>
      </c>
      <c r="BT1" s="323" t="s">
        <v>189</v>
      </c>
      <c r="BU1" s="318" t="s">
        <v>198</v>
      </c>
    </row>
    <row r="2" customHeight="1" spans="1:73">
      <c r="A2" s="535" t="str">
        <f>IFERROR(__xludf.DUMMYFUNCTION("IMPORTRANGE(""https://https://docs.google.com/spreadsheets/d/1GLbJTdVpWS8XRg8Za_otK8cqLfTYxobGAYdYQwJylW8/edit?gid=0#gid=0"", ""MAIN!B2"")"),"C01")</f>
        <v>C01</v>
      </c>
      <c r="B2" s="7" t="s">
        <v>199</v>
      </c>
      <c r="C2" s="222" t="s">
        <v>200</v>
      </c>
      <c r="D2" s="250" t="s">
        <v>201</v>
      </c>
      <c r="E2" s="325" t="s">
        <v>202</v>
      </c>
      <c r="F2" s="325" t="s">
        <v>203</v>
      </c>
      <c r="G2" s="536" t="s">
        <v>204</v>
      </c>
      <c r="H2" s="7" t="s">
        <v>205</v>
      </c>
      <c r="I2" s="7" t="s">
        <v>206</v>
      </c>
      <c r="J2" s="7" t="s">
        <v>207</v>
      </c>
      <c r="K2" s="7" t="s">
        <v>208</v>
      </c>
      <c r="L2" s="222" t="s">
        <v>209</v>
      </c>
      <c r="M2" s="49"/>
      <c r="N2" s="54">
        <v>45086</v>
      </c>
      <c r="O2" s="537" t="s">
        <v>210</v>
      </c>
      <c r="P2" s="538"/>
      <c r="Q2" s="539">
        <v>0</v>
      </c>
      <c r="R2" s="282" t="s">
        <v>211</v>
      </c>
      <c r="S2" s="282">
        <v>23</v>
      </c>
      <c r="T2" s="540">
        <v>0</v>
      </c>
      <c r="U2" s="541">
        <v>46036</v>
      </c>
      <c r="V2" s="542"/>
      <c r="W2" s="539"/>
      <c r="X2" s="543"/>
      <c r="Y2" s="544"/>
      <c r="Z2" s="545"/>
      <c r="AA2" s="543"/>
      <c r="AB2" s="545">
        <f t="shared" ref="AB2:AB247" si="0">Q2+S2+T2-W2-Z2</f>
        <v>23</v>
      </c>
      <c r="AC2" s="250" t="s">
        <v>212</v>
      </c>
      <c r="AD2" s="283">
        <v>23</v>
      </c>
      <c r="AE2" s="540">
        <v>0</v>
      </c>
      <c r="AF2" s="541">
        <v>46067</v>
      </c>
      <c r="AG2" s="485">
        <v>46078</v>
      </c>
      <c r="AH2" s="335">
        <v>46</v>
      </c>
      <c r="AI2" s="336" t="s">
        <v>23</v>
      </c>
      <c r="AJ2" s="337"/>
      <c r="AK2" s="335"/>
      <c r="AL2" s="336"/>
      <c r="AM2" s="335">
        <f t="shared" ref="AM2:AM122" si="1">(AB2+AD2+AE2)-(AH2+AK2)</f>
        <v>0</v>
      </c>
      <c r="AN2" s="340" t="s">
        <v>213</v>
      </c>
      <c r="AO2" s="282">
        <v>23</v>
      </c>
      <c r="AP2" s="540">
        <v>0</v>
      </c>
      <c r="AQ2" s="541">
        <v>46095</v>
      </c>
      <c r="AR2" s="340" t="s">
        <v>214</v>
      </c>
      <c r="AS2" s="335">
        <v>23</v>
      </c>
      <c r="AT2" s="337" t="s">
        <v>23</v>
      </c>
      <c r="AU2" s="337"/>
      <c r="AV2" s="335"/>
      <c r="AW2" s="337"/>
      <c r="AX2" s="335">
        <f t="shared" ref="AX2:AX12" si="2">(AM2+AO2+AP2)-(AS2+AV2)</f>
        <v>0</v>
      </c>
      <c r="AY2" s="340" t="s">
        <v>213</v>
      </c>
      <c r="AZ2" s="282">
        <v>23</v>
      </c>
      <c r="BA2" s="540">
        <v>0</v>
      </c>
      <c r="BB2" s="541">
        <v>46126</v>
      </c>
      <c r="BC2" s="340" t="s">
        <v>215</v>
      </c>
      <c r="BD2" s="335">
        <v>23</v>
      </c>
      <c r="BE2" s="337" t="s">
        <v>23</v>
      </c>
      <c r="BF2" s="337"/>
      <c r="BG2" s="335"/>
      <c r="BH2" s="337"/>
      <c r="BI2" s="335">
        <f t="shared" ref="BI2:BI268" si="3">(AX2+AZ2+BA2)-(BD2+BG2)</f>
        <v>0</v>
      </c>
      <c r="BJ2" s="340"/>
      <c r="BK2" s="282">
        <v>23</v>
      </c>
      <c r="BL2" s="540">
        <v>0</v>
      </c>
      <c r="BM2" s="541">
        <v>46156</v>
      </c>
      <c r="BN2" s="340"/>
      <c r="BO2" s="335"/>
      <c r="BP2" s="337"/>
      <c r="BQ2" s="337"/>
      <c r="BR2" s="335"/>
      <c r="BS2" s="337"/>
      <c r="BT2" s="335">
        <f t="shared" ref="BT2:BT270" si="4">(BI2+BK2+BL2)-(BO2+BR2)</f>
        <v>23</v>
      </c>
      <c r="BU2" s="340"/>
    </row>
    <row r="3" customHeight="1" spans="1:73">
      <c r="A3" s="535" t="str">
        <f>IFERROR(__xludf.DUMMYFUNCTION("IMPORTRANGE(""https://https://docs.google.com/spreadsheets/d/1GLbJTdVpWS8XRg8Za_otK8cqLfTYxobGAYdYQwJylW8/edit?gid=0#gid=0"", ""MAIN!B3"")"),"C02")</f>
        <v>C02</v>
      </c>
      <c r="B3" s="7" t="s">
        <v>216</v>
      </c>
      <c r="C3" s="546" t="s">
        <v>217</v>
      </c>
      <c r="D3" s="250" t="s">
        <v>201</v>
      </c>
      <c r="E3" s="325" t="s">
        <v>202</v>
      </c>
      <c r="F3" s="325" t="s">
        <v>218</v>
      </c>
      <c r="G3" s="536" t="s">
        <v>219</v>
      </c>
      <c r="H3" s="7" t="s">
        <v>205</v>
      </c>
      <c r="I3" s="7" t="s">
        <v>220</v>
      </c>
      <c r="J3" s="7" t="s">
        <v>207</v>
      </c>
      <c r="K3" s="7" t="s">
        <v>221</v>
      </c>
      <c r="L3" s="222" t="s">
        <v>222</v>
      </c>
      <c r="M3" s="49"/>
      <c r="N3" s="49"/>
      <c r="O3" s="547" t="s">
        <v>210</v>
      </c>
      <c r="P3" s="538"/>
      <c r="Q3" s="539">
        <v>0</v>
      </c>
      <c r="R3" s="282"/>
      <c r="S3" s="282">
        <v>23</v>
      </c>
      <c r="T3" s="540">
        <v>0</v>
      </c>
      <c r="U3" s="260">
        <v>46036</v>
      </c>
      <c r="V3" s="542">
        <v>46044</v>
      </c>
      <c r="W3" s="539">
        <v>23</v>
      </c>
      <c r="X3" s="543" t="s">
        <v>23</v>
      </c>
      <c r="Y3" s="544"/>
      <c r="Z3" s="545"/>
      <c r="AA3" s="543"/>
      <c r="AB3" s="545">
        <f t="shared" si="0"/>
        <v>0</v>
      </c>
      <c r="AC3" s="250" t="s">
        <v>213</v>
      </c>
      <c r="AD3" s="283">
        <v>23</v>
      </c>
      <c r="AE3" s="540">
        <v>0</v>
      </c>
      <c r="AF3" s="260">
        <v>46067</v>
      </c>
      <c r="AG3" s="251">
        <v>46073</v>
      </c>
      <c r="AH3" s="335">
        <v>23</v>
      </c>
      <c r="AI3" s="336" t="s">
        <v>23</v>
      </c>
      <c r="AJ3" s="345"/>
      <c r="AK3" s="338"/>
      <c r="AL3" s="339"/>
      <c r="AM3" s="338">
        <f t="shared" si="1"/>
        <v>0</v>
      </c>
      <c r="AN3" s="340" t="s">
        <v>213</v>
      </c>
      <c r="AO3" s="282">
        <v>23</v>
      </c>
      <c r="AP3" s="540">
        <v>0</v>
      </c>
      <c r="AQ3" s="260">
        <v>46095</v>
      </c>
      <c r="AR3" s="485">
        <v>46100</v>
      </c>
      <c r="AS3" s="335">
        <v>23</v>
      </c>
      <c r="AT3" s="337" t="s">
        <v>23</v>
      </c>
      <c r="AU3" s="337"/>
      <c r="AV3" s="335"/>
      <c r="AW3" s="337"/>
      <c r="AX3" s="335">
        <f t="shared" si="2"/>
        <v>0</v>
      </c>
      <c r="AY3" s="340" t="s">
        <v>213</v>
      </c>
      <c r="AZ3" s="282">
        <v>23</v>
      </c>
      <c r="BA3" s="540">
        <v>0</v>
      </c>
      <c r="BB3" s="260">
        <v>46126</v>
      </c>
      <c r="BC3" s="340" t="s">
        <v>223</v>
      </c>
      <c r="BD3" s="335">
        <v>23</v>
      </c>
      <c r="BE3" s="337" t="s">
        <v>23</v>
      </c>
      <c r="BF3" s="337"/>
      <c r="BG3" s="335"/>
      <c r="BH3" s="337"/>
      <c r="BI3" s="335">
        <f t="shared" si="3"/>
        <v>0</v>
      </c>
      <c r="BJ3" s="340"/>
      <c r="BK3" s="282">
        <v>23</v>
      </c>
      <c r="BL3" s="540">
        <v>0</v>
      </c>
      <c r="BM3" s="260">
        <v>46156</v>
      </c>
      <c r="BN3" s="340"/>
      <c r="BO3" s="335"/>
      <c r="BP3" s="337"/>
      <c r="BQ3" s="337"/>
      <c r="BR3" s="335"/>
      <c r="BS3" s="337"/>
      <c r="BT3" s="335">
        <f t="shared" si="4"/>
        <v>23</v>
      </c>
      <c r="BU3" s="340"/>
    </row>
    <row r="4" customHeight="1" spans="1:73">
      <c r="A4" s="535" t="str">
        <f>IFERROR(__xludf.DUMMYFUNCTION("IMPORTRANGE(""https://https://docs.google.com/spreadsheets/d/1GLbJTdVpWS8XRg8Za_otK8cqLfTYxobGAYdYQwJylW8/edit?gid=0#gid=0"", ""MAIN!B4"")"),"C03")</f>
        <v>C03</v>
      </c>
      <c r="B4" s="7" t="s">
        <v>224</v>
      </c>
      <c r="C4" s="546" t="s">
        <v>225</v>
      </c>
      <c r="D4" s="250" t="s">
        <v>201</v>
      </c>
      <c r="E4" s="325" t="s">
        <v>226</v>
      </c>
      <c r="F4" s="325" t="s">
        <v>227</v>
      </c>
      <c r="G4" s="536" t="s">
        <v>228</v>
      </c>
      <c r="H4" s="7" t="s">
        <v>205</v>
      </c>
      <c r="I4" s="7" t="s">
        <v>220</v>
      </c>
      <c r="J4" s="7" t="s">
        <v>229</v>
      </c>
      <c r="K4" s="7"/>
      <c r="L4" s="222" t="s">
        <v>230</v>
      </c>
      <c r="M4" s="414" t="s">
        <v>231</v>
      </c>
      <c r="N4" s="54">
        <v>45743</v>
      </c>
      <c r="O4" s="327" t="s">
        <v>232</v>
      </c>
      <c r="P4" s="538"/>
      <c r="Q4" s="539">
        <v>-0.5</v>
      </c>
      <c r="R4" s="282"/>
      <c r="S4" s="282">
        <v>17.25</v>
      </c>
      <c r="T4" s="540">
        <v>0</v>
      </c>
      <c r="U4" s="260">
        <v>46032</v>
      </c>
      <c r="V4" s="542">
        <v>46049</v>
      </c>
      <c r="W4" s="539">
        <v>17</v>
      </c>
      <c r="X4" s="543" t="s">
        <v>23</v>
      </c>
      <c r="Y4" s="544"/>
      <c r="Z4" s="545"/>
      <c r="AA4" s="543"/>
      <c r="AB4" s="545">
        <f t="shared" si="0"/>
        <v>-0.25</v>
      </c>
      <c r="AC4" s="250" t="s">
        <v>213</v>
      </c>
      <c r="AD4" s="283">
        <v>17.25</v>
      </c>
      <c r="AE4" s="540">
        <v>0</v>
      </c>
      <c r="AF4" s="260">
        <v>46063</v>
      </c>
      <c r="AG4" s="251">
        <v>46080</v>
      </c>
      <c r="AH4" s="335">
        <v>17.25</v>
      </c>
      <c r="AI4" s="336" t="s">
        <v>23</v>
      </c>
      <c r="AJ4" s="345"/>
      <c r="AK4" s="338"/>
      <c r="AL4" s="339"/>
      <c r="AM4" s="338">
        <f t="shared" si="1"/>
        <v>-0.25</v>
      </c>
      <c r="AN4" s="340" t="s">
        <v>213</v>
      </c>
      <c r="AO4" s="282">
        <v>17.25</v>
      </c>
      <c r="AP4" s="540">
        <v>0</v>
      </c>
      <c r="AQ4" s="260">
        <v>46091</v>
      </c>
      <c r="AR4" s="340" t="s">
        <v>233</v>
      </c>
      <c r="AS4" s="335">
        <v>17.25</v>
      </c>
      <c r="AT4" s="337" t="s">
        <v>23</v>
      </c>
      <c r="AU4" s="337"/>
      <c r="AV4" s="335"/>
      <c r="AW4" s="337"/>
      <c r="AX4" s="335">
        <f t="shared" si="2"/>
        <v>-0.25</v>
      </c>
      <c r="AY4" s="340" t="s">
        <v>213</v>
      </c>
      <c r="AZ4" s="282">
        <v>17.25</v>
      </c>
      <c r="BA4" s="540">
        <v>0</v>
      </c>
      <c r="BB4" s="260">
        <v>46122</v>
      </c>
      <c r="BC4" s="340" t="s">
        <v>234</v>
      </c>
      <c r="BD4" s="335">
        <v>17.25</v>
      </c>
      <c r="BE4" s="337" t="s">
        <v>23</v>
      </c>
      <c r="BF4" s="337"/>
      <c r="BG4" s="335"/>
      <c r="BH4" s="337"/>
      <c r="BI4" s="335">
        <f t="shared" si="3"/>
        <v>-0.25</v>
      </c>
      <c r="BJ4" s="340"/>
      <c r="BK4" s="282">
        <v>17.25</v>
      </c>
      <c r="BL4" s="540">
        <v>0</v>
      </c>
      <c r="BM4" s="260">
        <v>46152</v>
      </c>
      <c r="BN4" s="340"/>
      <c r="BO4" s="335"/>
      <c r="BP4" s="337"/>
      <c r="BQ4" s="337"/>
      <c r="BR4" s="335"/>
      <c r="BS4" s="337"/>
      <c r="BT4" s="335">
        <f t="shared" si="4"/>
        <v>17</v>
      </c>
      <c r="BU4" s="340"/>
    </row>
    <row r="5" customHeight="1" spans="1:73">
      <c r="A5" s="535" t="str">
        <f>IFERROR(__xludf.DUMMYFUNCTION("IMPORTRANGE(""https://https://docs.google.com/spreadsheets/d/1GLbJTdVpWS8XRg8Za_otK8cqLfTYxobGAYdYQwJylW8/edit?gid=0#gid=0"", ""MAIN!B5"")"),"C04")</f>
        <v>C04</v>
      </c>
      <c r="B5" s="548" t="s">
        <v>235</v>
      </c>
      <c r="C5" s="549" t="s">
        <v>236</v>
      </c>
      <c r="D5" s="250" t="s">
        <v>201</v>
      </c>
      <c r="E5" s="550" t="s">
        <v>202</v>
      </c>
      <c r="F5" s="550"/>
      <c r="G5" s="551" t="s">
        <v>237</v>
      </c>
      <c r="H5" s="1" t="s">
        <v>238</v>
      </c>
      <c r="I5" s="1" t="s">
        <v>220</v>
      </c>
      <c r="J5" s="1" t="s">
        <v>239</v>
      </c>
      <c r="K5" s="1" t="s">
        <v>240</v>
      </c>
      <c r="L5" s="380" t="s">
        <v>241</v>
      </c>
      <c r="M5" s="187"/>
      <c r="N5" s="231">
        <v>45209</v>
      </c>
      <c r="O5" s="552" t="s">
        <v>210</v>
      </c>
      <c r="P5" s="553" t="s">
        <v>242</v>
      </c>
      <c r="Q5" s="539">
        <v>0</v>
      </c>
      <c r="R5" s="282" t="s">
        <v>243</v>
      </c>
      <c r="S5" s="282">
        <v>23</v>
      </c>
      <c r="T5" s="540">
        <v>0</v>
      </c>
      <c r="U5" s="260">
        <v>46032</v>
      </c>
      <c r="V5" s="331">
        <v>46032</v>
      </c>
      <c r="W5" s="539">
        <v>23</v>
      </c>
      <c r="X5" s="543" t="s">
        <v>35</v>
      </c>
      <c r="Y5" s="544"/>
      <c r="Z5" s="545"/>
      <c r="AA5" s="543"/>
      <c r="AB5" s="545">
        <f t="shared" si="0"/>
        <v>0</v>
      </c>
      <c r="AC5" s="250" t="s">
        <v>244</v>
      </c>
      <c r="AD5" s="283">
        <v>23</v>
      </c>
      <c r="AE5" s="540">
        <v>0</v>
      </c>
      <c r="AF5" s="260">
        <v>46063</v>
      </c>
      <c r="AG5" s="485">
        <v>46060.4146312384</v>
      </c>
      <c r="AH5" s="335">
        <v>23</v>
      </c>
      <c r="AI5" s="336" t="s">
        <v>35</v>
      </c>
      <c r="AJ5" s="337"/>
      <c r="AK5" s="335"/>
      <c r="AL5" s="336"/>
      <c r="AM5" s="335">
        <f t="shared" si="1"/>
        <v>0</v>
      </c>
      <c r="AN5" s="340" t="s">
        <v>245</v>
      </c>
      <c r="AO5" s="282">
        <v>23</v>
      </c>
      <c r="AP5" s="540">
        <v>0</v>
      </c>
      <c r="AQ5" s="260">
        <v>46091</v>
      </c>
      <c r="AR5" s="340" t="s">
        <v>233</v>
      </c>
      <c r="AS5" s="335">
        <v>23</v>
      </c>
      <c r="AT5" s="337" t="s">
        <v>35</v>
      </c>
      <c r="AU5" s="337"/>
      <c r="AV5" s="335"/>
      <c r="AW5" s="337"/>
      <c r="AX5" s="335">
        <f t="shared" si="2"/>
        <v>0</v>
      </c>
      <c r="AY5" s="340" t="s">
        <v>246</v>
      </c>
      <c r="AZ5" s="282">
        <f>23+15</f>
        <v>38</v>
      </c>
      <c r="BA5" s="540">
        <v>0</v>
      </c>
      <c r="BB5" s="260">
        <v>46122</v>
      </c>
      <c r="BC5" s="340" t="s">
        <v>247</v>
      </c>
      <c r="BD5" s="335">
        <f>23+15</f>
        <v>38</v>
      </c>
      <c r="BE5" s="337" t="s">
        <v>35</v>
      </c>
      <c r="BF5" s="337"/>
      <c r="BG5" s="335"/>
      <c r="BH5" s="337"/>
      <c r="BI5" s="335">
        <f t="shared" si="3"/>
        <v>0</v>
      </c>
      <c r="BJ5" s="340"/>
      <c r="BK5" s="282">
        <f>23+15</f>
        <v>38</v>
      </c>
      <c r="BL5" s="540">
        <v>0</v>
      </c>
      <c r="BM5" s="260">
        <v>46152</v>
      </c>
      <c r="BN5" s="340"/>
      <c r="BO5" s="335"/>
      <c r="BP5" s="337"/>
      <c r="BQ5" s="337"/>
      <c r="BR5" s="335"/>
      <c r="BS5" s="337"/>
      <c r="BT5" s="335">
        <f t="shared" si="4"/>
        <v>38</v>
      </c>
      <c r="BU5" s="340"/>
    </row>
    <row r="6" customHeight="1" spans="1:73">
      <c r="A6" s="554" t="s">
        <v>248</v>
      </c>
      <c r="B6" s="555" t="s">
        <v>249</v>
      </c>
      <c r="C6" s="546" t="s">
        <v>250</v>
      </c>
      <c r="D6" s="250" t="s">
        <v>251</v>
      </c>
      <c r="E6" s="556"/>
      <c r="F6" s="557"/>
      <c r="G6" s="536" t="s">
        <v>252</v>
      </c>
      <c r="H6" s="7" t="s">
        <v>238</v>
      </c>
      <c r="I6" s="7" t="s">
        <v>220</v>
      </c>
      <c r="J6" s="7" t="s">
        <v>253</v>
      </c>
      <c r="K6" s="7" t="s">
        <v>254</v>
      </c>
      <c r="L6" s="222" t="s">
        <v>255</v>
      </c>
      <c r="M6" s="49"/>
      <c r="N6" s="54">
        <v>44347</v>
      </c>
      <c r="O6" s="327" t="s">
        <v>232</v>
      </c>
      <c r="P6" s="558">
        <v>37</v>
      </c>
      <c r="Q6" s="539">
        <v>0</v>
      </c>
      <c r="R6" s="282"/>
      <c r="T6" s="540">
        <v>0</v>
      </c>
      <c r="U6" s="559"/>
      <c r="V6" s="350"/>
      <c r="W6" s="545"/>
      <c r="X6" s="543"/>
      <c r="Y6" s="544"/>
      <c r="Z6" s="545"/>
      <c r="AA6" s="543"/>
      <c r="AB6" s="545">
        <f t="shared" si="0"/>
        <v>0</v>
      </c>
      <c r="AC6" s="250" t="s">
        <v>213</v>
      </c>
      <c r="AD6" s="280"/>
      <c r="AE6" s="540">
        <v>0</v>
      </c>
      <c r="AF6" s="559"/>
      <c r="AH6" s="338"/>
      <c r="AI6" s="339"/>
      <c r="AJ6" s="345"/>
      <c r="AK6" s="338"/>
      <c r="AL6" s="339"/>
      <c r="AM6" s="338">
        <f t="shared" si="1"/>
        <v>0</v>
      </c>
      <c r="AN6" s="340" t="s">
        <v>213</v>
      </c>
      <c r="AP6" s="540">
        <v>0</v>
      </c>
      <c r="AQ6" s="559"/>
      <c r="AR6" s="340"/>
      <c r="AS6" s="335"/>
      <c r="AT6" s="337"/>
      <c r="AU6" s="337"/>
      <c r="AV6" s="335"/>
      <c r="AW6" s="337"/>
      <c r="AX6" s="335">
        <f t="shared" si="2"/>
        <v>0</v>
      </c>
      <c r="AY6" s="340" t="s">
        <v>213</v>
      </c>
      <c r="BA6" s="540">
        <v>0</v>
      </c>
      <c r="BB6" s="559"/>
      <c r="BC6" s="340"/>
      <c r="BD6" s="335"/>
      <c r="BE6" s="337"/>
      <c r="BF6" s="337"/>
      <c r="BG6" s="335"/>
      <c r="BH6" s="337"/>
      <c r="BI6" s="335">
        <f t="shared" si="3"/>
        <v>0</v>
      </c>
      <c r="BJ6" s="340"/>
      <c r="BL6" s="540">
        <v>0</v>
      </c>
      <c r="BM6" s="559"/>
      <c r="BN6" s="340"/>
      <c r="BO6" s="335"/>
      <c r="BP6" s="337"/>
      <c r="BQ6" s="337"/>
      <c r="BR6" s="335"/>
      <c r="BS6" s="337"/>
      <c r="BT6" s="335">
        <f t="shared" si="4"/>
        <v>0</v>
      </c>
      <c r="BU6" s="340"/>
    </row>
    <row r="7" customHeight="1" spans="1:73">
      <c r="A7" s="560" t="s">
        <v>256</v>
      </c>
      <c r="B7" s="38" t="s">
        <v>257</v>
      </c>
      <c r="C7" s="549" t="s">
        <v>258</v>
      </c>
      <c r="D7" s="250" t="s">
        <v>201</v>
      </c>
      <c r="E7" s="557" t="s">
        <v>202</v>
      </c>
      <c r="F7" s="557"/>
      <c r="G7" s="536" t="s">
        <v>259</v>
      </c>
      <c r="H7" s="7" t="s">
        <v>238</v>
      </c>
      <c r="I7" s="7" t="s">
        <v>206</v>
      </c>
      <c r="J7" s="7" t="s">
        <v>260</v>
      </c>
      <c r="K7" s="427" t="s">
        <v>261</v>
      </c>
      <c r="L7" s="222" t="s">
        <v>262</v>
      </c>
      <c r="M7" s="414" t="s">
        <v>263</v>
      </c>
      <c r="N7" s="54">
        <v>44348</v>
      </c>
      <c r="O7" s="327" t="s">
        <v>232</v>
      </c>
      <c r="P7" s="558">
        <v>37</v>
      </c>
      <c r="Q7" s="539">
        <v>0</v>
      </c>
      <c r="R7" s="282" t="s">
        <v>264</v>
      </c>
      <c r="S7" s="282">
        <v>23</v>
      </c>
      <c r="T7" s="540">
        <v>0</v>
      </c>
      <c r="U7" s="260">
        <v>46036</v>
      </c>
      <c r="V7" s="331">
        <v>46037</v>
      </c>
      <c r="W7" s="539">
        <v>23</v>
      </c>
      <c r="X7" s="543" t="s">
        <v>56</v>
      </c>
      <c r="Y7" s="544"/>
      <c r="Z7" s="545"/>
      <c r="AA7" s="543"/>
      <c r="AB7" s="545">
        <f t="shared" si="0"/>
        <v>0</v>
      </c>
      <c r="AC7" s="250" t="s">
        <v>265</v>
      </c>
      <c r="AD7" s="283">
        <v>23</v>
      </c>
      <c r="AE7" s="540">
        <v>0</v>
      </c>
      <c r="AF7" s="260">
        <v>46067</v>
      </c>
      <c r="AG7" s="485">
        <v>46073.6873946991</v>
      </c>
      <c r="AH7" s="335">
        <v>23</v>
      </c>
      <c r="AI7" s="336" t="s">
        <v>56</v>
      </c>
      <c r="AJ7" s="337"/>
      <c r="AK7" s="335"/>
      <c r="AL7" s="336"/>
      <c r="AM7" s="335">
        <f t="shared" si="1"/>
        <v>0</v>
      </c>
      <c r="AN7" s="340" t="s">
        <v>266</v>
      </c>
      <c r="AO7" s="282">
        <v>23</v>
      </c>
      <c r="AP7" s="540">
        <v>0</v>
      </c>
      <c r="AQ7" s="260">
        <v>46095</v>
      </c>
      <c r="AR7" s="340" t="s">
        <v>267</v>
      </c>
      <c r="AS7" s="335">
        <v>23</v>
      </c>
      <c r="AT7" s="337" t="s">
        <v>56</v>
      </c>
      <c r="AU7" s="337"/>
      <c r="AV7" s="335"/>
      <c r="AW7" s="337"/>
      <c r="AX7" s="335">
        <f t="shared" si="2"/>
        <v>0</v>
      </c>
      <c r="AY7" s="340" t="s">
        <v>268</v>
      </c>
      <c r="AZ7" s="282">
        <v>23</v>
      </c>
      <c r="BA7" s="540">
        <v>0</v>
      </c>
      <c r="BB7" s="260">
        <v>46126</v>
      </c>
      <c r="BC7" s="340" t="s">
        <v>215</v>
      </c>
      <c r="BD7" s="335">
        <v>23</v>
      </c>
      <c r="BE7" s="337" t="s">
        <v>56</v>
      </c>
      <c r="BF7" s="337"/>
      <c r="BG7" s="335"/>
      <c r="BH7" s="337"/>
      <c r="BI7" s="335">
        <f t="shared" si="3"/>
        <v>0</v>
      </c>
      <c r="BJ7" s="340" t="s">
        <v>269</v>
      </c>
      <c r="BK7" s="282">
        <v>23</v>
      </c>
      <c r="BL7" s="540">
        <v>0</v>
      </c>
      <c r="BM7" s="260">
        <v>46156</v>
      </c>
      <c r="BN7" s="340"/>
      <c r="BO7" s="335"/>
      <c r="BP7" s="337"/>
      <c r="BQ7" s="337"/>
      <c r="BR7" s="335"/>
      <c r="BS7" s="337"/>
      <c r="BT7" s="335">
        <f t="shared" si="4"/>
        <v>23</v>
      </c>
      <c r="BU7" s="340"/>
    </row>
    <row r="8" customHeight="1" spans="1:73">
      <c r="A8" s="560" t="s">
        <v>270</v>
      </c>
      <c r="B8" s="561" t="s">
        <v>271</v>
      </c>
      <c r="C8" s="549" t="s">
        <v>272</v>
      </c>
      <c r="D8" s="250" t="s">
        <v>251</v>
      </c>
      <c r="E8" s="562" t="s">
        <v>202</v>
      </c>
      <c r="F8" s="562"/>
      <c r="G8" s="536" t="s">
        <v>273</v>
      </c>
      <c r="H8" s="7" t="s">
        <v>274</v>
      </c>
      <c r="I8" s="7" t="s">
        <v>206</v>
      </c>
      <c r="J8" s="7" t="s">
        <v>274</v>
      </c>
      <c r="K8" s="7" t="s">
        <v>275</v>
      </c>
      <c r="L8" s="222" t="s">
        <v>276</v>
      </c>
      <c r="M8" s="298" t="s">
        <v>277</v>
      </c>
      <c r="N8" s="355">
        <v>44349</v>
      </c>
      <c r="O8" s="327" t="s">
        <v>210</v>
      </c>
      <c r="P8" s="558">
        <v>37</v>
      </c>
      <c r="Q8" s="539">
        <v>0</v>
      </c>
      <c r="R8" s="282"/>
      <c r="S8" s="282"/>
      <c r="T8" s="540">
        <v>0</v>
      </c>
      <c r="U8" s="559"/>
      <c r="V8" s="350"/>
      <c r="W8" s="545"/>
      <c r="X8" s="543"/>
      <c r="Y8" s="544"/>
      <c r="Z8" s="545"/>
      <c r="AA8" s="543"/>
      <c r="AB8" s="545">
        <f t="shared" si="0"/>
        <v>0</v>
      </c>
      <c r="AC8" s="250" t="s">
        <v>213</v>
      </c>
      <c r="AD8" s="283"/>
      <c r="AE8" s="540">
        <v>0</v>
      </c>
      <c r="AF8" s="559"/>
      <c r="AH8" s="338"/>
      <c r="AI8" s="339"/>
      <c r="AJ8" s="345"/>
      <c r="AK8" s="338"/>
      <c r="AL8" s="339"/>
      <c r="AM8" s="338">
        <f t="shared" si="1"/>
        <v>0</v>
      </c>
      <c r="AN8" s="340" t="s">
        <v>213</v>
      </c>
      <c r="AO8" s="282"/>
      <c r="AP8" s="540">
        <v>0</v>
      </c>
      <c r="AQ8" s="559"/>
      <c r="AR8" s="340"/>
      <c r="AS8" s="335"/>
      <c r="AT8" s="337"/>
      <c r="AU8" s="337"/>
      <c r="AV8" s="335"/>
      <c r="AW8" s="337"/>
      <c r="AX8" s="335">
        <f t="shared" si="2"/>
        <v>0</v>
      </c>
      <c r="AY8" s="340" t="s">
        <v>213</v>
      </c>
      <c r="AZ8" s="282"/>
      <c r="BA8" s="540">
        <v>0</v>
      </c>
      <c r="BB8" s="559"/>
      <c r="BC8" s="340"/>
      <c r="BD8" s="335"/>
      <c r="BE8" s="337"/>
      <c r="BF8" s="337"/>
      <c r="BG8" s="335"/>
      <c r="BH8" s="337"/>
      <c r="BI8" s="335">
        <f t="shared" si="3"/>
        <v>0</v>
      </c>
      <c r="BJ8" s="340"/>
      <c r="BK8" s="282"/>
      <c r="BL8" s="540">
        <v>0</v>
      </c>
      <c r="BM8" s="559"/>
      <c r="BN8" s="340"/>
      <c r="BO8" s="335"/>
      <c r="BP8" s="337"/>
      <c r="BQ8" s="337"/>
      <c r="BR8" s="335"/>
      <c r="BS8" s="337"/>
      <c r="BT8" s="335">
        <f t="shared" si="4"/>
        <v>0</v>
      </c>
      <c r="BU8" s="340"/>
    </row>
    <row r="9" customHeight="1" spans="1:73">
      <c r="A9" s="563" t="s">
        <v>278</v>
      </c>
      <c r="B9" s="38" t="s">
        <v>279</v>
      </c>
      <c r="C9" s="549" t="s">
        <v>280</v>
      </c>
      <c r="D9" s="250" t="s">
        <v>201</v>
      </c>
      <c r="E9" s="564" t="s">
        <v>202</v>
      </c>
      <c r="F9" s="564"/>
      <c r="G9" s="536" t="s">
        <v>281</v>
      </c>
      <c r="H9" s="7" t="s">
        <v>274</v>
      </c>
      <c r="I9" s="7" t="s">
        <v>206</v>
      </c>
      <c r="J9" s="7" t="s">
        <v>282</v>
      </c>
      <c r="K9" s="7" t="s">
        <v>283</v>
      </c>
      <c r="L9" s="222" t="s">
        <v>284</v>
      </c>
      <c r="M9" s="565" t="s">
        <v>285</v>
      </c>
      <c r="N9" s="355">
        <v>44356</v>
      </c>
      <c r="O9" s="327" t="s">
        <v>210</v>
      </c>
      <c r="P9" s="558">
        <v>37</v>
      </c>
      <c r="Q9" s="539">
        <v>0</v>
      </c>
      <c r="R9" s="282" t="s">
        <v>286</v>
      </c>
      <c r="S9" s="282">
        <v>23</v>
      </c>
      <c r="T9" s="540">
        <v>0</v>
      </c>
      <c r="U9" s="260">
        <v>46031</v>
      </c>
      <c r="V9" s="331">
        <v>46028</v>
      </c>
      <c r="W9" s="539">
        <v>23</v>
      </c>
      <c r="X9" s="543" t="s">
        <v>35</v>
      </c>
      <c r="Y9" s="544"/>
      <c r="Z9" s="545"/>
      <c r="AA9" s="543"/>
      <c r="AB9" s="545">
        <f t="shared" si="0"/>
        <v>0</v>
      </c>
      <c r="AC9" s="250" t="s">
        <v>287</v>
      </c>
      <c r="AD9" s="283">
        <v>23</v>
      </c>
      <c r="AE9" s="540">
        <v>0</v>
      </c>
      <c r="AF9" s="260">
        <v>46062</v>
      </c>
      <c r="AG9" s="251">
        <v>46061</v>
      </c>
      <c r="AH9" s="335">
        <v>23</v>
      </c>
      <c r="AI9" s="336" t="s">
        <v>35</v>
      </c>
      <c r="AJ9" s="337"/>
      <c r="AK9" s="335"/>
      <c r="AL9" s="336"/>
      <c r="AM9" s="335">
        <f t="shared" si="1"/>
        <v>0</v>
      </c>
      <c r="AN9" s="340" t="s">
        <v>288</v>
      </c>
      <c r="AO9" s="282">
        <v>23</v>
      </c>
      <c r="AP9" s="540">
        <v>0</v>
      </c>
      <c r="AQ9" s="260">
        <v>46090</v>
      </c>
      <c r="AR9" s="340" t="s">
        <v>289</v>
      </c>
      <c r="AS9" s="335">
        <v>23</v>
      </c>
      <c r="AT9" s="337" t="s">
        <v>35</v>
      </c>
      <c r="AU9" s="337"/>
      <c r="AV9" s="335"/>
      <c r="AW9" s="337"/>
      <c r="AX9" s="335">
        <f t="shared" si="2"/>
        <v>0</v>
      </c>
      <c r="AY9" s="340" t="s">
        <v>290</v>
      </c>
      <c r="AZ9" s="282">
        <v>23</v>
      </c>
      <c r="BA9" s="540">
        <v>0</v>
      </c>
      <c r="BB9" s="260">
        <v>46121</v>
      </c>
      <c r="BC9" s="340" t="s">
        <v>247</v>
      </c>
      <c r="BD9" s="335">
        <v>23</v>
      </c>
      <c r="BE9" s="337" t="s">
        <v>35</v>
      </c>
      <c r="BF9" s="337"/>
      <c r="BG9" s="335"/>
      <c r="BH9" s="337"/>
      <c r="BI9" s="335">
        <f t="shared" si="3"/>
        <v>0</v>
      </c>
      <c r="BJ9" s="340" t="s">
        <v>291</v>
      </c>
      <c r="BK9" s="282">
        <v>23</v>
      </c>
      <c r="BL9" s="540">
        <v>0</v>
      </c>
      <c r="BM9" s="260">
        <v>46151</v>
      </c>
      <c r="BN9" s="340"/>
      <c r="BO9" s="335"/>
      <c r="BP9" s="337"/>
      <c r="BQ9" s="337"/>
      <c r="BR9" s="335"/>
      <c r="BS9" s="337"/>
      <c r="BT9" s="335">
        <f t="shared" si="4"/>
        <v>23</v>
      </c>
      <c r="BU9" s="340"/>
    </row>
    <row r="10" customHeight="1" spans="1:73">
      <c r="A10" s="566" t="s">
        <v>292</v>
      </c>
      <c r="B10" s="38" t="s">
        <v>293</v>
      </c>
      <c r="C10" s="567" t="s">
        <v>294</v>
      </c>
      <c r="D10" s="250" t="s">
        <v>201</v>
      </c>
      <c r="E10" s="564" t="s">
        <v>226</v>
      </c>
      <c r="F10" s="564"/>
      <c r="G10" s="536" t="s">
        <v>295</v>
      </c>
      <c r="H10" s="7" t="s">
        <v>238</v>
      </c>
      <c r="I10" s="7" t="s">
        <v>206</v>
      </c>
      <c r="J10" s="7" t="s">
        <v>296</v>
      </c>
      <c r="K10" s="7" t="s">
        <v>297</v>
      </c>
      <c r="L10" s="222" t="s">
        <v>298</v>
      </c>
      <c r="M10" s="414" t="s">
        <v>299</v>
      </c>
      <c r="N10" s="355">
        <v>44363</v>
      </c>
      <c r="O10" s="327" t="s">
        <v>210</v>
      </c>
      <c r="P10" s="558">
        <v>37</v>
      </c>
      <c r="Q10" s="539">
        <v>0</v>
      </c>
      <c r="R10" s="282"/>
      <c r="S10" s="282">
        <v>25</v>
      </c>
      <c r="T10" s="540">
        <v>2</v>
      </c>
      <c r="U10" s="260">
        <v>46041</v>
      </c>
      <c r="V10" s="542">
        <v>46048.7305757639</v>
      </c>
      <c r="W10" s="539">
        <v>20</v>
      </c>
      <c r="X10" s="543" t="s">
        <v>56</v>
      </c>
      <c r="Y10" s="544"/>
      <c r="Z10" s="545"/>
      <c r="AA10" s="543"/>
      <c r="AB10" s="545">
        <f t="shared" si="0"/>
        <v>7</v>
      </c>
      <c r="AC10" s="250" t="s">
        <v>213</v>
      </c>
      <c r="AD10" s="283">
        <v>25</v>
      </c>
      <c r="AE10" s="540">
        <v>2</v>
      </c>
      <c r="AF10" s="260">
        <v>46072</v>
      </c>
      <c r="AG10" s="485">
        <v>46077</v>
      </c>
      <c r="AH10" s="335">
        <f>20+14</f>
        <v>34</v>
      </c>
      <c r="AI10" s="336" t="s">
        <v>56</v>
      </c>
      <c r="AJ10" s="345"/>
      <c r="AK10" s="338"/>
      <c r="AL10" s="339"/>
      <c r="AM10" s="338">
        <f t="shared" si="1"/>
        <v>0</v>
      </c>
      <c r="AN10" s="340" t="s">
        <v>213</v>
      </c>
      <c r="AO10" s="282">
        <v>25</v>
      </c>
      <c r="AP10" s="540">
        <v>2</v>
      </c>
      <c r="AQ10" s="260">
        <v>46100</v>
      </c>
      <c r="AR10" s="485">
        <v>46107.7402594907</v>
      </c>
      <c r="AS10" s="335">
        <v>27</v>
      </c>
      <c r="AT10" s="337" t="s">
        <v>56</v>
      </c>
      <c r="AU10" s="337"/>
      <c r="AV10" s="335"/>
      <c r="AW10" s="337"/>
      <c r="AX10" s="335">
        <f t="shared" si="2"/>
        <v>0</v>
      </c>
      <c r="AY10" s="340" t="s">
        <v>213</v>
      </c>
      <c r="AZ10" s="282">
        <v>25</v>
      </c>
      <c r="BA10" s="540">
        <v>2</v>
      </c>
      <c r="BB10" s="260">
        <v>46131</v>
      </c>
      <c r="BC10" s="340" t="s">
        <v>223</v>
      </c>
      <c r="BD10" s="335">
        <v>23</v>
      </c>
      <c r="BE10" s="337" t="s">
        <v>56</v>
      </c>
      <c r="BF10" s="337"/>
      <c r="BG10" s="335"/>
      <c r="BH10" s="337"/>
      <c r="BI10" s="335">
        <f t="shared" si="3"/>
        <v>4</v>
      </c>
      <c r="BJ10" s="340"/>
      <c r="BK10" s="282">
        <v>25</v>
      </c>
      <c r="BL10" s="540">
        <v>2</v>
      </c>
      <c r="BM10" s="260">
        <v>46161</v>
      </c>
      <c r="BN10" s="340"/>
      <c r="BO10" s="335"/>
      <c r="BP10" s="337"/>
      <c r="BQ10" s="337"/>
      <c r="BR10" s="335"/>
      <c r="BS10" s="337"/>
      <c r="BT10" s="335">
        <f t="shared" si="4"/>
        <v>31</v>
      </c>
      <c r="BU10" s="340"/>
    </row>
    <row r="11" customHeight="1" spans="1:73">
      <c r="A11" s="566" t="s">
        <v>300</v>
      </c>
      <c r="B11" s="568" t="s">
        <v>301</v>
      </c>
      <c r="C11" s="549" t="s">
        <v>302</v>
      </c>
      <c r="D11" s="250" t="s">
        <v>201</v>
      </c>
      <c r="E11" s="564" t="s">
        <v>226</v>
      </c>
      <c r="F11" s="564"/>
      <c r="G11" s="536" t="s">
        <v>303</v>
      </c>
      <c r="H11" s="7" t="s">
        <v>238</v>
      </c>
      <c r="I11" s="7" t="s">
        <v>220</v>
      </c>
      <c r="J11" s="7" t="s">
        <v>304</v>
      </c>
      <c r="K11" s="366" t="s">
        <v>305</v>
      </c>
      <c r="L11" s="222" t="s">
        <v>306</v>
      </c>
      <c r="M11" s="414" t="s">
        <v>307</v>
      </c>
      <c r="N11" s="355">
        <v>45548</v>
      </c>
      <c r="O11" s="327" t="s">
        <v>232</v>
      </c>
      <c r="P11" s="538" t="s">
        <v>242</v>
      </c>
      <c r="Q11" s="539">
        <v>0</v>
      </c>
      <c r="R11" s="282" t="s">
        <v>308</v>
      </c>
      <c r="S11" s="282">
        <v>17.25</v>
      </c>
      <c r="T11" s="540">
        <v>2</v>
      </c>
      <c r="U11" s="260">
        <v>46037</v>
      </c>
      <c r="V11" s="331">
        <v>46031</v>
      </c>
      <c r="W11" s="539">
        <v>17.25</v>
      </c>
      <c r="X11" s="543" t="s">
        <v>23</v>
      </c>
      <c r="Y11" s="544"/>
      <c r="Z11" s="539">
        <v>2</v>
      </c>
      <c r="AA11" s="543" t="s">
        <v>23</v>
      </c>
      <c r="AB11" s="545">
        <f t="shared" si="0"/>
        <v>0</v>
      </c>
      <c r="AC11" s="250" t="s">
        <v>213</v>
      </c>
      <c r="AD11" s="283">
        <v>17.25</v>
      </c>
      <c r="AE11" s="540">
        <v>2</v>
      </c>
      <c r="AF11" s="260">
        <v>46068</v>
      </c>
      <c r="AG11" s="251">
        <v>46076</v>
      </c>
      <c r="AH11" s="335">
        <v>19.25</v>
      </c>
      <c r="AI11" s="336" t="s">
        <v>23</v>
      </c>
      <c r="AJ11" s="345"/>
      <c r="AK11" s="338"/>
      <c r="AL11" s="339"/>
      <c r="AM11" s="338">
        <f t="shared" si="1"/>
        <v>0</v>
      </c>
      <c r="AN11" s="340" t="s">
        <v>213</v>
      </c>
      <c r="AO11" s="282">
        <v>17.25</v>
      </c>
      <c r="AP11" s="540">
        <v>2</v>
      </c>
      <c r="AQ11" s="260">
        <v>46096</v>
      </c>
      <c r="AR11" s="340" t="s">
        <v>309</v>
      </c>
      <c r="AS11" s="335">
        <v>17.25</v>
      </c>
      <c r="AT11" s="337" t="s">
        <v>23</v>
      </c>
      <c r="AU11" s="337"/>
      <c r="AV11" s="335">
        <v>2</v>
      </c>
      <c r="AW11" s="337" t="s">
        <v>23</v>
      </c>
      <c r="AX11" s="335">
        <f t="shared" si="2"/>
        <v>0</v>
      </c>
      <c r="AY11" s="340" t="s">
        <v>213</v>
      </c>
      <c r="AZ11" s="282">
        <v>17.25</v>
      </c>
      <c r="BA11" s="540">
        <v>2</v>
      </c>
      <c r="BB11" s="260">
        <v>46127</v>
      </c>
      <c r="BC11" s="485">
        <v>46119.567634375</v>
      </c>
      <c r="BD11" s="335">
        <v>17.25</v>
      </c>
      <c r="BE11" s="337" t="s">
        <v>56</v>
      </c>
      <c r="BF11" s="337"/>
      <c r="BG11" s="335"/>
      <c r="BH11" s="337"/>
      <c r="BI11" s="335">
        <f t="shared" si="3"/>
        <v>2</v>
      </c>
      <c r="BJ11" s="340"/>
      <c r="BK11" s="282">
        <v>17.25</v>
      </c>
      <c r="BL11" s="540">
        <v>2</v>
      </c>
      <c r="BM11" s="260">
        <v>46157</v>
      </c>
      <c r="BN11" s="340"/>
      <c r="BO11" s="335"/>
      <c r="BP11" s="337"/>
      <c r="BQ11" s="337"/>
      <c r="BR11" s="335"/>
      <c r="BS11" s="337"/>
      <c r="BT11" s="335">
        <f t="shared" si="4"/>
        <v>21.25</v>
      </c>
      <c r="BU11" s="340"/>
    </row>
    <row r="12" customHeight="1" spans="1:73">
      <c r="A12" s="566" t="s">
        <v>310</v>
      </c>
      <c r="B12" s="38" t="s">
        <v>311</v>
      </c>
      <c r="C12" s="549" t="s">
        <v>312</v>
      </c>
      <c r="D12" s="250" t="s">
        <v>201</v>
      </c>
      <c r="E12" s="564" t="s">
        <v>202</v>
      </c>
      <c r="F12" s="564" t="s">
        <v>227</v>
      </c>
      <c r="G12" s="536" t="s">
        <v>313</v>
      </c>
      <c r="H12" s="7" t="s">
        <v>238</v>
      </c>
      <c r="I12" s="7" t="s">
        <v>220</v>
      </c>
      <c r="J12" s="7" t="s">
        <v>314</v>
      </c>
      <c r="K12" s="7" t="s">
        <v>315</v>
      </c>
      <c r="L12" s="222" t="s">
        <v>316</v>
      </c>
      <c r="M12" s="232"/>
      <c r="N12" s="355">
        <v>45666</v>
      </c>
      <c r="O12" s="327" t="s">
        <v>210</v>
      </c>
      <c r="P12" s="538" t="s">
        <v>242</v>
      </c>
      <c r="Q12" s="539">
        <v>0</v>
      </c>
      <c r="R12" s="282" t="s">
        <v>317</v>
      </c>
      <c r="S12" s="282">
        <v>17.25</v>
      </c>
      <c r="T12" s="540">
        <v>0</v>
      </c>
      <c r="U12" s="260">
        <v>46041</v>
      </c>
      <c r="V12" s="331">
        <v>46045</v>
      </c>
      <c r="W12" s="539">
        <v>17.25</v>
      </c>
      <c r="X12" s="543" t="s">
        <v>23</v>
      </c>
      <c r="Y12" s="544"/>
      <c r="Z12" s="545"/>
      <c r="AA12" s="543"/>
      <c r="AB12" s="545">
        <f t="shared" si="0"/>
        <v>0</v>
      </c>
      <c r="AC12" s="250" t="s">
        <v>318</v>
      </c>
      <c r="AD12" s="283">
        <v>17.25</v>
      </c>
      <c r="AE12" s="540">
        <v>0</v>
      </c>
      <c r="AF12" s="260">
        <v>46072</v>
      </c>
      <c r="AG12" s="485">
        <v>46076</v>
      </c>
      <c r="AH12" s="335">
        <v>17.25</v>
      </c>
      <c r="AI12" s="336" t="s">
        <v>56</v>
      </c>
      <c r="AJ12" s="337"/>
      <c r="AK12" s="335"/>
      <c r="AL12" s="336"/>
      <c r="AM12" s="335">
        <f t="shared" si="1"/>
        <v>0</v>
      </c>
      <c r="AN12" s="340" t="s">
        <v>319</v>
      </c>
      <c r="AO12" s="282">
        <v>17.25</v>
      </c>
      <c r="AP12" s="540">
        <v>0</v>
      </c>
      <c r="AQ12" s="260">
        <v>46100</v>
      </c>
      <c r="AR12" s="485">
        <v>46107.3592899306</v>
      </c>
      <c r="AS12" s="335">
        <v>17.25</v>
      </c>
      <c r="AT12" s="337" t="s">
        <v>56</v>
      </c>
      <c r="AU12" s="337"/>
      <c r="AV12" s="335"/>
      <c r="AW12" s="337"/>
      <c r="AX12" s="335">
        <f t="shared" si="2"/>
        <v>0</v>
      </c>
      <c r="AY12" s="340" t="s">
        <v>320</v>
      </c>
      <c r="AZ12" s="282">
        <v>17.25</v>
      </c>
      <c r="BA12" s="540">
        <v>0</v>
      </c>
      <c r="BB12" s="260">
        <v>46131</v>
      </c>
      <c r="BC12" s="340" t="s">
        <v>321</v>
      </c>
      <c r="BD12" s="335">
        <v>17.25</v>
      </c>
      <c r="BE12" s="337" t="s">
        <v>23</v>
      </c>
      <c r="BF12" s="337"/>
      <c r="BG12" s="335"/>
      <c r="BH12" s="337"/>
      <c r="BI12" s="335">
        <f t="shared" si="3"/>
        <v>0</v>
      </c>
      <c r="BJ12" s="340" t="s">
        <v>322</v>
      </c>
      <c r="BK12" s="282">
        <v>17.25</v>
      </c>
      <c r="BL12" s="540">
        <v>0</v>
      </c>
      <c r="BM12" s="260">
        <v>46161</v>
      </c>
      <c r="BN12" s="340"/>
      <c r="BO12" s="335"/>
      <c r="BP12" s="337"/>
      <c r="BQ12" s="337"/>
      <c r="BR12" s="335"/>
      <c r="BS12" s="337"/>
      <c r="BT12" s="335">
        <f t="shared" si="4"/>
        <v>17.25</v>
      </c>
      <c r="BU12" s="340"/>
    </row>
    <row r="13" customHeight="1" spans="1:73">
      <c r="A13" s="563" t="s">
        <v>323</v>
      </c>
      <c r="B13" s="568" t="s">
        <v>324</v>
      </c>
      <c r="C13" s="549" t="s">
        <v>325</v>
      </c>
      <c r="D13" s="527" t="s">
        <v>201</v>
      </c>
      <c r="E13" s="564" t="s">
        <v>202</v>
      </c>
      <c r="F13" s="564" t="s">
        <v>227</v>
      </c>
      <c r="G13" s="536" t="s">
        <v>326</v>
      </c>
      <c r="H13" s="7" t="s">
        <v>238</v>
      </c>
      <c r="I13" s="7" t="s">
        <v>206</v>
      </c>
      <c r="J13" s="7" t="s">
        <v>314</v>
      </c>
      <c r="K13" s="7" t="s">
        <v>327</v>
      </c>
      <c r="L13" s="222" t="s">
        <v>328</v>
      </c>
      <c r="M13" s="232"/>
      <c r="N13" s="355">
        <v>46059</v>
      </c>
      <c r="O13" s="327" t="s">
        <v>232</v>
      </c>
      <c r="P13" s="538" t="s">
        <v>242</v>
      </c>
      <c r="Q13" s="539">
        <v>0</v>
      </c>
      <c r="R13" s="282"/>
      <c r="S13" s="282">
        <v>20.54</v>
      </c>
      <c r="T13" s="540">
        <v>0</v>
      </c>
      <c r="U13" s="260">
        <v>46032</v>
      </c>
      <c r="V13" s="350"/>
      <c r="W13" s="545"/>
      <c r="X13" s="543"/>
      <c r="Y13" s="544"/>
      <c r="Z13" s="545"/>
      <c r="AA13" s="543"/>
      <c r="AB13" s="545">
        <f t="shared" si="0"/>
        <v>20.54</v>
      </c>
      <c r="AC13" s="250" t="s">
        <v>329</v>
      </c>
      <c r="AD13" s="283">
        <v>17.25</v>
      </c>
      <c r="AE13" s="540">
        <v>0</v>
      </c>
      <c r="AF13" s="260">
        <v>46063</v>
      </c>
      <c r="AG13" s="251">
        <v>46059</v>
      </c>
      <c r="AH13" s="335">
        <f>20.54+17.25</f>
        <v>37.79</v>
      </c>
      <c r="AI13" s="336" t="s">
        <v>56</v>
      </c>
      <c r="AJ13" s="337"/>
      <c r="AK13" s="335"/>
      <c r="AL13" s="336"/>
      <c r="AM13" s="569">
        <f t="shared" si="1"/>
        <v>0</v>
      </c>
      <c r="AN13" s="340" t="s">
        <v>213</v>
      </c>
      <c r="AO13" s="282">
        <v>17.25</v>
      </c>
      <c r="AP13" s="540">
        <v>0</v>
      </c>
      <c r="AQ13" s="260">
        <v>46091</v>
      </c>
      <c r="AR13" s="485">
        <v>46105.4734633218</v>
      </c>
      <c r="AS13" s="335">
        <v>20.54</v>
      </c>
      <c r="AT13" s="337" t="s">
        <v>56</v>
      </c>
      <c r="AU13" s="337"/>
      <c r="AV13" s="335"/>
      <c r="AW13" s="337"/>
      <c r="AX13" s="335">
        <v>0</v>
      </c>
      <c r="AY13" s="340" t="s">
        <v>213</v>
      </c>
      <c r="AZ13" s="282">
        <v>17.25</v>
      </c>
      <c r="BA13" s="540">
        <v>0</v>
      </c>
      <c r="BB13" s="260">
        <v>46122</v>
      </c>
      <c r="BC13" s="340" t="s">
        <v>330</v>
      </c>
      <c r="BD13" s="335">
        <v>17.25</v>
      </c>
      <c r="BE13" s="337" t="s">
        <v>35</v>
      </c>
      <c r="BF13" s="337"/>
      <c r="BG13" s="335"/>
      <c r="BH13" s="337"/>
      <c r="BI13" s="335">
        <f t="shared" si="3"/>
        <v>0</v>
      </c>
      <c r="BJ13" s="340"/>
      <c r="BK13" s="282">
        <v>17.25</v>
      </c>
      <c r="BL13" s="540">
        <v>0</v>
      </c>
      <c r="BM13" s="260">
        <v>46152</v>
      </c>
      <c r="BN13" s="340"/>
      <c r="BO13" s="335"/>
      <c r="BP13" s="337"/>
      <c r="BQ13" s="337"/>
      <c r="BR13" s="335"/>
      <c r="BS13" s="337"/>
      <c r="BT13" s="335">
        <f t="shared" si="4"/>
        <v>17.25</v>
      </c>
      <c r="BU13" s="340"/>
    </row>
    <row r="14" customHeight="1" spans="1:73">
      <c r="A14" s="563" t="s">
        <v>331</v>
      </c>
      <c r="B14" s="570" t="s">
        <v>332</v>
      </c>
      <c r="C14" s="549" t="s">
        <v>333</v>
      </c>
      <c r="D14" s="250" t="s">
        <v>201</v>
      </c>
      <c r="E14" s="564" t="s">
        <v>202</v>
      </c>
      <c r="F14" s="564"/>
      <c r="G14" s="536" t="s">
        <v>334</v>
      </c>
      <c r="H14" s="7" t="s">
        <v>238</v>
      </c>
      <c r="I14" s="7" t="s">
        <v>206</v>
      </c>
      <c r="J14" s="7" t="s">
        <v>314</v>
      </c>
      <c r="K14" s="7" t="s">
        <v>335</v>
      </c>
      <c r="L14" s="222" t="s">
        <v>336</v>
      </c>
      <c r="M14" s="232"/>
      <c r="N14" s="355">
        <v>44383</v>
      </c>
      <c r="O14" s="327" t="s">
        <v>232</v>
      </c>
      <c r="P14" s="538" t="s">
        <v>242</v>
      </c>
      <c r="Q14" s="539">
        <v>0</v>
      </c>
      <c r="R14" s="282"/>
      <c r="S14" s="282">
        <v>17.25</v>
      </c>
      <c r="T14" s="540">
        <v>0</v>
      </c>
      <c r="U14" s="260">
        <v>46031</v>
      </c>
      <c r="V14" s="331">
        <v>46266</v>
      </c>
      <c r="W14" s="539">
        <v>17.25</v>
      </c>
      <c r="X14" s="543" t="s">
        <v>56</v>
      </c>
      <c r="Y14" s="544"/>
      <c r="Z14" s="545"/>
      <c r="AA14" s="543"/>
      <c r="AB14" s="545">
        <f t="shared" si="0"/>
        <v>0</v>
      </c>
      <c r="AC14" s="250" t="s">
        <v>213</v>
      </c>
      <c r="AD14" s="283">
        <v>17.25</v>
      </c>
      <c r="AE14" s="540">
        <v>0</v>
      </c>
      <c r="AF14" s="260">
        <v>46062</v>
      </c>
      <c r="AG14" s="251">
        <v>46064</v>
      </c>
      <c r="AH14" s="335">
        <v>17.25</v>
      </c>
      <c r="AI14" s="336" t="s">
        <v>56</v>
      </c>
      <c r="AJ14" s="345"/>
      <c r="AK14" s="338"/>
      <c r="AL14" s="339"/>
      <c r="AM14" s="338">
        <f t="shared" si="1"/>
        <v>0</v>
      </c>
      <c r="AN14" s="340" t="s">
        <v>213</v>
      </c>
      <c r="AO14" s="282">
        <v>17.25</v>
      </c>
      <c r="AP14" s="540">
        <v>0</v>
      </c>
      <c r="AQ14" s="260">
        <v>46090</v>
      </c>
      <c r="AR14" s="340" t="s">
        <v>309</v>
      </c>
      <c r="AS14" s="335">
        <v>17.25</v>
      </c>
      <c r="AT14" s="337" t="s">
        <v>56</v>
      </c>
      <c r="AU14" s="337"/>
      <c r="AV14" s="335"/>
      <c r="AW14" s="337"/>
      <c r="AX14" s="335">
        <f t="shared" ref="AX14:AX92" si="5">(AM14+AO14+AP14)-(AS14+AV14)</f>
        <v>0</v>
      </c>
      <c r="AY14" s="340" t="s">
        <v>213</v>
      </c>
      <c r="AZ14" s="282">
        <v>17.25</v>
      </c>
      <c r="BA14" s="540">
        <v>0</v>
      </c>
      <c r="BB14" s="260">
        <v>46121</v>
      </c>
      <c r="BC14" s="485">
        <v>46122.3927856829</v>
      </c>
      <c r="BD14" s="335">
        <v>17.25</v>
      </c>
      <c r="BE14" s="337" t="s">
        <v>56</v>
      </c>
      <c r="BF14" s="337"/>
      <c r="BG14" s="335"/>
      <c r="BH14" s="337"/>
      <c r="BI14" s="335">
        <f t="shared" si="3"/>
        <v>0</v>
      </c>
      <c r="BJ14" s="340"/>
      <c r="BK14" s="282">
        <v>17.25</v>
      </c>
      <c r="BL14" s="540">
        <v>0</v>
      </c>
      <c r="BM14" s="260">
        <v>46151</v>
      </c>
      <c r="BN14" s="340"/>
      <c r="BO14" s="335"/>
      <c r="BP14" s="337"/>
      <c r="BQ14" s="337"/>
      <c r="BR14" s="335"/>
      <c r="BS14" s="337"/>
      <c r="BT14" s="335">
        <f t="shared" si="4"/>
        <v>17.25</v>
      </c>
      <c r="BU14" s="340"/>
    </row>
    <row r="15" customHeight="1" spans="1:73">
      <c r="A15" s="563" t="s">
        <v>337</v>
      </c>
      <c r="B15" s="38" t="s">
        <v>338</v>
      </c>
      <c r="C15" s="549" t="s">
        <v>339</v>
      </c>
      <c r="D15" s="250" t="s">
        <v>201</v>
      </c>
      <c r="E15" s="564" t="s">
        <v>226</v>
      </c>
      <c r="F15" s="564"/>
      <c r="G15" s="536" t="s">
        <v>340</v>
      </c>
      <c r="H15" s="7" t="s">
        <v>238</v>
      </c>
      <c r="I15" s="7" t="s">
        <v>206</v>
      </c>
      <c r="J15" s="7" t="s">
        <v>341</v>
      </c>
      <c r="K15" s="571" t="s">
        <v>342</v>
      </c>
      <c r="L15" s="222" t="s">
        <v>343</v>
      </c>
      <c r="M15" s="232"/>
      <c r="N15" s="355">
        <v>44403</v>
      </c>
      <c r="O15" s="327" t="s">
        <v>210</v>
      </c>
      <c r="P15" s="538" t="s">
        <v>242</v>
      </c>
      <c r="Q15" s="539">
        <v>0</v>
      </c>
      <c r="R15" s="282" t="s">
        <v>344</v>
      </c>
      <c r="S15" s="282">
        <v>17.25</v>
      </c>
      <c r="T15" s="540">
        <v>0</v>
      </c>
      <c r="U15" s="260">
        <v>46031</v>
      </c>
      <c r="V15" s="331">
        <v>46035</v>
      </c>
      <c r="W15" s="539">
        <v>17.25</v>
      </c>
      <c r="X15" s="543" t="s">
        <v>23</v>
      </c>
      <c r="Y15" s="544"/>
      <c r="Z15" s="545"/>
      <c r="AA15" s="543"/>
      <c r="AB15" s="545">
        <f t="shared" si="0"/>
        <v>0</v>
      </c>
      <c r="AC15" s="250" t="s">
        <v>345</v>
      </c>
      <c r="AD15" s="283">
        <v>17.25</v>
      </c>
      <c r="AE15" s="540">
        <v>0</v>
      </c>
      <c r="AF15" s="260">
        <v>46062</v>
      </c>
      <c r="AG15" s="251">
        <v>46072</v>
      </c>
      <c r="AH15" s="335">
        <v>17.25</v>
      </c>
      <c r="AI15" s="336" t="s">
        <v>23</v>
      </c>
      <c r="AJ15" s="337"/>
      <c r="AK15" s="335"/>
      <c r="AL15" s="336"/>
      <c r="AM15" s="335">
        <f t="shared" si="1"/>
        <v>0</v>
      </c>
      <c r="AN15" s="340" t="s">
        <v>346</v>
      </c>
      <c r="AO15" s="282">
        <v>17.25</v>
      </c>
      <c r="AP15" s="540">
        <v>0</v>
      </c>
      <c r="AQ15" s="260">
        <v>46090</v>
      </c>
      <c r="AR15" s="340" t="s">
        <v>347</v>
      </c>
      <c r="AS15" s="335">
        <v>17.25</v>
      </c>
      <c r="AT15" s="337" t="s">
        <v>23</v>
      </c>
      <c r="AU15" s="337"/>
      <c r="AV15" s="335"/>
      <c r="AW15" s="337"/>
      <c r="AX15" s="335">
        <f t="shared" si="5"/>
        <v>0</v>
      </c>
      <c r="AY15" s="340" t="s">
        <v>348</v>
      </c>
      <c r="AZ15" s="282">
        <v>17.25</v>
      </c>
      <c r="BA15" s="540">
        <v>0</v>
      </c>
      <c r="BB15" s="260">
        <v>46121</v>
      </c>
      <c r="BC15" s="340" t="s">
        <v>247</v>
      </c>
      <c r="BD15" s="335">
        <v>17.25</v>
      </c>
      <c r="BE15" s="337" t="s">
        <v>23</v>
      </c>
      <c r="BF15" s="337"/>
      <c r="BG15" s="335"/>
      <c r="BH15" s="337"/>
      <c r="BI15" s="335">
        <f t="shared" si="3"/>
        <v>0</v>
      </c>
      <c r="BJ15" s="340" t="s">
        <v>349</v>
      </c>
      <c r="BK15" s="282">
        <v>17.25</v>
      </c>
      <c r="BL15" s="540">
        <v>0</v>
      </c>
      <c r="BM15" s="260">
        <v>46151</v>
      </c>
      <c r="BN15" s="340"/>
      <c r="BO15" s="335"/>
      <c r="BP15" s="337"/>
      <c r="BQ15" s="337"/>
      <c r="BR15" s="335"/>
      <c r="BS15" s="337"/>
      <c r="BT15" s="335">
        <f t="shared" si="4"/>
        <v>17.25</v>
      </c>
      <c r="BU15" s="340"/>
    </row>
    <row r="16" customHeight="1" spans="1:73">
      <c r="A16" s="566" t="s">
        <v>350</v>
      </c>
      <c r="B16" s="38" t="s">
        <v>351</v>
      </c>
      <c r="C16" s="549" t="s">
        <v>352</v>
      </c>
      <c r="D16" s="250" t="s">
        <v>201</v>
      </c>
      <c r="E16" s="564" t="s">
        <v>226</v>
      </c>
      <c r="F16" s="564"/>
      <c r="G16" s="536" t="s">
        <v>353</v>
      </c>
      <c r="H16" s="7" t="s">
        <v>238</v>
      </c>
      <c r="I16" s="7" t="s">
        <v>206</v>
      </c>
      <c r="J16" s="7" t="s">
        <v>354</v>
      </c>
      <c r="K16" s="7" t="s">
        <v>355</v>
      </c>
      <c r="L16" s="222" t="s">
        <v>356</v>
      </c>
      <c r="M16" s="232"/>
      <c r="N16" s="355">
        <v>44424</v>
      </c>
      <c r="O16" s="327" t="s">
        <v>232</v>
      </c>
      <c r="P16" s="538" t="s">
        <v>242</v>
      </c>
      <c r="Q16" s="539">
        <v>0</v>
      </c>
      <c r="R16" s="282" t="s">
        <v>357</v>
      </c>
      <c r="S16" s="282">
        <v>17.25</v>
      </c>
      <c r="T16" s="540">
        <v>0</v>
      </c>
      <c r="U16" s="260">
        <v>46031</v>
      </c>
      <c r="V16" s="331">
        <v>46037</v>
      </c>
      <c r="W16" s="539">
        <v>17.25</v>
      </c>
      <c r="X16" s="543" t="s">
        <v>56</v>
      </c>
      <c r="Y16" s="544"/>
      <c r="Z16" s="545"/>
      <c r="AA16" s="543"/>
      <c r="AB16" s="545">
        <f t="shared" si="0"/>
        <v>0</v>
      </c>
      <c r="AC16" s="250" t="s">
        <v>358</v>
      </c>
      <c r="AD16" s="283">
        <v>17.25</v>
      </c>
      <c r="AE16" s="540">
        <v>0</v>
      </c>
      <c r="AF16" s="260">
        <v>46062</v>
      </c>
      <c r="AG16" s="250"/>
      <c r="AH16" s="335">
        <v>17.25</v>
      </c>
      <c r="AI16" s="336" t="s">
        <v>56</v>
      </c>
      <c r="AJ16" s="337"/>
      <c r="AK16" s="335"/>
      <c r="AL16" s="336"/>
      <c r="AM16" s="335">
        <f t="shared" si="1"/>
        <v>0</v>
      </c>
      <c r="AN16" s="340" t="s">
        <v>359</v>
      </c>
      <c r="AO16" s="282">
        <v>17.25</v>
      </c>
      <c r="AP16" s="540">
        <v>0</v>
      </c>
      <c r="AQ16" s="260">
        <v>46090</v>
      </c>
      <c r="AR16" s="340" t="s">
        <v>360</v>
      </c>
      <c r="AS16" s="335">
        <v>17.25</v>
      </c>
      <c r="AT16" s="337" t="s">
        <v>56</v>
      </c>
      <c r="AU16" s="337"/>
      <c r="AV16" s="335"/>
      <c r="AW16" s="337"/>
      <c r="AX16" s="335">
        <f t="shared" si="5"/>
        <v>0</v>
      </c>
      <c r="AY16" s="340" t="s">
        <v>361</v>
      </c>
      <c r="AZ16" s="282">
        <v>17.25</v>
      </c>
      <c r="BA16" s="540">
        <v>0</v>
      </c>
      <c r="BB16" s="260">
        <v>46121</v>
      </c>
      <c r="BC16" s="340" t="s">
        <v>215</v>
      </c>
      <c r="BD16" s="335">
        <v>17.25</v>
      </c>
      <c r="BE16" s="337" t="s">
        <v>56</v>
      </c>
      <c r="BF16" s="337"/>
      <c r="BG16" s="335"/>
      <c r="BH16" s="337"/>
      <c r="BI16" s="335">
        <f t="shared" si="3"/>
        <v>0</v>
      </c>
      <c r="BJ16" s="340" t="s">
        <v>362</v>
      </c>
      <c r="BK16" s="282">
        <v>17.25</v>
      </c>
      <c r="BL16" s="540">
        <v>0</v>
      </c>
      <c r="BM16" s="260">
        <v>46151</v>
      </c>
      <c r="BN16" s="340"/>
      <c r="BO16" s="335"/>
      <c r="BP16" s="337"/>
      <c r="BQ16" s="337"/>
      <c r="BR16" s="335"/>
      <c r="BS16" s="337"/>
      <c r="BT16" s="335">
        <f t="shared" si="4"/>
        <v>17.25</v>
      </c>
      <c r="BU16" s="340"/>
    </row>
    <row r="17" customHeight="1" spans="1:73">
      <c r="A17" s="566" t="s">
        <v>363</v>
      </c>
      <c r="B17" s="38" t="s">
        <v>364</v>
      </c>
      <c r="C17" s="549" t="s">
        <v>365</v>
      </c>
      <c r="D17" s="250" t="s">
        <v>201</v>
      </c>
      <c r="E17" s="564" t="s">
        <v>226</v>
      </c>
      <c r="F17" s="564"/>
      <c r="G17" s="536" t="s">
        <v>366</v>
      </c>
      <c r="H17" s="7" t="s">
        <v>238</v>
      </c>
      <c r="I17" s="7" t="s">
        <v>220</v>
      </c>
      <c r="J17" s="7" t="s">
        <v>367</v>
      </c>
      <c r="K17" s="7" t="s">
        <v>368</v>
      </c>
      <c r="L17" s="222" t="s">
        <v>369</v>
      </c>
      <c r="M17" s="414" t="s">
        <v>370</v>
      </c>
      <c r="N17" s="355">
        <v>44438</v>
      </c>
      <c r="O17" s="327" t="s">
        <v>210</v>
      </c>
      <c r="P17" s="538" t="s">
        <v>242</v>
      </c>
      <c r="Q17" s="539">
        <v>0</v>
      </c>
      <c r="R17" s="282" t="s">
        <v>371</v>
      </c>
      <c r="S17" s="282">
        <v>23</v>
      </c>
      <c r="T17" s="540">
        <v>0</v>
      </c>
      <c r="U17" s="260">
        <v>46041</v>
      </c>
      <c r="V17" s="331">
        <v>46036</v>
      </c>
      <c r="W17" s="539">
        <v>23</v>
      </c>
      <c r="X17" s="543" t="s">
        <v>56</v>
      </c>
      <c r="Y17" s="544"/>
      <c r="Z17" s="545"/>
      <c r="AA17" s="543"/>
      <c r="AB17" s="545">
        <f t="shared" si="0"/>
        <v>0</v>
      </c>
      <c r="AC17" s="250" t="s">
        <v>372</v>
      </c>
      <c r="AD17" s="283">
        <v>23</v>
      </c>
      <c r="AE17" s="540">
        <v>0</v>
      </c>
      <c r="AF17" s="260">
        <v>46072</v>
      </c>
      <c r="AG17" s="251">
        <v>46064</v>
      </c>
      <c r="AH17" s="335">
        <v>23</v>
      </c>
      <c r="AI17" s="336" t="s">
        <v>56</v>
      </c>
      <c r="AJ17" s="337"/>
      <c r="AK17" s="335"/>
      <c r="AL17" s="336"/>
      <c r="AM17" s="335">
        <f t="shared" si="1"/>
        <v>0</v>
      </c>
      <c r="AN17" s="340" t="s">
        <v>373</v>
      </c>
      <c r="AO17" s="282">
        <v>23</v>
      </c>
      <c r="AP17" s="540">
        <v>0</v>
      </c>
      <c r="AQ17" s="260">
        <v>46100</v>
      </c>
      <c r="AR17" s="340" t="s">
        <v>309</v>
      </c>
      <c r="AS17" s="335">
        <v>23</v>
      </c>
      <c r="AT17" s="337" t="s">
        <v>35</v>
      </c>
      <c r="AU17" s="337"/>
      <c r="AV17" s="335"/>
      <c r="AW17" s="337"/>
      <c r="AX17" s="335">
        <f t="shared" si="5"/>
        <v>0</v>
      </c>
      <c r="AY17" s="340" t="s">
        <v>374</v>
      </c>
      <c r="AZ17" s="282">
        <v>23</v>
      </c>
      <c r="BA17" s="540">
        <v>0</v>
      </c>
      <c r="BB17" s="260">
        <v>46131</v>
      </c>
      <c r="BC17" s="340" t="s">
        <v>375</v>
      </c>
      <c r="BD17" s="335">
        <v>23</v>
      </c>
      <c r="BE17" s="337" t="s">
        <v>56</v>
      </c>
      <c r="BF17" s="337"/>
      <c r="BG17" s="335"/>
      <c r="BH17" s="337"/>
      <c r="BI17" s="335">
        <f t="shared" si="3"/>
        <v>0</v>
      </c>
      <c r="BJ17" s="340" t="s">
        <v>376</v>
      </c>
      <c r="BK17" s="282">
        <v>23</v>
      </c>
      <c r="BL17" s="540">
        <v>0</v>
      </c>
      <c r="BM17" s="260">
        <v>46161</v>
      </c>
      <c r="BN17" s="340"/>
      <c r="BO17" s="335"/>
      <c r="BP17" s="337"/>
      <c r="BQ17" s="337"/>
      <c r="BR17" s="335"/>
      <c r="BS17" s="337"/>
      <c r="BT17" s="335">
        <f t="shared" si="4"/>
        <v>23</v>
      </c>
      <c r="BU17" s="340"/>
    </row>
    <row r="18" customHeight="1" spans="1:73">
      <c r="A18" s="572" t="s">
        <v>377</v>
      </c>
      <c r="B18" s="38" t="s">
        <v>378</v>
      </c>
      <c r="C18" s="549" t="s">
        <v>379</v>
      </c>
      <c r="D18" s="250" t="s">
        <v>201</v>
      </c>
      <c r="E18" s="564" t="s">
        <v>202</v>
      </c>
      <c r="F18" s="564"/>
      <c r="G18" s="536" t="s">
        <v>380</v>
      </c>
      <c r="H18" s="7" t="s">
        <v>238</v>
      </c>
      <c r="I18" s="7" t="s">
        <v>220</v>
      </c>
      <c r="J18" s="7" t="s">
        <v>381</v>
      </c>
      <c r="K18" s="573" t="s">
        <v>335</v>
      </c>
      <c r="L18" s="222" t="s">
        <v>382</v>
      </c>
      <c r="M18" s="298" t="s">
        <v>383</v>
      </c>
      <c r="N18" s="355">
        <v>45992</v>
      </c>
      <c r="O18" s="327" t="s">
        <v>384</v>
      </c>
      <c r="P18" s="538" t="s">
        <v>242</v>
      </c>
      <c r="Q18" s="539">
        <v>0</v>
      </c>
      <c r="R18" s="282"/>
      <c r="S18" s="282">
        <v>20.54</v>
      </c>
      <c r="T18" s="540">
        <v>0</v>
      </c>
      <c r="U18" s="260">
        <v>46041</v>
      </c>
      <c r="V18" s="350" t="s">
        <v>385</v>
      </c>
      <c r="W18" s="539">
        <v>20.54</v>
      </c>
      <c r="X18" s="543" t="s">
        <v>56</v>
      </c>
      <c r="Y18" s="544"/>
      <c r="Z18" s="545"/>
      <c r="AA18" s="543"/>
      <c r="AB18" s="545">
        <f t="shared" si="0"/>
        <v>0</v>
      </c>
      <c r="AC18" s="250" t="s">
        <v>213</v>
      </c>
      <c r="AD18" s="283">
        <v>20.54</v>
      </c>
      <c r="AE18" s="540">
        <v>2</v>
      </c>
      <c r="AF18" s="260">
        <v>46072</v>
      </c>
      <c r="AG18" s="485">
        <v>46078.5142775116</v>
      </c>
      <c r="AH18" s="335">
        <v>22.54</v>
      </c>
      <c r="AI18" s="336" t="s">
        <v>56</v>
      </c>
      <c r="AJ18" s="345"/>
      <c r="AK18" s="338"/>
      <c r="AL18" s="339"/>
      <c r="AM18" s="338">
        <f t="shared" si="1"/>
        <v>0</v>
      </c>
      <c r="AN18" s="340" t="s">
        <v>213</v>
      </c>
      <c r="AO18" s="282">
        <v>20.54</v>
      </c>
      <c r="AP18" s="540">
        <v>2</v>
      </c>
      <c r="AQ18" s="260">
        <v>46100</v>
      </c>
      <c r="AR18" s="340" t="s">
        <v>386</v>
      </c>
      <c r="AS18" s="335">
        <v>20.54</v>
      </c>
      <c r="AT18" s="337" t="s">
        <v>56</v>
      </c>
      <c r="AU18" s="337"/>
      <c r="AV18" s="335">
        <v>2</v>
      </c>
      <c r="AW18" s="337" t="s">
        <v>56</v>
      </c>
      <c r="AX18" s="335">
        <f t="shared" si="5"/>
        <v>0</v>
      </c>
      <c r="AY18" s="340" t="s">
        <v>213</v>
      </c>
      <c r="AZ18" s="282">
        <v>20.54</v>
      </c>
      <c r="BA18" s="540">
        <v>2</v>
      </c>
      <c r="BB18" s="260">
        <v>46131</v>
      </c>
      <c r="BC18" s="485">
        <v>46487</v>
      </c>
      <c r="BD18" s="335">
        <v>20.54</v>
      </c>
      <c r="BE18" s="337" t="s">
        <v>56</v>
      </c>
      <c r="BF18" s="337"/>
      <c r="BG18" s="335">
        <v>2</v>
      </c>
      <c r="BH18" s="337" t="s">
        <v>56</v>
      </c>
      <c r="BI18" s="335">
        <f t="shared" si="3"/>
        <v>0</v>
      </c>
      <c r="BJ18" s="340"/>
      <c r="BK18" s="282">
        <v>20.54</v>
      </c>
      <c r="BL18" s="540">
        <v>2</v>
      </c>
      <c r="BM18" s="260">
        <v>46161</v>
      </c>
      <c r="BN18" s="340"/>
      <c r="BO18" s="335"/>
      <c r="BP18" s="337"/>
      <c r="BQ18" s="337"/>
      <c r="BR18" s="335"/>
      <c r="BS18" s="337"/>
      <c r="BT18" s="335">
        <f t="shared" si="4"/>
        <v>22.54</v>
      </c>
      <c r="BU18" s="340"/>
    </row>
    <row r="19" customHeight="1" spans="1:73">
      <c r="A19" s="574" t="s">
        <v>387</v>
      </c>
      <c r="B19" s="38" t="s">
        <v>388</v>
      </c>
      <c r="C19" s="549" t="s">
        <v>389</v>
      </c>
      <c r="D19" s="250" t="s">
        <v>201</v>
      </c>
      <c r="E19" s="564" t="s">
        <v>202</v>
      </c>
      <c r="F19" s="564"/>
      <c r="G19" s="536" t="s">
        <v>390</v>
      </c>
      <c r="H19" s="7" t="s">
        <v>238</v>
      </c>
      <c r="I19" s="7" t="s">
        <v>220</v>
      </c>
      <c r="J19" s="7" t="s">
        <v>391</v>
      </c>
      <c r="K19" s="7" t="s">
        <v>392</v>
      </c>
      <c r="L19" s="222" t="s">
        <v>393</v>
      </c>
      <c r="M19" s="232"/>
      <c r="N19" s="355">
        <v>44440</v>
      </c>
      <c r="O19" s="327" t="s">
        <v>232</v>
      </c>
      <c r="P19" s="538" t="s">
        <v>242</v>
      </c>
      <c r="Q19" s="539">
        <v>0</v>
      </c>
      <c r="R19" s="282" t="s">
        <v>394</v>
      </c>
      <c r="S19" s="282">
        <v>17.25</v>
      </c>
      <c r="T19" s="540">
        <v>0</v>
      </c>
      <c r="U19" s="260">
        <v>46041</v>
      </c>
      <c r="V19" s="331">
        <v>46045</v>
      </c>
      <c r="W19" s="539">
        <v>34.5</v>
      </c>
      <c r="X19" s="543" t="s">
        <v>35</v>
      </c>
      <c r="Y19" s="544"/>
      <c r="Z19" s="545"/>
      <c r="AA19" s="543"/>
      <c r="AB19" s="545">
        <f t="shared" si="0"/>
        <v>-17.25</v>
      </c>
      <c r="AC19" s="250" t="s">
        <v>395</v>
      </c>
      <c r="AD19" s="283">
        <v>17.25</v>
      </c>
      <c r="AE19" s="540">
        <v>0</v>
      </c>
      <c r="AF19" s="260">
        <v>46072</v>
      </c>
      <c r="AG19" s="485">
        <v>46073</v>
      </c>
      <c r="AH19" s="335">
        <v>17.25</v>
      </c>
      <c r="AI19" s="336" t="s">
        <v>35</v>
      </c>
      <c r="AJ19" s="337"/>
      <c r="AK19" s="335"/>
      <c r="AL19" s="336"/>
      <c r="AM19" s="335">
        <f t="shared" si="1"/>
        <v>-17.25</v>
      </c>
      <c r="AN19" s="340" t="s">
        <v>396</v>
      </c>
      <c r="AO19" s="282">
        <v>17.25</v>
      </c>
      <c r="AP19" s="540">
        <v>0</v>
      </c>
      <c r="AQ19" s="260">
        <v>46100</v>
      </c>
      <c r="AR19" s="340"/>
      <c r="AS19" s="335"/>
      <c r="AT19" s="337"/>
      <c r="AU19" s="337"/>
      <c r="AV19" s="335"/>
      <c r="AW19" s="337"/>
      <c r="AX19" s="335">
        <f t="shared" si="5"/>
        <v>0</v>
      </c>
      <c r="AY19" s="340" t="s">
        <v>397</v>
      </c>
      <c r="AZ19" s="282">
        <v>17.25</v>
      </c>
      <c r="BA19" s="540">
        <v>0</v>
      </c>
      <c r="BB19" s="260">
        <v>46131</v>
      </c>
      <c r="BC19" s="340" t="s">
        <v>398</v>
      </c>
      <c r="BD19" s="335">
        <v>20</v>
      </c>
      <c r="BE19" s="337" t="s">
        <v>35</v>
      </c>
      <c r="BF19" s="337"/>
      <c r="BG19" s="335"/>
      <c r="BH19" s="337"/>
      <c r="BI19" s="335">
        <f t="shared" si="3"/>
        <v>-2.75</v>
      </c>
      <c r="BJ19" s="340" t="s">
        <v>399</v>
      </c>
      <c r="BK19" s="282">
        <v>17.25</v>
      </c>
      <c r="BL19" s="540">
        <v>0</v>
      </c>
      <c r="BM19" s="260">
        <v>46161</v>
      </c>
      <c r="BN19" s="340"/>
      <c r="BO19" s="335"/>
      <c r="BP19" s="337"/>
      <c r="BQ19" s="337"/>
      <c r="BR19" s="335"/>
      <c r="BS19" s="337"/>
      <c r="BT19" s="335">
        <f t="shared" si="4"/>
        <v>14.5</v>
      </c>
      <c r="BU19" s="340"/>
    </row>
    <row r="20" customHeight="1" spans="1:73">
      <c r="A20" s="563" t="s">
        <v>400</v>
      </c>
      <c r="B20" s="12" t="s">
        <v>401</v>
      </c>
      <c r="C20" s="38" t="s">
        <v>402</v>
      </c>
      <c r="D20" s="250" t="s">
        <v>201</v>
      </c>
      <c r="E20" s="575" t="s">
        <v>202</v>
      </c>
      <c r="F20" s="575"/>
      <c r="G20" s="576" t="s">
        <v>403</v>
      </c>
      <c r="H20" s="12" t="s">
        <v>238</v>
      </c>
      <c r="I20" s="12" t="s">
        <v>220</v>
      </c>
      <c r="J20" s="12" t="s">
        <v>404</v>
      </c>
      <c r="K20" s="12" t="s">
        <v>405</v>
      </c>
      <c r="L20" s="50" t="s">
        <v>406</v>
      </c>
      <c r="M20" s="577"/>
      <c r="N20" s="348">
        <v>44446</v>
      </c>
      <c r="O20" s="343" t="s">
        <v>210</v>
      </c>
      <c r="P20" s="578" t="s">
        <v>242</v>
      </c>
      <c r="Q20" s="539">
        <v>0</v>
      </c>
      <c r="R20" s="282" t="s">
        <v>407</v>
      </c>
      <c r="S20" s="282">
        <v>23</v>
      </c>
      <c r="T20" s="540">
        <v>0</v>
      </c>
      <c r="U20" s="260">
        <v>46037</v>
      </c>
      <c r="V20" s="350" t="s">
        <v>385</v>
      </c>
      <c r="W20" s="539">
        <v>23</v>
      </c>
      <c r="X20" s="543" t="s">
        <v>56</v>
      </c>
      <c r="Y20" s="544"/>
      <c r="Z20" s="545"/>
      <c r="AA20" s="543"/>
      <c r="AB20" s="545">
        <f t="shared" si="0"/>
        <v>0</v>
      </c>
      <c r="AC20" s="250" t="s">
        <v>408</v>
      </c>
      <c r="AD20" s="283">
        <v>23</v>
      </c>
      <c r="AE20" s="540">
        <v>0</v>
      </c>
      <c r="AF20" s="260">
        <v>46068</v>
      </c>
      <c r="AG20" s="485">
        <v>46076.8074564352</v>
      </c>
      <c r="AH20" s="335">
        <v>23</v>
      </c>
      <c r="AI20" s="336" t="s">
        <v>56</v>
      </c>
      <c r="AJ20" s="337"/>
      <c r="AK20" s="335"/>
      <c r="AL20" s="336"/>
      <c r="AM20" s="335">
        <f t="shared" si="1"/>
        <v>0</v>
      </c>
      <c r="AN20" s="340" t="s">
        <v>409</v>
      </c>
      <c r="AO20" s="282">
        <v>23</v>
      </c>
      <c r="AP20" s="540">
        <v>0</v>
      </c>
      <c r="AQ20" s="260">
        <v>46096</v>
      </c>
      <c r="AR20" s="340" t="s">
        <v>386</v>
      </c>
      <c r="AS20" s="335">
        <v>23</v>
      </c>
      <c r="AT20" s="337" t="s">
        <v>56</v>
      </c>
      <c r="AU20" s="337"/>
      <c r="AV20" s="335"/>
      <c r="AW20" s="337"/>
      <c r="AX20" s="335">
        <f t="shared" si="5"/>
        <v>0</v>
      </c>
      <c r="AY20" s="340" t="s">
        <v>410</v>
      </c>
      <c r="AZ20" s="282">
        <v>23</v>
      </c>
      <c r="BA20" s="540">
        <v>0</v>
      </c>
      <c r="BB20" s="260">
        <v>46127</v>
      </c>
      <c r="BC20" s="340" t="s">
        <v>411</v>
      </c>
      <c r="BD20" s="335">
        <v>23</v>
      </c>
      <c r="BE20" s="337" t="s">
        <v>56</v>
      </c>
      <c r="BF20" s="337"/>
      <c r="BG20" s="335"/>
      <c r="BH20" s="337"/>
      <c r="BI20" s="335">
        <f t="shared" si="3"/>
        <v>0</v>
      </c>
      <c r="BJ20" s="340" t="s">
        <v>412</v>
      </c>
      <c r="BK20" s="282">
        <v>23</v>
      </c>
      <c r="BL20" s="540">
        <v>0</v>
      </c>
      <c r="BM20" s="260">
        <v>46157</v>
      </c>
      <c r="BN20" s="340"/>
      <c r="BO20" s="335"/>
      <c r="BP20" s="337"/>
      <c r="BQ20" s="337"/>
      <c r="BR20" s="335"/>
      <c r="BS20" s="337"/>
      <c r="BT20" s="335">
        <f t="shared" si="4"/>
        <v>23</v>
      </c>
      <c r="BU20" s="340"/>
    </row>
    <row r="21" customHeight="1" spans="1:73">
      <c r="A21" s="563" t="s">
        <v>413</v>
      </c>
      <c r="B21" s="38" t="s">
        <v>414</v>
      </c>
      <c r="C21" s="549" t="s">
        <v>415</v>
      </c>
      <c r="D21" s="250" t="s">
        <v>201</v>
      </c>
      <c r="E21" s="564" t="s">
        <v>202</v>
      </c>
      <c r="F21" s="564"/>
      <c r="G21" s="536" t="s">
        <v>416</v>
      </c>
      <c r="H21" s="7" t="s">
        <v>238</v>
      </c>
      <c r="I21" s="7" t="s">
        <v>206</v>
      </c>
      <c r="J21" s="7" t="s">
        <v>417</v>
      </c>
      <c r="K21" s="7" t="s">
        <v>418</v>
      </c>
      <c r="L21" s="222" t="s">
        <v>419</v>
      </c>
      <c r="M21" s="232"/>
      <c r="N21" s="355">
        <v>44459</v>
      </c>
      <c r="O21" s="327" t="s">
        <v>232</v>
      </c>
      <c r="P21" s="538" t="s">
        <v>242</v>
      </c>
      <c r="Q21" s="539">
        <v>-0.75</v>
      </c>
      <c r="R21" s="282" t="s">
        <v>420</v>
      </c>
      <c r="S21" s="282">
        <v>18</v>
      </c>
      <c r="T21" s="540">
        <v>0</v>
      </c>
      <c r="U21" s="260">
        <v>46032</v>
      </c>
      <c r="V21" s="361">
        <v>46143</v>
      </c>
      <c r="W21" s="539">
        <v>17.25</v>
      </c>
      <c r="X21" s="543" t="s">
        <v>56</v>
      </c>
      <c r="Y21" s="544"/>
      <c r="Z21" s="545"/>
      <c r="AA21" s="543"/>
      <c r="AB21" s="545">
        <f t="shared" si="0"/>
        <v>0</v>
      </c>
      <c r="AC21" s="250" t="s">
        <v>213</v>
      </c>
      <c r="AD21" s="283">
        <v>18</v>
      </c>
      <c r="AE21" s="540">
        <v>0</v>
      </c>
      <c r="AF21" s="260">
        <v>46063</v>
      </c>
      <c r="AG21" s="485">
        <v>46059.7869552199</v>
      </c>
      <c r="AH21" s="335">
        <v>18</v>
      </c>
      <c r="AI21" s="336" t="s">
        <v>56</v>
      </c>
      <c r="AJ21" s="345"/>
      <c r="AK21" s="338"/>
      <c r="AL21" s="339"/>
      <c r="AM21" s="338">
        <f t="shared" si="1"/>
        <v>0</v>
      </c>
      <c r="AN21" s="340" t="s">
        <v>213</v>
      </c>
      <c r="AO21" s="282">
        <v>18</v>
      </c>
      <c r="AP21" s="540">
        <v>0</v>
      </c>
      <c r="AQ21" s="260">
        <v>46091</v>
      </c>
      <c r="AR21" s="485">
        <v>46087.5151160301</v>
      </c>
      <c r="AS21" s="335">
        <v>18</v>
      </c>
      <c r="AT21" s="337" t="s">
        <v>56</v>
      </c>
      <c r="AU21" s="337"/>
      <c r="AV21" s="335"/>
      <c r="AW21" s="337"/>
      <c r="AX21" s="335">
        <f t="shared" si="5"/>
        <v>0</v>
      </c>
      <c r="AY21" s="340" t="s">
        <v>213</v>
      </c>
      <c r="AZ21" s="282">
        <v>18</v>
      </c>
      <c r="BA21" s="540">
        <v>0</v>
      </c>
      <c r="BB21" s="260">
        <v>46122</v>
      </c>
      <c r="BC21" s="485">
        <v>46119.3448653125</v>
      </c>
      <c r="BD21" s="335">
        <v>18</v>
      </c>
      <c r="BE21" s="337" t="s">
        <v>56</v>
      </c>
      <c r="BF21" s="337"/>
      <c r="BG21" s="335"/>
      <c r="BH21" s="337"/>
      <c r="BI21" s="335">
        <f t="shared" si="3"/>
        <v>0</v>
      </c>
      <c r="BJ21" s="340"/>
      <c r="BK21" s="282">
        <v>18</v>
      </c>
      <c r="BL21" s="540">
        <v>0</v>
      </c>
      <c r="BM21" s="260">
        <v>46152</v>
      </c>
      <c r="BN21" s="485">
        <v>46148.3449609606</v>
      </c>
      <c r="BO21" s="335">
        <v>18</v>
      </c>
      <c r="BP21" s="337" t="s">
        <v>56</v>
      </c>
      <c r="BQ21" s="337"/>
      <c r="BR21" s="335"/>
      <c r="BS21" s="337"/>
      <c r="BT21" s="335">
        <f t="shared" si="4"/>
        <v>0</v>
      </c>
      <c r="BU21" s="340"/>
    </row>
    <row r="22" customHeight="1" spans="1:73">
      <c r="A22" s="560" t="s">
        <v>421</v>
      </c>
      <c r="B22" s="38" t="s">
        <v>422</v>
      </c>
      <c r="C22" s="549" t="s">
        <v>423</v>
      </c>
      <c r="D22" s="250" t="s">
        <v>201</v>
      </c>
      <c r="E22" s="564" t="s">
        <v>226</v>
      </c>
      <c r="F22" s="564"/>
      <c r="G22" s="536" t="s">
        <v>424</v>
      </c>
      <c r="H22" s="7" t="s">
        <v>238</v>
      </c>
      <c r="I22" s="7" t="s">
        <v>206</v>
      </c>
      <c r="J22" s="7" t="s">
        <v>425</v>
      </c>
      <c r="K22" s="7" t="s">
        <v>426</v>
      </c>
      <c r="L22" s="222" t="s">
        <v>427</v>
      </c>
      <c r="M22" s="49"/>
      <c r="N22" s="54">
        <v>45481</v>
      </c>
      <c r="O22" s="327" t="s">
        <v>232</v>
      </c>
      <c r="P22" s="538" t="s">
        <v>242</v>
      </c>
      <c r="Q22" s="539">
        <v>0</v>
      </c>
      <c r="R22" s="282" t="s">
        <v>428</v>
      </c>
      <c r="S22" s="282">
        <v>17.25</v>
      </c>
      <c r="T22" s="540">
        <v>0</v>
      </c>
      <c r="U22" s="260">
        <v>46036</v>
      </c>
      <c r="V22" s="350" t="s">
        <v>429</v>
      </c>
      <c r="W22" s="539">
        <v>17.25</v>
      </c>
      <c r="X22" s="543" t="s">
        <v>56</v>
      </c>
      <c r="Y22" s="544"/>
      <c r="Z22" s="545"/>
      <c r="AA22" s="543"/>
      <c r="AB22" s="545">
        <f t="shared" si="0"/>
        <v>0</v>
      </c>
      <c r="AC22" s="250" t="s">
        <v>430</v>
      </c>
      <c r="AD22" s="283">
        <v>17.25</v>
      </c>
      <c r="AE22" s="540">
        <v>0</v>
      </c>
      <c r="AF22" s="260">
        <v>46067</v>
      </c>
      <c r="AG22" s="485">
        <v>46073.7558279745</v>
      </c>
      <c r="AH22" s="335">
        <v>17.25</v>
      </c>
      <c r="AI22" s="336" t="s">
        <v>56</v>
      </c>
      <c r="AJ22" s="337"/>
      <c r="AK22" s="335"/>
      <c r="AL22" s="336"/>
      <c r="AM22" s="335">
        <f t="shared" si="1"/>
        <v>0</v>
      </c>
      <c r="AN22" s="340" t="s">
        <v>431</v>
      </c>
      <c r="AO22" s="282">
        <v>17.25</v>
      </c>
      <c r="AP22" s="540">
        <v>0</v>
      </c>
      <c r="AQ22" s="260">
        <v>46095</v>
      </c>
      <c r="AR22" s="485">
        <v>46097.4974943866</v>
      </c>
      <c r="AS22" s="335">
        <v>17.25</v>
      </c>
      <c r="AT22" s="337" t="s">
        <v>56</v>
      </c>
      <c r="AU22" s="337"/>
      <c r="AV22" s="335"/>
      <c r="AW22" s="337"/>
      <c r="AX22" s="335">
        <f t="shared" si="5"/>
        <v>0</v>
      </c>
      <c r="AY22" s="340" t="s">
        <v>432</v>
      </c>
      <c r="AZ22" s="282">
        <v>17.25</v>
      </c>
      <c r="BA22" s="540">
        <v>0</v>
      </c>
      <c r="BB22" s="260">
        <v>46126</v>
      </c>
      <c r="BC22" s="340" t="s">
        <v>215</v>
      </c>
      <c r="BD22" s="335">
        <v>17.25</v>
      </c>
      <c r="BE22" s="337" t="s">
        <v>56</v>
      </c>
      <c r="BF22" s="337"/>
      <c r="BG22" s="335"/>
      <c r="BH22" s="337"/>
      <c r="BI22" s="335">
        <f t="shared" si="3"/>
        <v>0</v>
      </c>
      <c r="BJ22" s="340" t="s">
        <v>433</v>
      </c>
      <c r="BK22" s="282">
        <v>17.25</v>
      </c>
      <c r="BL22" s="540">
        <v>0</v>
      </c>
      <c r="BM22" s="260">
        <v>46156</v>
      </c>
      <c r="BN22" s="340"/>
      <c r="BO22" s="335"/>
      <c r="BP22" s="337"/>
      <c r="BQ22" s="337"/>
      <c r="BR22" s="335"/>
      <c r="BS22" s="337"/>
      <c r="BT22" s="335">
        <f t="shared" si="4"/>
        <v>17.25</v>
      </c>
      <c r="BU22" s="340"/>
    </row>
    <row r="23" customHeight="1" spans="1:73">
      <c r="A23" s="579" t="s">
        <v>434</v>
      </c>
      <c r="B23" s="580" t="s">
        <v>435</v>
      </c>
      <c r="C23" s="581" t="s">
        <v>436</v>
      </c>
      <c r="D23" s="250" t="s">
        <v>201</v>
      </c>
      <c r="E23" s="564" t="s">
        <v>226</v>
      </c>
      <c r="F23" s="564"/>
      <c r="G23" s="576" t="s">
        <v>437</v>
      </c>
      <c r="H23" s="12" t="s">
        <v>238</v>
      </c>
      <c r="I23" s="12" t="s">
        <v>206</v>
      </c>
      <c r="J23" s="12" t="s">
        <v>354</v>
      </c>
      <c r="K23" s="582" t="s">
        <v>438</v>
      </c>
      <c r="L23" s="583" t="s">
        <v>439</v>
      </c>
      <c r="M23" s="584" t="s">
        <v>440</v>
      </c>
      <c r="N23" s="326">
        <v>44488</v>
      </c>
      <c r="O23" s="343" t="s">
        <v>210</v>
      </c>
      <c r="P23" s="578" t="s">
        <v>242</v>
      </c>
      <c r="Q23" s="539">
        <v>0</v>
      </c>
      <c r="R23" s="282" t="s">
        <v>441</v>
      </c>
      <c r="S23" s="282">
        <v>17.25</v>
      </c>
      <c r="T23" s="540">
        <v>0</v>
      </c>
      <c r="U23" s="260">
        <v>46041</v>
      </c>
      <c r="V23" s="331">
        <v>46030</v>
      </c>
      <c r="W23" s="539">
        <v>17.25</v>
      </c>
      <c r="X23" s="543" t="s">
        <v>35</v>
      </c>
      <c r="Y23" s="544"/>
      <c r="Z23" s="545"/>
      <c r="AA23" s="543"/>
      <c r="AB23" s="545">
        <f t="shared" si="0"/>
        <v>0</v>
      </c>
      <c r="AC23" s="250" t="s">
        <v>442</v>
      </c>
      <c r="AD23" s="283">
        <v>17.25</v>
      </c>
      <c r="AE23" s="540">
        <v>0</v>
      </c>
      <c r="AF23" s="260">
        <v>46072</v>
      </c>
      <c r="AG23" s="251">
        <v>46072</v>
      </c>
      <c r="AH23" s="335">
        <v>17.25</v>
      </c>
      <c r="AI23" s="336" t="s">
        <v>35</v>
      </c>
      <c r="AJ23" s="337"/>
      <c r="AK23" s="335"/>
      <c r="AL23" s="336"/>
      <c r="AM23" s="335">
        <f t="shared" si="1"/>
        <v>0</v>
      </c>
      <c r="AN23" s="340" t="s">
        <v>443</v>
      </c>
      <c r="AO23" s="282">
        <v>17.25</v>
      </c>
      <c r="AP23" s="540">
        <v>0</v>
      </c>
      <c r="AQ23" s="260">
        <v>46100</v>
      </c>
      <c r="AR23" s="340" t="s">
        <v>360</v>
      </c>
      <c r="AS23" s="335">
        <v>17.25</v>
      </c>
      <c r="AT23" s="337" t="s">
        <v>23</v>
      </c>
      <c r="AU23" s="337"/>
      <c r="AV23" s="335"/>
      <c r="AW23" s="337"/>
      <c r="AX23" s="335">
        <f t="shared" si="5"/>
        <v>0</v>
      </c>
      <c r="AY23" s="340" t="s">
        <v>444</v>
      </c>
      <c r="AZ23" s="282">
        <v>17.25</v>
      </c>
      <c r="BA23" s="540">
        <v>0</v>
      </c>
      <c r="BB23" s="260">
        <v>46131</v>
      </c>
      <c r="BC23" s="340" t="s">
        <v>445</v>
      </c>
      <c r="BD23" s="335">
        <v>17.25</v>
      </c>
      <c r="BE23" s="337" t="s">
        <v>35</v>
      </c>
      <c r="BF23" s="337"/>
      <c r="BG23" s="335"/>
      <c r="BH23" s="337"/>
      <c r="BI23" s="335">
        <f t="shared" si="3"/>
        <v>0</v>
      </c>
      <c r="BJ23" s="340" t="s">
        <v>446</v>
      </c>
      <c r="BK23" s="282">
        <v>17.25</v>
      </c>
      <c r="BL23" s="540">
        <v>0</v>
      </c>
      <c r="BM23" s="260">
        <v>46161</v>
      </c>
      <c r="BN23" s="340"/>
      <c r="BO23" s="335"/>
      <c r="BP23" s="337"/>
      <c r="BQ23" s="337"/>
      <c r="BR23" s="335"/>
      <c r="BS23" s="337"/>
      <c r="BT23" s="335">
        <f t="shared" si="4"/>
        <v>17.25</v>
      </c>
      <c r="BU23" s="340"/>
    </row>
    <row r="24" customHeight="1" spans="1:73">
      <c r="A24" s="566" t="s">
        <v>447</v>
      </c>
      <c r="B24" s="568" t="s">
        <v>448</v>
      </c>
      <c r="C24" s="549" t="s">
        <v>449</v>
      </c>
      <c r="D24" s="250" t="s">
        <v>201</v>
      </c>
      <c r="E24" s="564" t="s">
        <v>202</v>
      </c>
      <c r="F24" s="564"/>
      <c r="G24" s="536" t="s">
        <v>450</v>
      </c>
      <c r="H24" s="7" t="s">
        <v>238</v>
      </c>
      <c r="I24" s="7" t="s">
        <v>206</v>
      </c>
      <c r="J24" s="7" t="s">
        <v>391</v>
      </c>
      <c r="K24" s="7" t="s">
        <v>451</v>
      </c>
      <c r="L24" s="222" t="s">
        <v>452</v>
      </c>
      <c r="M24" s="49"/>
      <c r="N24" s="54">
        <v>44488</v>
      </c>
      <c r="O24" s="327" t="s">
        <v>232</v>
      </c>
      <c r="P24" s="538" t="s">
        <v>242</v>
      </c>
      <c r="Q24" s="539">
        <v>0</v>
      </c>
      <c r="R24" s="282"/>
      <c r="S24" s="282">
        <v>17.25</v>
      </c>
      <c r="T24" s="540">
        <v>0</v>
      </c>
      <c r="U24" s="260">
        <v>46041</v>
      </c>
      <c r="V24" s="331">
        <v>46049</v>
      </c>
      <c r="W24" s="539">
        <v>17.25</v>
      </c>
      <c r="X24" s="543" t="s">
        <v>35</v>
      </c>
      <c r="Y24" s="544"/>
      <c r="Z24" s="545"/>
      <c r="AA24" s="543"/>
      <c r="AB24" s="545">
        <f t="shared" si="0"/>
        <v>0</v>
      </c>
      <c r="AC24" s="250" t="s">
        <v>453</v>
      </c>
      <c r="AD24" s="283">
        <v>17.25</v>
      </c>
      <c r="AE24" s="540">
        <v>0</v>
      </c>
      <c r="AF24" s="260">
        <v>46072</v>
      </c>
      <c r="AG24" s="251">
        <v>46076</v>
      </c>
      <c r="AH24" s="335">
        <v>17.25</v>
      </c>
      <c r="AI24" s="336" t="s">
        <v>56</v>
      </c>
      <c r="AJ24" s="337"/>
      <c r="AK24" s="335"/>
      <c r="AL24" s="336"/>
      <c r="AM24" s="335">
        <f t="shared" si="1"/>
        <v>0</v>
      </c>
      <c r="AN24" s="340" t="s">
        <v>454</v>
      </c>
      <c r="AO24" s="282">
        <v>17.25</v>
      </c>
      <c r="AP24" s="540">
        <v>0</v>
      </c>
      <c r="AQ24" s="260">
        <v>46100</v>
      </c>
      <c r="AR24" s="340" t="s">
        <v>386</v>
      </c>
      <c r="AS24" s="335">
        <v>17.25</v>
      </c>
      <c r="AT24" s="337" t="s">
        <v>23</v>
      </c>
      <c r="AU24" s="337"/>
      <c r="AV24" s="335"/>
      <c r="AW24" s="337"/>
      <c r="AX24" s="335">
        <f t="shared" si="5"/>
        <v>0</v>
      </c>
      <c r="AY24" s="340" t="s">
        <v>455</v>
      </c>
      <c r="AZ24" s="282">
        <v>17.25</v>
      </c>
      <c r="BA24" s="540">
        <v>0</v>
      </c>
      <c r="BB24" s="260">
        <v>46131</v>
      </c>
      <c r="BC24" s="340"/>
      <c r="BD24" s="335"/>
      <c r="BE24" s="337"/>
      <c r="BF24" s="337"/>
      <c r="BG24" s="335"/>
      <c r="BH24" s="337"/>
      <c r="BI24" s="335">
        <f t="shared" si="3"/>
        <v>17.25</v>
      </c>
      <c r="BJ24" s="340" t="s">
        <v>456</v>
      </c>
      <c r="BK24" s="282">
        <v>17.25</v>
      </c>
      <c r="BL24" s="540">
        <v>0</v>
      </c>
      <c r="BM24" s="260">
        <v>46161</v>
      </c>
      <c r="BN24" s="340"/>
      <c r="BO24" s="335"/>
      <c r="BP24" s="337"/>
      <c r="BQ24" s="337"/>
      <c r="BR24" s="335"/>
      <c r="BS24" s="337"/>
      <c r="BT24" s="335">
        <f t="shared" si="4"/>
        <v>34.5</v>
      </c>
      <c r="BU24" s="340"/>
    </row>
    <row r="25" customHeight="1" spans="1:73">
      <c r="A25" s="566" t="s">
        <v>457</v>
      </c>
      <c r="B25" s="38" t="s">
        <v>458</v>
      </c>
      <c r="C25" s="549" t="s">
        <v>459</v>
      </c>
      <c r="D25" s="250" t="s">
        <v>201</v>
      </c>
      <c r="E25" s="585"/>
      <c r="F25" s="564" t="s">
        <v>170</v>
      </c>
      <c r="G25" s="536" t="s">
        <v>460</v>
      </c>
      <c r="H25" s="7" t="s">
        <v>274</v>
      </c>
      <c r="I25" s="7" t="s">
        <v>220</v>
      </c>
      <c r="J25" s="7" t="s">
        <v>461</v>
      </c>
      <c r="K25" s="7" t="s">
        <v>462</v>
      </c>
      <c r="L25" s="222" t="s">
        <v>463</v>
      </c>
      <c r="M25" s="49"/>
      <c r="N25" s="54">
        <v>44489</v>
      </c>
      <c r="O25" s="327" t="s">
        <v>464</v>
      </c>
      <c r="P25" s="538" t="s">
        <v>242</v>
      </c>
      <c r="Q25" s="539">
        <v>0</v>
      </c>
      <c r="R25" s="282" t="s">
        <v>465</v>
      </c>
      <c r="S25" s="282">
        <v>32.2</v>
      </c>
      <c r="T25" s="540">
        <v>0</v>
      </c>
      <c r="U25" s="413">
        <v>46031</v>
      </c>
      <c r="V25" s="331">
        <v>46036</v>
      </c>
      <c r="W25" s="539">
        <v>32.2</v>
      </c>
      <c r="X25" s="543" t="s">
        <v>35</v>
      </c>
      <c r="Y25" s="544"/>
      <c r="Z25" s="545"/>
      <c r="AA25" s="543"/>
      <c r="AB25" s="545">
        <f t="shared" si="0"/>
        <v>0</v>
      </c>
      <c r="AC25" s="250" t="s">
        <v>466</v>
      </c>
      <c r="AD25" s="283">
        <v>32.2</v>
      </c>
      <c r="AE25" s="540">
        <v>0</v>
      </c>
      <c r="AF25" s="413">
        <v>46062</v>
      </c>
      <c r="AG25" s="251">
        <v>46073</v>
      </c>
      <c r="AH25" s="335">
        <v>35</v>
      </c>
      <c r="AI25" s="336" t="s">
        <v>35</v>
      </c>
      <c r="AJ25" s="337"/>
      <c r="AK25" s="335"/>
      <c r="AL25" s="336"/>
      <c r="AM25" s="335">
        <f t="shared" si="1"/>
        <v>-2.8</v>
      </c>
      <c r="AN25" s="340" t="s">
        <v>213</v>
      </c>
      <c r="AO25" s="282">
        <v>32.2</v>
      </c>
      <c r="AP25" s="540">
        <v>0</v>
      </c>
      <c r="AQ25" s="413">
        <v>46090</v>
      </c>
      <c r="AR25" s="340" t="s">
        <v>467</v>
      </c>
      <c r="AS25" s="335">
        <v>32.2</v>
      </c>
      <c r="AT25" s="337" t="s">
        <v>35</v>
      </c>
      <c r="AU25" s="337"/>
      <c r="AV25" s="335"/>
      <c r="AW25" s="337"/>
      <c r="AX25" s="335">
        <f t="shared" si="5"/>
        <v>-2.8</v>
      </c>
      <c r="AY25" s="340" t="s">
        <v>213</v>
      </c>
      <c r="AZ25" s="282">
        <v>32.2</v>
      </c>
      <c r="BA25" s="540">
        <v>0</v>
      </c>
      <c r="BB25" s="413">
        <v>46121</v>
      </c>
      <c r="BC25" s="340" t="s">
        <v>468</v>
      </c>
      <c r="BD25" s="335">
        <v>32.2</v>
      </c>
      <c r="BE25" s="337" t="s">
        <v>35</v>
      </c>
      <c r="BF25" s="337"/>
      <c r="BG25" s="335"/>
      <c r="BH25" s="337"/>
      <c r="BI25" s="335">
        <f t="shared" si="3"/>
        <v>-2.8</v>
      </c>
      <c r="BJ25" s="340"/>
      <c r="BK25" s="282">
        <v>32.2</v>
      </c>
      <c r="BL25" s="540">
        <v>0</v>
      </c>
      <c r="BM25" s="413">
        <v>46151</v>
      </c>
      <c r="BN25" s="340"/>
      <c r="BO25" s="335"/>
      <c r="BP25" s="337"/>
      <c r="BQ25" s="337"/>
      <c r="BR25" s="335"/>
      <c r="BS25" s="337"/>
      <c r="BT25" s="335">
        <f t="shared" si="4"/>
        <v>29.4</v>
      </c>
      <c r="BU25" s="340"/>
    </row>
    <row r="26" customHeight="1" spans="1:73">
      <c r="A26" s="586" t="s">
        <v>469</v>
      </c>
      <c r="B26" s="561" t="s">
        <v>470</v>
      </c>
      <c r="C26" s="549" t="s">
        <v>471</v>
      </c>
      <c r="D26" s="250" t="s">
        <v>472</v>
      </c>
      <c r="E26" s="564" t="s">
        <v>202</v>
      </c>
      <c r="F26" s="564"/>
      <c r="G26" s="536" t="s">
        <v>473</v>
      </c>
      <c r="H26" s="7" t="s">
        <v>238</v>
      </c>
      <c r="I26" s="7" t="s">
        <v>220</v>
      </c>
      <c r="J26" s="7" t="s">
        <v>474</v>
      </c>
      <c r="K26" s="7" t="s">
        <v>475</v>
      </c>
      <c r="L26" s="222" t="s">
        <v>476</v>
      </c>
      <c r="M26" s="49"/>
      <c r="N26" s="54">
        <v>44492</v>
      </c>
      <c r="O26" s="327" t="s">
        <v>232</v>
      </c>
      <c r="P26" s="538" t="s">
        <v>242</v>
      </c>
      <c r="Q26" s="539">
        <v>164.5</v>
      </c>
      <c r="R26" s="282"/>
      <c r="S26" s="282"/>
      <c r="T26" s="540">
        <v>0</v>
      </c>
      <c r="U26" s="260">
        <v>46036</v>
      </c>
      <c r="V26" s="350"/>
      <c r="W26" s="545"/>
      <c r="X26" s="543"/>
      <c r="Y26" s="544"/>
      <c r="Z26" s="545"/>
      <c r="AA26" s="543"/>
      <c r="AB26" s="545">
        <f t="shared" si="0"/>
        <v>164.5</v>
      </c>
      <c r="AC26" s="250" t="s">
        <v>213</v>
      </c>
      <c r="AD26" s="283"/>
      <c r="AE26" s="540">
        <v>0</v>
      </c>
      <c r="AF26" s="260">
        <v>46067</v>
      </c>
      <c r="AH26" s="338"/>
      <c r="AI26" s="339"/>
      <c r="AJ26" s="345"/>
      <c r="AK26" s="338"/>
      <c r="AL26" s="339"/>
      <c r="AM26" s="338">
        <f t="shared" si="1"/>
        <v>164.5</v>
      </c>
      <c r="AN26" s="340" t="s">
        <v>213</v>
      </c>
      <c r="AO26" s="282"/>
      <c r="AP26" s="540">
        <v>0</v>
      </c>
      <c r="AQ26" s="260">
        <v>46095</v>
      </c>
      <c r="AR26" s="340"/>
      <c r="AS26" s="335"/>
      <c r="AT26" s="337"/>
      <c r="AU26" s="337"/>
      <c r="AV26" s="335"/>
      <c r="AW26" s="337"/>
      <c r="AX26" s="335">
        <f t="shared" si="5"/>
        <v>164.5</v>
      </c>
      <c r="AY26" s="340" t="s">
        <v>213</v>
      </c>
      <c r="AZ26" s="282"/>
      <c r="BA26" s="540">
        <v>0</v>
      </c>
      <c r="BB26" s="260">
        <v>46126</v>
      </c>
      <c r="BC26" s="340"/>
      <c r="BD26" s="335"/>
      <c r="BE26" s="337"/>
      <c r="BF26" s="337"/>
      <c r="BG26" s="335"/>
      <c r="BH26" s="337"/>
      <c r="BI26" s="335">
        <f t="shared" si="3"/>
        <v>164.5</v>
      </c>
      <c r="BJ26" s="340"/>
      <c r="BK26" s="282"/>
      <c r="BL26" s="540">
        <v>0</v>
      </c>
      <c r="BM26" s="260">
        <v>46156</v>
      </c>
      <c r="BN26" s="340"/>
      <c r="BO26" s="335"/>
      <c r="BP26" s="337"/>
      <c r="BQ26" s="337"/>
      <c r="BR26" s="335"/>
      <c r="BS26" s="337"/>
      <c r="BT26" s="335">
        <f t="shared" si="4"/>
        <v>164.5</v>
      </c>
      <c r="BU26" s="340"/>
    </row>
    <row r="27" customHeight="1" spans="1:73">
      <c r="A27" s="587" t="s">
        <v>477</v>
      </c>
      <c r="B27" s="568" t="s">
        <v>478</v>
      </c>
      <c r="C27" s="549" t="s">
        <v>479</v>
      </c>
      <c r="D27" s="250" t="s">
        <v>201</v>
      </c>
      <c r="E27" s="564" t="s">
        <v>202</v>
      </c>
      <c r="F27" s="564"/>
      <c r="G27" s="536" t="s">
        <v>480</v>
      </c>
      <c r="H27" s="7" t="s">
        <v>238</v>
      </c>
      <c r="I27" s="7" t="s">
        <v>206</v>
      </c>
      <c r="J27" s="7" t="s">
        <v>481</v>
      </c>
      <c r="K27" s="571" t="s">
        <v>482</v>
      </c>
      <c r="L27" s="222" t="s">
        <v>483</v>
      </c>
      <c r="M27" s="232"/>
      <c r="N27" s="355">
        <v>44501</v>
      </c>
      <c r="O27" s="327" t="s">
        <v>210</v>
      </c>
      <c r="P27" s="538" t="s">
        <v>242</v>
      </c>
      <c r="Q27" s="539">
        <v>0</v>
      </c>
      <c r="R27" s="282" t="s">
        <v>484</v>
      </c>
      <c r="S27" s="282">
        <v>23</v>
      </c>
      <c r="T27" s="540">
        <v>0</v>
      </c>
      <c r="U27" s="260">
        <v>46031</v>
      </c>
      <c r="V27" s="331">
        <v>46034</v>
      </c>
      <c r="W27" s="539">
        <v>23</v>
      </c>
      <c r="X27" s="543" t="s">
        <v>56</v>
      </c>
      <c r="Y27" s="544"/>
      <c r="Z27" s="545"/>
      <c r="AA27" s="543"/>
      <c r="AB27" s="545">
        <f t="shared" si="0"/>
        <v>0</v>
      </c>
      <c r="AC27" s="250" t="s">
        <v>485</v>
      </c>
      <c r="AD27" s="283">
        <v>23</v>
      </c>
      <c r="AE27" s="540">
        <v>0</v>
      </c>
      <c r="AF27" s="260">
        <v>46062</v>
      </c>
      <c r="AG27" s="485">
        <v>46064.7602638889</v>
      </c>
      <c r="AH27" s="335">
        <v>23</v>
      </c>
      <c r="AI27" s="336" t="s">
        <v>56</v>
      </c>
      <c r="AJ27" s="337"/>
      <c r="AK27" s="335"/>
      <c r="AL27" s="336"/>
      <c r="AM27" s="335">
        <f t="shared" si="1"/>
        <v>0</v>
      </c>
      <c r="AN27" s="340" t="s">
        <v>486</v>
      </c>
      <c r="AO27" s="282">
        <v>23</v>
      </c>
      <c r="AP27" s="540">
        <v>0</v>
      </c>
      <c r="AQ27" s="260">
        <v>46090</v>
      </c>
      <c r="AR27" s="340" t="s">
        <v>233</v>
      </c>
      <c r="AS27" s="335">
        <v>23</v>
      </c>
      <c r="AT27" s="337" t="s">
        <v>23</v>
      </c>
      <c r="AU27" s="337"/>
      <c r="AV27" s="335"/>
      <c r="AW27" s="337"/>
      <c r="AX27" s="335">
        <f t="shared" si="5"/>
        <v>0</v>
      </c>
      <c r="AY27" s="340" t="s">
        <v>487</v>
      </c>
      <c r="AZ27" s="282">
        <v>23</v>
      </c>
      <c r="BA27" s="540">
        <v>0</v>
      </c>
      <c r="BB27" s="260">
        <v>46121</v>
      </c>
      <c r="BC27" s="340" t="s">
        <v>488</v>
      </c>
      <c r="BD27" s="335">
        <v>23</v>
      </c>
      <c r="BE27" s="337" t="s">
        <v>56</v>
      </c>
      <c r="BF27" s="337"/>
      <c r="BG27" s="335"/>
      <c r="BH27" s="337"/>
      <c r="BI27" s="335">
        <f t="shared" si="3"/>
        <v>0</v>
      </c>
      <c r="BJ27" s="340" t="s">
        <v>489</v>
      </c>
      <c r="BK27" s="282">
        <v>23</v>
      </c>
      <c r="BL27" s="540">
        <v>0</v>
      </c>
      <c r="BM27" s="260">
        <v>46151</v>
      </c>
      <c r="BN27" s="340"/>
      <c r="BO27" s="335"/>
      <c r="BP27" s="337"/>
      <c r="BQ27" s="337"/>
      <c r="BR27" s="335"/>
      <c r="BS27" s="337"/>
      <c r="BT27" s="335">
        <f t="shared" si="4"/>
        <v>23</v>
      </c>
      <c r="BU27" s="340"/>
    </row>
    <row r="28" customHeight="1" spans="1:73">
      <c r="A28" s="560" t="s">
        <v>490</v>
      </c>
      <c r="B28" s="38" t="s">
        <v>491</v>
      </c>
      <c r="C28" s="549" t="s">
        <v>492</v>
      </c>
      <c r="D28" s="250" t="s">
        <v>201</v>
      </c>
      <c r="E28" s="564" t="s">
        <v>202</v>
      </c>
      <c r="F28" s="564"/>
      <c r="G28" s="536" t="s">
        <v>493</v>
      </c>
      <c r="H28" s="7" t="s">
        <v>274</v>
      </c>
      <c r="I28" s="7" t="s">
        <v>220</v>
      </c>
      <c r="J28" s="7" t="s">
        <v>494</v>
      </c>
      <c r="K28" s="7" t="s">
        <v>495</v>
      </c>
      <c r="L28" s="222" t="s">
        <v>496</v>
      </c>
      <c r="M28" s="414" t="s">
        <v>497</v>
      </c>
      <c r="N28" s="355">
        <v>44536</v>
      </c>
      <c r="O28" s="327" t="s">
        <v>210</v>
      </c>
      <c r="P28" s="538" t="s">
        <v>242</v>
      </c>
      <c r="Q28" s="539">
        <v>0</v>
      </c>
      <c r="R28" s="282"/>
      <c r="S28" s="282">
        <v>25</v>
      </c>
      <c r="T28" s="540">
        <v>0</v>
      </c>
      <c r="U28" s="260">
        <v>46041</v>
      </c>
      <c r="V28" s="331">
        <v>46036</v>
      </c>
      <c r="W28" s="539">
        <v>25</v>
      </c>
      <c r="X28" s="543" t="s">
        <v>23</v>
      </c>
      <c r="Y28" s="544"/>
      <c r="Z28" s="545"/>
      <c r="AA28" s="543"/>
      <c r="AB28" s="545">
        <f t="shared" si="0"/>
        <v>0</v>
      </c>
      <c r="AC28" s="250" t="s">
        <v>213</v>
      </c>
      <c r="AD28" s="283">
        <v>25</v>
      </c>
      <c r="AE28" s="540">
        <v>0</v>
      </c>
      <c r="AF28" s="260">
        <v>46072</v>
      </c>
      <c r="AG28" s="251">
        <v>46061</v>
      </c>
      <c r="AH28" s="335">
        <v>25</v>
      </c>
      <c r="AI28" s="336" t="s">
        <v>35</v>
      </c>
      <c r="AJ28" s="345"/>
      <c r="AK28" s="338"/>
      <c r="AL28" s="339"/>
      <c r="AM28" s="338">
        <f t="shared" si="1"/>
        <v>0</v>
      </c>
      <c r="AN28" s="340" t="s">
        <v>213</v>
      </c>
      <c r="AO28" s="282">
        <v>25</v>
      </c>
      <c r="AP28" s="540">
        <v>0</v>
      </c>
      <c r="AQ28" s="260">
        <v>46100</v>
      </c>
      <c r="AR28" s="340" t="s">
        <v>498</v>
      </c>
      <c r="AS28" s="335">
        <v>50</v>
      </c>
      <c r="AT28" s="337" t="s">
        <v>23</v>
      </c>
      <c r="AU28" s="337"/>
      <c r="AV28" s="335"/>
      <c r="AW28" s="337"/>
      <c r="AX28" s="335">
        <f t="shared" si="5"/>
        <v>-25</v>
      </c>
      <c r="AY28" s="340" t="s">
        <v>213</v>
      </c>
      <c r="AZ28" s="282">
        <v>25</v>
      </c>
      <c r="BA28" s="540">
        <v>0</v>
      </c>
      <c r="BB28" s="260">
        <v>46131</v>
      </c>
      <c r="BC28" s="340"/>
      <c r="BD28" s="335"/>
      <c r="BE28" s="337"/>
      <c r="BF28" s="337"/>
      <c r="BG28" s="335"/>
      <c r="BH28" s="337"/>
      <c r="BI28" s="335">
        <f t="shared" si="3"/>
        <v>0</v>
      </c>
      <c r="BJ28" s="340"/>
      <c r="BK28" s="282">
        <v>25</v>
      </c>
      <c r="BL28" s="540">
        <v>0</v>
      </c>
      <c r="BM28" s="260">
        <v>46161</v>
      </c>
      <c r="BN28" s="340"/>
      <c r="BO28" s="335"/>
      <c r="BP28" s="337"/>
      <c r="BQ28" s="337"/>
      <c r="BR28" s="335"/>
      <c r="BS28" s="337"/>
      <c r="BT28" s="335">
        <f t="shared" si="4"/>
        <v>25</v>
      </c>
      <c r="BU28" s="340"/>
    </row>
    <row r="29" customHeight="1" spans="1:73">
      <c r="A29" s="566" t="s">
        <v>499</v>
      </c>
      <c r="B29" s="38" t="s">
        <v>500</v>
      </c>
      <c r="C29" s="549" t="s">
        <v>501</v>
      </c>
      <c r="D29" s="250" t="s">
        <v>201</v>
      </c>
      <c r="E29" s="564" t="s">
        <v>226</v>
      </c>
      <c r="F29" s="564"/>
      <c r="G29" s="536" t="s">
        <v>502</v>
      </c>
      <c r="H29" s="7" t="s">
        <v>238</v>
      </c>
      <c r="I29" s="7" t="s">
        <v>206</v>
      </c>
      <c r="J29" s="7" t="s">
        <v>417</v>
      </c>
      <c r="K29" s="7" t="s">
        <v>503</v>
      </c>
      <c r="L29" s="222" t="s">
        <v>504</v>
      </c>
      <c r="M29" s="49"/>
      <c r="N29" s="54">
        <v>44545</v>
      </c>
      <c r="O29" s="327" t="s">
        <v>232</v>
      </c>
      <c r="P29" s="538" t="s">
        <v>242</v>
      </c>
      <c r="Q29" s="539">
        <v>0</v>
      </c>
      <c r="R29" s="282" t="s">
        <v>505</v>
      </c>
      <c r="S29" s="282">
        <v>17.25</v>
      </c>
      <c r="T29" s="540">
        <v>0</v>
      </c>
      <c r="U29" s="260">
        <v>46031</v>
      </c>
      <c r="V29" s="331">
        <v>46025</v>
      </c>
      <c r="W29" s="539">
        <v>17.5</v>
      </c>
      <c r="X29" s="543" t="s">
        <v>23</v>
      </c>
      <c r="Y29" s="544"/>
      <c r="Z29" s="545"/>
      <c r="AA29" s="543"/>
      <c r="AB29" s="545">
        <f t="shared" si="0"/>
        <v>-0.25</v>
      </c>
      <c r="AC29" s="250" t="s">
        <v>506</v>
      </c>
      <c r="AD29" s="283">
        <v>17.25</v>
      </c>
      <c r="AE29" s="540">
        <v>0</v>
      </c>
      <c r="AF29" s="260">
        <v>46062</v>
      </c>
      <c r="AG29" s="485">
        <v>46055.8078936806</v>
      </c>
      <c r="AH29" s="335">
        <v>17.25</v>
      </c>
      <c r="AI29" s="336" t="s">
        <v>56</v>
      </c>
      <c r="AJ29" s="337"/>
      <c r="AK29" s="335"/>
      <c r="AL29" s="336"/>
      <c r="AM29" s="335">
        <f t="shared" si="1"/>
        <v>-0.25</v>
      </c>
      <c r="AN29" s="340" t="s">
        <v>507</v>
      </c>
      <c r="AO29" s="282">
        <v>17.25</v>
      </c>
      <c r="AP29" s="540">
        <v>0</v>
      </c>
      <c r="AQ29" s="260">
        <v>46090</v>
      </c>
      <c r="AR29" s="340" t="s">
        <v>508</v>
      </c>
      <c r="AS29" s="335">
        <v>17.25</v>
      </c>
      <c r="AT29" s="337" t="s">
        <v>23</v>
      </c>
      <c r="AU29" s="337"/>
      <c r="AV29" s="335"/>
      <c r="AW29" s="337"/>
      <c r="AX29" s="335">
        <f t="shared" si="5"/>
        <v>-0.25</v>
      </c>
      <c r="AY29" s="340" t="s">
        <v>509</v>
      </c>
      <c r="AZ29" s="282">
        <v>17.25</v>
      </c>
      <c r="BA29" s="540">
        <v>0</v>
      </c>
      <c r="BB29" s="260">
        <v>46121</v>
      </c>
      <c r="BC29" s="340" t="s">
        <v>510</v>
      </c>
      <c r="BD29" s="335">
        <v>17.5</v>
      </c>
      <c r="BE29" s="337" t="s">
        <v>23</v>
      </c>
      <c r="BF29" s="337"/>
      <c r="BG29" s="335"/>
      <c r="BH29" s="337"/>
      <c r="BI29" s="335">
        <f t="shared" si="3"/>
        <v>-0.5</v>
      </c>
      <c r="BJ29" s="340" t="s">
        <v>511</v>
      </c>
      <c r="BK29" s="282">
        <v>17.25</v>
      </c>
      <c r="BL29" s="540">
        <v>0</v>
      </c>
      <c r="BM29" s="260">
        <v>46151</v>
      </c>
      <c r="BN29" s="340" t="s">
        <v>512</v>
      </c>
      <c r="BO29" s="335">
        <v>17.5</v>
      </c>
      <c r="BP29" s="337" t="s">
        <v>23</v>
      </c>
      <c r="BQ29" s="337"/>
      <c r="BR29" s="335"/>
      <c r="BS29" s="337"/>
      <c r="BT29" s="335">
        <f t="shared" si="4"/>
        <v>-0.75</v>
      </c>
      <c r="BU29" s="340"/>
    </row>
    <row r="30" customHeight="1" spans="1:73">
      <c r="A30" s="566" t="s">
        <v>513</v>
      </c>
      <c r="B30" s="38" t="s">
        <v>514</v>
      </c>
      <c r="C30" s="549" t="s">
        <v>515</v>
      </c>
      <c r="D30" s="250" t="s">
        <v>201</v>
      </c>
      <c r="E30" s="564" t="s">
        <v>202</v>
      </c>
      <c r="F30" s="564"/>
      <c r="G30" s="536" t="s">
        <v>516</v>
      </c>
      <c r="H30" s="7" t="s">
        <v>238</v>
      </c>
      <c r="I30" s="7" t="s">
        <v>206</v>
      </c>
      <c r="J30" s="7" t="s">
        <v>417</v>
      </c>
      <c r="K30" s="7" t="s">
        <v>517</v>
      </c>
      <c r="L30" s="222" t="s">
        <v>518</v>
      </c>
      <c r="M30" s="49"/>
      <c r="N30" s="54">
        <v>44545</v>
      </c>
      <c r="O30" s="327" t="s">
        <v>232</v>
      </c>
      <c r="P30" s="538" t="s">
        <v>242</v>
      </c>
      <c r="Q30" s="539">
        <v>0</v>
      </c>
      <c r="R30" s="282" t="s">
        <v>519</v>
      </c>
      <c r="S30" s="282">
        <v>17.25</v>
      </c>
      <c r="T30" s="540">
        <v>0</v>
      </c>
      <c r="U30" s="260">
        <v>46031</v>
      </c>
      <c r="V30" s="331">
        <v>46024</v>
      </c>
      <c r="W30" s="539">
        <v>17.25</v>
      </c>
      <c r="X30" s="543" t="s">
        <v>35</v>
      </c>
      <c r="Y30" s="544"/>
      <c r="Z30" s="545"/>
      <c r="AA30" s="543"/>
      <c r="AB30" s="545">
        <f t="shared" si="0"/>
        <v>0</v>
      </c>
      <c r="AC30" s="250" t="s">
        <v>520</v>
      </c>
      <c r="AD30" s="283">
        <v>17.25</v>
      </c>
      <c r="AE30" s="540">
        <v>0</v>
      </c>
      <c r="AF30" s="260">
        <v>46062</v>
      </c>
      <c r="AG30" s="251">
        <v>46057</v>
      </c>
      <c r="AH30" s="335">
        <v>17.25</v>
      </c>
      <c r="AI30" s="336" t="s">
        <v>35</v>
      </c>
      <c r="AJ30" s="337"/>
      <c r="AK30" s="335"/>
      <c r="AL30" s="336"/>
      <c r="AM30" s="335">
        <f t="shared" si="1"/>
        <v>0</v>
      </c>
      <c r="AN30" s="340" t="s">
        <v>521</v>
      </c>
      <c r="AO30" s="282">
        <v>17.25</v>
      </c>
      <c r="AP30" s="540">
        <v>0</v>
      </c>
      <c r="AQ30" s="260">
        <v>46090</v>
      </c>
      <c r="AR30" s="340" t="s">
        <v>522</v>
      </c>
      <c r="AS30" s="335">
        <v>17.25</v>
      </c>
      <c r="AT30" s="337" t="s">
        <v>56</v>
      </c>
      <c r="AU30" s="337"/>
      <c r="AV30" s="335"/>
      <c r="AW30" s="337"/>
      <c r="AX30" s="335">
        <f t="shared" si="5"/>
        <v>0</v>
      </c>
      <c r="AY30" s="340" t="s">
        <v>523</v>
      </c>
      <c r="AZ30" s="282">
        <v>17.25</v>
      </c>
      <c r="BA30" s="540">
        <v>0</v>
      </c>
      <c r="BB30" s="260">
        <v>46121</v>
      </c>
      <c r="BC30" s="340" t="s">
        <v>524</v>
      </c>
      <c r="BD30" s="335">
        <v>17.25</v>
      </c>
      <c r="BE30" s="337" t="s">
        <v>35</v>
      </c>
      <c r="BF30" s="337"/>
      <c r="BG30" s="335"/>
      <c r="BH30" s="337"/>
      <c r="BI30" s="335">
        <f t="shared" si="3"/>
        <v>0</v>
      </c>
      <c r="BJ30" s="340" t="s">
        <v>525</v>
      </c>
      <c r="BK30" s="282">
        <v>17.25</v>
      </c>
      <c r="BL30" s="540">
        <v>0</v>
      </c>
      <c r="BM30" s="260">
        <v>46151</v>
      </c>
      <c r="BN30" s="340"/>
      <c r="BO30" s="335"/>
      <c r="BP30" s="337"/>
      <c r="BQ30" s="337"/>
      <c r="BR30" s="335"/>
      <c r="BS30" s="337"/>
      <c r="BT30" s="335">
        <f t="shared" si="4"/>
        <v>17.25</v>
      </c>
      <c r="BU30" s="340"/>
    </row>
    <row r="31" customHeight="1" spans="1:73">
      <c r="A31" s="566" t="s">
        <v>526</v>
      </c>
      <c r="B31" s="38" t="s">
        <v>527</v>
      </c>
      <c r="C31" s="549" t="s">
        <v>528</v>
      </c>
      <c r="D31" s="250" t="s">
        <v>201</v>
      </c>
      <c r="E31" s="564" t="s">
        <v>202</v>
      </c>
      <c r="F31" s="585"/>
      <c r="G31" s="536" t="s">
        <v>529</v>
      </c>
      <c r="H31" s="7" t="s">
        <v>238</v>
      </c>
      <c r="I31" s="7" t="s">
        <v>206</v>
      </c>
      <c r="J31" s="7" t="s">
        <v>417</v>
      </c>
      <c r="K31" s="588" t="s">
        <v>530</v>
      </c>
      <c r="L31" s="222" t="s">
        <v>531</v>
      </c>
      <c r="M31" s="49"/>
      <c r="N31" s="54">
        <v>46017</v>
      </c>
      <c r="O31" s="327" t="s">
        <v>464</v>
      </c>
      <c r="P31" s="538" t="s">
        <v>242</v>
      </c>
      <c r="Q31" s="539">
        <v>0</v>
      </c>
      <c r="R31" s="282" t="s">
        <v>532</v>
      </c>
      <c r="S31" s="282">
        <f>32.2+35</f>
        <v>67.2</v>
      </c>
      <c r="T31" s="540">
        <v>0</v>
      </c>
      <c r="U31" s="260">
        <v>46041</v>
      </c>
      <c r="V31" s="350" t="s">
        <v>385</v>
      </c>
      <c r="W31" s="539">
        <v>67.2</v>
      </c>
      <c r="X31" s="543" t="s">
        <v>56</v>
      </c>
      <c r="Y31" s="544"/>
      <c r="Z31" s="545"/>
      <c r="AA31" s="543"/>
      <c r="AB31" s="545">
        <f t="shared" si="0"/>
        <v>0</v>
      </c>
      <c r="AC31" s="250" t="s">
        <v>213</v>
      </c>
      <c r="AD31" s="283">
        <f>32.2+35</f>
        <v>67.2</v>
      </c>
      <c r="AE31" s="540">
        <v>0</v>
      </c>
      <c r="AF31" s="260">
        <v>46072</v>
      </c>
      <c r="AG31" s="251">
        <v>46076</v>
      </c>
      <c r="AH31" s="335">
        <v>50</v>
      </c>
      <c r="AI31" s="336" t="s">
        <v>56</v>
      </c>
      <c r="AJ31" s="345"/>
      <c r="AK31" s="338"/>
      <c r="AL31" s="339"/>
      <c r="AM31" s="338">
        <f t="shared" si="1"/>
        <v>17.2</v>
      </c>
      <c r="AN31" s="340" t="s">
        <v>533</v>
      </c>
      <c r="AO31" s="282">
        <v>32.2</v>
      </c>
      <c r="AP31" s="540">
        <v>0</v>
      </c>
      <c r="AQ31" s="260">
        <v>46100</v>
      </c>
      <c r="AR31" s="485">
        <v>46108.3530903472</v>
      </c>
      <c r="AS31" s="335">
        <v>35</v>
      </c>
      <c r="AT31" s="337" t="s">
        <v>56</v>
      </c>
      <c r="AU31" s="337"/>
      <c r="AV31" s="335"/>
      <c r="AW31" s="337"/>
      <c r="AX31" s="335">
        <f t="shared" si="5"/>
        <v>14.4</v>
      </c>
      <c r="AY31" s="340" t="s">
        <v>213</v>
      </c>
      <c r="AZ31" s="282">
        <v>32.2</v>
      </c>
      <c r="BA31" s="540">
        <v>0</v>
      </c>
      <c r="BB31" s="260">
        <v>46131</v>
      </c>
      <c r="BC31" s="340" t="s">
        <v>411</v>
      </c>
      <c r="BD31" s="335">
        <v>40</v>
      </c>
      <c r="BE31" s="337" t="s">
        <v>56</v>
      </c>
      <c r="BF31" s="337"/>
      <c r="BG31" s="335"/>
      <c r="BH31" s="337"/>
      <c r="BI31" s="335">
        <f t="shared" si="3"/>
        <v>6.60000000000001</v>
      </c>
      <c r="BJ31" s="340"/>
      <c r="BK31" s="282">
        <v>32.2</v>
      </c>
      <c r="BL31" s="540">
        <v>0</v>
      </c>
      <c r="BM31" s="260">
        <v>46161</v>
      </c>
      <c r="BN31" s="340"/>
      <c r="BO31" s="335"/>
      <c r="BP31" s="337"/>
      <c r="BQ31" s="337"/>
      <c r="BR31" s="335"/>
      <c r="BS31" s="337"/>
      <c r="BT31" s="335">
        <f t="shared" si="4"/>
        <v>38.8</v>
      </c>
      <c r="BU31" s="340"/>
    </row>
    <row r="32" customHeight="1" spans="1:73">
      <c r="A32" s="566" t="s">
        <v>534</v>
      </c>
      <c r="B32" s="589" t="s">
        <v>535</v>
      </c>
      <c r="C32" s="549" t="s">
        <v>536</v>
      </c>
      <c r="D32" s="250" t="s">
        <v>472</v>
      </c>
      <c r="E32" s="564" t="s">
        <v>202</v>
      </c>
      <c r="F32" s="585"/>
      <c r="G32" s="536" t="s">
        <v>537</v>
      </c>
      <c r="H32" s="7" t="s">
        <v>238</v>
      </c>
      <c r="I32" s="7" t="s">
        <v>206</v>
      </c>
      <c r="J32" s="7" t="s">
        <v>538</v>
      </c>
      <c r="K32" s="7" t="s">
        <v>539</v>
      </c>
      <c r="L32" s="222" t="s">
        <v>540</v>
      </c>
      <c r="M32" s="49"/>
      <c r="N32" s="54">
        <v>44550</v>
      </c>
      <c r="O32" s="327" t="s">
        <v>210</v>
      </c>
      <c r="P32" s="538" t="s">
        <v>242</v>
      </c>
      <c r="Q32" s="539">
        <v>83</v>
      </c>
      <c r="R32" s="282"/>
      <c r="S32" s="282"/>
      <c r="T32" s="540">
        <v>0</v>
      </c>
      <c r="U32" s="260">
        <v>46041</v>
      </c>
      <c r="V32" s="350"/>
      <c r="W32" s="545"/>
      <c r="X32" s="543"/>
      <c r="Y32" s="544"/>
      <c r="Z32" s="545"/>
      <c r="AA32" s="543"/>
      <c r="AB32" s="545">
        <f t="shared" si="0"/>
        <v>83</v>
      </c>
      <c r="AC32" s="250" t="s">
        <v>213</v>
      </c>
      <c r="AD32" s="283"/>
      <c r="AE32" s="540">
        <v>0</v>
      </c>
      <c r="AF32" s="260">
        <v>46072</v>
      </c>
      <c r="AH32" s="338"/>
      <c r="AI32" s="339"/>
      <c r="AJ32" s="345"/>
      <c r="AK32" s="338"/>
      <c r="AL32" s="339"/>
      <c r="AM32" s="338">
        <f t="shared" si="1"/>
        <v>83</v>
      </c>
      <c r="AN32" s="340" t="s">
        <v>213</v>
      </c>
      <c r="AO32" s="282"/>
      <c r="AP32" s="540">
        <v>0</v>
      </c>
      <c r="AQ32" s="260">
        <v>46100</v>
      </c>
      <c r="AR32" s="340"/>
      <c r="AS32" s="335"/>
      <c r="AT32" s="337"/>
      <c r="AU32" s="337"/>
      <c r="AV32" s="335"/>
      <c r="AW32" s="337"/>
      <c r="AX32" s="335">
        <f t="shared" si="5"/>
        <v>83</v>
      </c>
      <c r="AY32" s="340" t="s">
        <v>213</v>
      </c>
      <c r="AZ32" s="282"/>
      <c r="BA32" s="540">
        <v>0</v>
      </c>
      <c r="BB32" s="260">
        <v>46131</v>
      </c>
      <c r="BC32" s="340"/>
      <c r="BD32" s="335"/>
      <c r="BE32" s="337"/>
      <c r="BF32" s="337"/>
      <c r="BG32" s="335"/>
      <c r="BH32" s="337"/>
      <c r="BI32" s="335">
        <f t="shared" si="3"/>
        <v>83</v>
      </c>
      <c r="BJ32" s="340"/>
      <c r="BK32" s="282"/>
      <c r="BL32" s="540">
        <v>0</v>
      </c>
      <c r="BM32" s="260">
        <v>46161</v>
      </c>
      <c r="BN32" s="340"/>
      <c r="BO32" s="335"/>
      <c r="BP32" s="337"/>
      <c r="BQ32" s="337"/>
      <c r="BR32" s="335"/>
      <c r="BS32" s="337"/>
      <c r="BT32" s="335">
        <f t="shared" si="4"/>
        <v>83</v>
      </c>
      <c r="BU32" s="340"/>
    </row>
    <row r="33" customHeight="1" spans="1:73">
      <c r="A33" s="563" t="s">
        <v>541</v>
      </c>
      <c r="B33" s="38" t="s">
        <v>542</v>
      </c>
      <c r="C33" s="549" t="s">
        <v>543</v>
      </c>
      <c r="D33" s="250" t="s">
        <v>201</v>
      </c>
      <c r="E33" s="550" t="s">
        <v>202</v>
      </c>
      <c r="F33" s="549"/>
      <c r="G33" s="536" t="s">
        <v>544</v>
      </c>
      <c r="H33" s="7" t="s">
        <v>238</v>
      </c>
      <c r="I33" s="7" t="s">
        <v>220</v>
      </c>
      <c r="J33" s="7" t="s">
        <v>253</v>
      </c>
      <c r="K33" s="590" t="s">
        <v>545</v>
      </c>
      <c r="L33" s="222" t="s">
        <v>546</v>
      </c>
      <c r="M33" s="232"/>
      <c r="N33" s="355">
        <v>45859</v>
      </c>
      <c r="O33" s="327" t="s">
        <v>210</v>
      </c>
      <c r="P33" s="558">
        <v>5</v>
      </c>
      <c r="Q33" s="539">
        <v>0</v>
      </c>
      <c r="R33" s="282"/>
      <c r="S33" s="282">
        <f>20.54+10</f>
        <v>30.54</v>
      </c>
      <c r="T33" s="540">
        <v>0</v>
      </c>
      <c r="U33" s="260">
        <v>46036</v>
      </c>
      <c r="V33" s="331">
        <v>46049</v>
      </c>
      <c r="W33" s="539">
        <v>20.54</v>
      </c>
      <c r="X33" s="543" t="s">
        <v>56</v>
      </c>
      <c r="Y33" s="544"/>
      <c r="Z33" s="545"/>
      <c r="AA33" s="543"/>
      <c r="AB33" s="545">
        <f t="shared" si="0"/>
        <v>10</v>
      </c>
      <c r="AC33" s="250" t="s">
        <v>213</v>
      </c>
      <c r="AD33" s="283">
        <v>20.54</v>
      </c>
      <c r="AE33" s="540">
        <v>0</v>
      </c>
      <c r="AF33" s="260">
        <v>46067</v>
      </c>
      <c r="AG33" s="251">
        <v>46077</v>
      </c>
      <c r="AH33" s="335">
        <v>30.54</v>
      </c>
      <c r="AI33" s="336" t="s">
        <v>56</v>
      </c>
      <c r="AJ33" s="345"/>
      <c r="AK33" s="338"/>
      <c r="AL33" s="339"/>
      <c r="AM33" s="338">
        <f t="shared" si="1"/>
        <v>0</v>
      </c>
      <c r="AN33" s="340" t="s">
        <v>213</v>
      </c>
      <c r="AO33" s="282">
        <v>20.54</v>
      </c>
      <c r="AP33" s="540">
        <v>0</v>
      </c>
      <c r="AQ33" s="260">
        <v>46095</v>
      </c>
      <c r="AR33" s="485">
        <v>46112.5825352778</v>
      </c>
      <c r="AS33" s="335">
        <v>20.54</v>
      </c>
      <c r="AT33" s="337" t="s">
        <v>56</v>
      </c>
      <c r="AU33" s="337"/>
      <c r="AV33" s="335"/>
      <c r="AW33" s="337"/>
      <c r="AX33" s="335">
        <f t="shared" si="5"/>
        <v>0</v>
      </c>
      <c r="AY33" s="340" t="s">
        <v>213</v>
      </c>
      <c r="AZ33" s="282">
        <v>20.54</v>
      </c>
      <c r="BA33" s="540">
        <v>0</v>
      </c>
      <c r="BB33" s="260">
        <v>46126</v>
      </c>
      <c r="BC33" s="340"/>
      <c r="BD33" s="335"/>
      <c r="BE33" s="337"/>
      <c r="BF33" s="337"/>
      <c r="BG33" s="335"/>
      <c r="BH33" s="337"/>
      <c r="BI33" s="335">
        <f t="shared" si="3"/>
        <v>20.54</v>
      </c>
      <c r="BJ33" s="340"/>
      <c r="BK33" s="282">
        <v>20.54</v>
      </c>
      <c r="BL33" s="540">
        <v>0</v>
      </c>
      <c r="BM33" s="260">
        <v>46156</v>
      </c>
      <c r="BN33" s="340"/>
      <c r="BO33" s="335"/>
      <c r="BP33" s="337"/>
      <c r="BQ33" s="337"/>
      <c r="BR33" s="335"/>
      <c r="BS33" s="337"/>
      <c r="BT33" s="335">
        <f t="shared" si="4"/>
        <v>41.08</v>
      </c>
      <c r="BU33" s="340"/>
    </row>
    <row r="34" customHeight="1" spans="1:73">
      <c r="A34" s="591" t="s">
        <v>547</v>
      </c>
      <c r="B34" s="561" t="s">
        <v>548</v>
      </c>
      <c r="C34" s="549" t="s">
        <v>549</v>
      </c>
      <c r="D34" s="250" t="s">
        <v>251</v>
      </c>
      <c r="E34" s="564" t="s">
        <v>202</v>
      </c>
      <c r="F34" s="585"/>
      <c r="G34" s="536" t="s">
        <v>529</v>
      </c>
      <c r="H34" s="7" t="s">
        <v>238</v>
      </c>
      <c r="I34" s="7" t="s">
        <v>206</v>
      </c>
      <c r="J34" s="7" t="s">
        <v>417</v>
      </c>
      <c r="K34" s="276" t="s">
        <v>530</v>
      </c>
      <c r="L34" s="222" t="s">
        <v>550</v>
      </c>
      <c r="M34" s="232"/>
      <c r="N34" s="355">
        <v>44606</v>
      </c>
      <c r="O34" s="327" t="s">
        <v>232</v>
      </c>
      <c r="P34" s="538" t="s">
        <v>242</v>
      </c>
      <c r="Q34" s="539">
        <v>0</v>
      </c>
      <c r="R34" s="282"/>
      <c r="S34" s="282"/>
      <c r="T34" s="540">
        <v>0</v>
      </c>
      <c r="U34" s="559"/>
      <c r="V34" s="350"/>
      <c r="W34" s="545"/>
      <c r="X34" s="543"/>
      <c r="Y34" s="544"/>
      <c r="Z34" s="545"/>
      <c r="AA34" s="543"/>
      <c r="AB34" s="545">
        <f t="shared" si="0"/>
        <v>0</v>
      </c>
      <c r="AC34" s="250" t="s">
        <v>213</v>
      </c>
      <c r="AD34" s="283"/>
      <c r="AE34" s="540">
        <v>0</v>
      </c>
      <c r="AF34" s="559"/>
      <c r="AH34" s="338"/>
      <c r="AI34" s="339"/>
      <c r="AJ34" s="345"/>
      <c r="AK34" s="338"/>
      <c r="AL34" s="339"/>
      <c r="AM34" s="338">
        <f t="shared" si="1"/>
        <v>0</v>
      </c>
      <c r="AN34" s="340" t="s">
        <v>213</v>
      </c>
      <c r="AO34" s="282"/>
      <c r="AP34" s="540">
        <v>0</v>
      </c>
      <c r="AQ34" s="559"/>
      <c r="AR34" s="340"/>
      <c r="AS34" s="335"/>
      <c r="AT34" s="337"/>
      <c r="AU34" s="337"/>
      <c r="AV34" s="335"/>
      <c r="AW34" s="337"/>
      <c r="AX34" s="335">
        <f t="shared" si="5"/>
        <v>0</v>
      </c>
      <c r="AY34" s="340" t="s">
        <v>213</v>
      </c>
      <c r="AZ34" s="282"/>
      <c r="BA34" s="540">
        <v>0</v>
      </c>
      <c r="BB34" s="559"/>
      <c r="BC34" s="340"/>
      <c r="BD34" s="335"/>
      <c r="BE34" s="337"/>
      <c r="BF34" s="337"/>
      <c r="BG34" s="335"/>
      <c r="BH34" s="337"/>
      <c r="BI34" s="335">
        <f t="shared" si="3"/>
        <v>0</v>
      </c>
      <c r="BJ34" s="340"/>
      <c r="BK34" s="282"/>
      <c r="BL34" s="540">
        <v>0</v>
      </c>
      <c r="BM34" s="559"/>
      <c r="BN34" s="340"/>
      <c r="BO34" s="335"/>
      <c r="BP34" s="337"/>
      <c r="BQ34" s="337"/>
      <c r="BR34" s="335"/>
      <c r="BS34" s="337"/>
      <c r="BT34" s="335">
        <f t="shared" si="4"/>
        <v>0</v>
      </c>
      <c r="BU34" s="340"/>
    </row>
    <row r="35" customHeight="1" spans="1:73">
      <c r="A35" s="560" t="s">
        <v>551</v>
      </c>
      <c r="B35" s="38" t="s">
        <v>552</v>
      </c>
      <c r="C35" s="38" t="s">
        <v>553</v>
      </c>
      <c r="D35" s="250" t="s">
        <v>201</v>
      </c>
      <c r="E35" s="575" t="s">
        <v>202</v>
      </c>
      <c r="F35" s="592"/>
      <c r="G35" s="536" t="s">
        <v>554</v>
      </c>
      <c r="H35" s="7" t="s">
        <v>238</v>
      </c>
      <c r="I35" s="7" t="s">
        <v>220</v>
      </c>
      <c r="J35" s="7" t="s">
        <v>555</v>
      </c>
      <c r="K35" s="7" t="s">
        <v>556</v>
      </c>
      <c r="L35" s="222" t="s">
        <v>557</v>
      </c>
      <c r="M35" s="414" t="s">
        <v>558</v>
      </c>
      <c r="N35" s="355">
        <v>44701</v>
      </c>
      <c r="O35" s="327" t="s">
        <v>232</v>
      </c>
      <c r="P35" s="558">
        <v>5</v>
      </c>
      <c r="Q35" s="539">
        <v>0</v>
      </c>
      <c r="R35" s="282" t="s">
        <v>559</v>
      </c>
      <c r="S35" s="282">
        <v>17.25</v>
      </c>
      <c r="T35" s="540">
        <v>0</v>
      </c>
      <c r="U35" s="260">
        <v>46041</v>
      </c>
      <c r="V35" s="542">
        <v>46037</v>
      </c>
      <c r="W35" s="539">
        <v>17.25</v>
      </c>
      <c r="X35" s="543" t="s">
        <v>56</v>
      </c>
      <c r="Y35" s="544"/>
      <c r="Z35" s="545"/>
      <c r="AA35" s="543"/>
      <c r="AB35" s="545">
        <f t="shared" si="0"/>
        <v>0</v>
      </c>
      <c r="AC35" s="250" t="s">
        <v>560</v>
      </c>
      <c r="AD35" s="283">
        <v>17.25</v>
      </c>
      <c r="AE35" s="540">
        <v>0</v>
      </c>
      <c r="AF35" s="260">
        <v>46072</v>
      </c>
      <c r="AG35" s="251">
        <v>46071</v>
      </c>
      <c r="AH35" s="335">
        <v>17.25</v>
      </c>
      <c r="AI35" s="336" t="s">
        <v>56</v>
      </c>
      <c r="AJ35" s="337"/>
      <c r="AK35" s="335"/>
      <c r="AL35" s="336"/>
      <c r="AM35" s="335">
        <f t="shared" si="1"/>
        <v>0</v>
      </c>
      <c r="AN35" s="340" t="s">
        <v>561</v>
      </c>
      <c r="AO35" s="282">
        <v>17.25</v>
      </c>
      <c r="AP35" s="540">
        <v>0</v>
      </c>
      <c r="AQ35" s="260">
        <v>46100</v>
      </c>
      <c r="AR35" s="485">
        <v>46100.6296284607</v>
      </c>
      <c r="AS35" s="335">
        <v>17.25</v>
      </c>
      <c r="AT35" s="337" t="s">
        <v>56</v>
      </c>
      <c r="AU35" s="337"/>
      <c r="AV35" s="335"/>
      <c r="AW35" s="337"/>
      <c r="AX35" s="335">
        <f t="shared" si="5"/>
        <v>0</v>
      </c>
      <c r="AY35" s="340" t="s">
        <v>562</v>
      </c>
      <c r="AZ35" s="282">
        <v>17.25</v>
      </c>
      <c r="BA35" s="540">
        <v>0</v>
      </c>
      <c r="BB35" s="260">
        <v>46131</v>
      </c>
      <c r="BC35" s="340" t="s">
        <v>563</v>
      </c>
      <c r="BD35" s="335">
        <v>17.25</v>
      </c>
      <c r="BE35" s="337" t="s">
        <v>56</v>
      </c>
      <c r="BF35" s="337"/>
      <c r="BG35" s="335"/>
      <c r="BH35" s="337"/>
      <c r="BI35" s="335">
        <f t="shared" si="3"/>
        <v>0</v>
      </c>
      <c r="BJ35" s="340" t="s">
        <v>564</v>
      </c>
      <c r="BK35" s="282">
        <v>17.25</v>
      </c>
      <c r="BL35" s="540">
        <v>0</v>
      </c>
      <c r="BM35" s="260">
        <v>46161</v>
      </c>
      <c r="BN35" s="340"/>
      <c r="BO35" s="335"/>
      <c r="BP35" s="337"/>
      <c r="BQ35" s="337"/>
      <c r="BR35" s="335"/>
      <c r="BS35" s="337"/>
      <c r="BT35" s="335">
        <f t="shared" si="4"/>
        <v>17.25</v>
      </c>
      <c r="BU35" s="340"/>
    </row>
    <row r="36" customHeight="1" spans="1:73">
      <c r="A36" s="563" t="s">
        <v>565</v>
      </c>
      <c r="B36" s="561" t="s">
        <v>566</v>
      </c>
      <c r="C36" s="549" t="s">
        <v>567</v>
      </c>
      <c r="D36" s="486" t="s">
        <v>472</v>
      </c>
      <c r="E36" s="564" t="s">
        <v>202</v>
      </c>
      <c r="F36" s="585"/>
      <c r="G36" s="576" t="s">
        <v>568</v>
      </c>
      <c r="H36" s="7" t="s">
        <v>274</v>
      </c>
      <c r="I36" s="7" t="s">
        <v>220</v>
      </c>
      <c r="J36" s="7" t="s">
        <v>569</v>
      </c>
      <c r="K36" s="593" t="s">
        <v>570</v>
      </c>
      <c r="L36" s="222" t="s">
        <v>571</v>
      </c>
      <c r="M36" s="232"/>
      <c r="N36" s="355">
        <v>44638</v>
      </c>
      <c r="O36" s="327" t="s">
        <v>232</v>
      </c>
      <c r="P36" s="538"/>
      <c r="Q36" s="539">
        <v>77.25</v>
      </c>
      <c r="R36" s="282"/>
      <c r="S36" s="282"/>
      <c r="T36" s="540">
        <v>0</v>
      </c>
      <c r="U36" s="260">
        <v>46041</v>
      </c>
      <c r="V36" s="350"/>
      <c r="W36" s="545"/>
      <c r="X36" s="543"/>
      <c r="Y36" s="544"/>
      <c r="Z36" s="545"/>
      <c r="AA36" s="543"/>
      <c r="AB36" s="545">
        <f t="shared" si="0"/>
        <v>77.25</v>
      </c>
      <c r="AC36" s="250" t="s">
        <v>213</v>
      </c>
      <c r="AD36" s="283"/>
      <c r="AE36" s="540">
        <v>0</v>
      </c>
      <c r="AF36" s="260">
        <v>46072</v>
      </c>
      <c r="AH36" s="338"/>
      <c r="AI36" s="339"/>
      <c r="AJ36" s="345"/>
      <c r="AK36" s="338"/>
      <c r="AL36" s="339"/>
      <c r="AM36" s="338">
        <f t="shared" si="1"/>
        <v>77.25</v>
      </c>
      <c r="AN36" s="340" t="s">
        <v>213</v>
      </c>
      <c r="AO36" s="282"/>
      <c r="AP36" s="540">
        <v>0</v>
      </c>
      <c r="AQ36" s="260">
        <v>46100</v>
      </c>
      <c r="AR36" s="340"/>
      <c r="AS36" s="335"/>
      <c r="AT36" s="337"/>
      <c r="AU36" s="337"/>
      <c r="AV36" s="335"/>
      <c r="AW36" s="337"/>
      <c r="AX36" s="335">
        <f t="shared" si="5"/>
        <v>77.25</v>
      </c>
      <c r="AY36" s="340" t="s">
        <v>213</v>
      </c>
      <c r="AZ36" s="282"/>
      <c r="BA36" s="540">
        <v>0</v>
      </c>
      <c r="BB36" s="260">
        <v>46131</v>
      </c>
      <c r="BC36" s="340"/>
      <c r="BD36" s="335"/>
      <c r="BE36" s="337"/>
      <c r="BF36" s="337"/>
      <c r="BG36" s="335"/>
      <c r="BH36" s="337"/>
      <c r="BI36" s="335">
        <f t="shared" si="3"/>
        <v>77.25</v>
      </c>
      <c r="BJ36" s="340"/>
      <c r="BK36" s="282"/>
      <c r="BL36" s="540">
        <v>0</v>
      </c>
      <c r="BM36" s="260">
        <v>46161</v>
      </c>
      <c r="BN36" s="340"/>
      <c r="BO36" s="335"/>
      <c r="BP36" s="337"/>
      <c r="BQ36" s="337"/>
      <c r="BR36" s="335"/>
      <c r="BS36" s="337"/>
      <c r="BT36" s="335">
        <f t="shared" si="4"/>
        <v>77.25</v>
      </c>
      <c r="BU36" s="340"/>
    </row>
    <row r="37" customHeight="1" spans="1:73">
      <c r="A37" s="572" t="s">
        <v>572</v>
      </c>
      <c r="B37" s="38" t="s">
        <v>573</v>
      </c>
      <c r="C37" s="549" t="s">
        <v>574</v>
      </c>
      <c r="D37" s="250" t="s">
        <v>201</v>
      </c>
      <c r="E37" s="564" t="s">
        <v>226</v>
      </c>
      <c r="F37" s="585"/>
      <c r="G37" s="536" t="s">
        <v>575</v>
      </c>
      <c r="H37" s="7" t="s">
        <v>274</v>
      </c>
      <c r="I37" s="7" t="s">
        <v>206</v>
      </c>
      <c r="J37" s="7" t="s">
        <v>576</v>
      </c>
      <c r="K37" s="7" t="s">
        <v>577</v>
      </c>
      <c r="L37" s="222" t="s">
        <v>578</v>
      </c>
      <c r="M37" s="232"/>
      <c r="N37" s="355">
        <v>44638</v>
      </c>
      <c r="O37" s="327" t="s">
        <v>210</v>
      </c>
      <c r="P37" s="538"/>
      <c r="Q37" s="539">
        <v>0</v>
      </c>
      <c r="R37" s="282" t="s">
        <v>579</v>
      </c>
      <c r="S37" s="282">
        <v>23</v>
      </c>
      <c r="T37" s="540">
        <v>0</v>
      </c>
      <c r="U37" s="260">
        <v>46031</v>
      </c>
      <c r="V37" s="542">
        <v>46045.3543146412</v>
      </c>
      <c r="W37" s="539">
        <v>23</v>
      </c>
      <c r="X37" s="543" t="s">
        <v>56</v>
      </c>
      <c r="Y37" s="544"/>
      <c r="Z37" s="545"/>
      <c r="AA37" s="543"/>
      <c r="AB37" s="545">
        <f t="shared" si="0"/>
        <v>0</v>
      </c>
      <c r="AC37" s="250" t="s">
        <v>580</v>
      </c>
      <c r="AD37" s="283">
        <v>23</v>
      </c>
      <c r="AE37" s="540">
        <v>0</v>
      </c>
      <c r="AF37" s="260">
        <v>46062</v>
      </c>
      <c r="AG37" s="485">
        <v>46064.5335551736</v>
      </c>
      <c r="AH37" s="335">
        <v>23</v>
      </c>
      <c r="AI37" s="336" t="s">
        <v>56</v>
      </c>
      <c r="AJ37" s="337"/>
      <c r="AK37" s="335"/>
      <c r="AL37" s="336"/>
      <c r="AM37" s="335">
        <f t="shared" si="1"/>
        <v>0</v>
      </c>
      <c r="AN37" s="340" t="s">
        <v>581</v>
      </c>
      <c r="AO37" s="282">
        <v>23</v>
      </c>
      <c r="AP37" s="540">
        <v>0</v>
      </c>
      <c r="AQ37" s="260">
        <v>46090</v>
      </c>
      <c r="AR37" s="340" t="s">
        <v>582</v>
      </c>
      <c r="AS37" s="335">
        <v>23</v>
      </c>
      <c r="AT37" s="337" t="s">
        <v>56</v>
      </c>
      <c r="AU37" s="337"/>
      <c r="AV37" s="335"/>
      <c r="AW37" s="337"/>
      <c r="AX37" s="335">
        <f t="shared" si="5"/>
        <v>0</v>
      </c>
      <c r="AY37" s="340" t="s">
        <v>583</v>
      </c>
      <c r="AZ37" s="282">
        <v>23</v>
      </c>
      <c r="BA37" s="540">
        <v>0</v>
      </c>
      <c r="BB37" s="260">
        <v>46121</v>
      </c>
      <c r="BC37" s="485">
        <v>46134.4721878125</v>
      </c>
      <c r="BD37" s="335">
        <v>23</v>
      </c>
      <c r="BE37" s="337" t="s">
        <v>56</v>
      </c>
      <c r="BF37" s="337"/>
      <c r="BG37" s="335"/>
      <c r="BH37" s="337"/>
      <c r="BI37" s="335">
        <f t="shared" si="3"/>
        <v>0</v>
      </c>
      <c r="BJ37" s="340" t="s">
        <v>584</v>
      </c>
      <c r="BK37" s="282">
        <v>23</v>
      </c>
      <c r="BL37" s="540">
        <v>0</v>
      </c>
      <c r="BM37" s="260">
        <v>46151</v>
      </c>
      <c r="BN37" s="340"/>
      <c r="BO37" s="335"/>
      <c r="BP37" s="337"/>
      <c r="BQ37" s="337"/>
      <c r="BR37" s="335"/>
      <c r="BS37" s="337"/>
      <c r="BT37" s="335">
        <f t="shared" si="4"/>
        <v>23</v>
      </c>
      <c r="BU37" s="340"/>
    </row>
    <row r="38" customHeight="1" spans="1:73">
      <c r="A38" s="566" t="s">
        <v>585</v>
      </c>
      <c r="B38" s="38" t="s">
        <v>586</v>
      </c>
      <c r="C38" s="549" t="s">
        <v>587</v>
      </c>
      <c r="D38" s="250" t="s">
        <v>201</v>
      </c>
      <c r="E38" s="564" t="s">
        <v>226</v>
      </c>
      <c r="F38" s="585"/>
      <c r="G38" s="536" t="s">
        <v>588</v>
      </c>
      <c r="H38" s="7" t="s">
        <v>274</v>
      </c>
      <c r="I38" s="7" t="s">
        <v>206</v>
      </c>
      <c r="J38" s="7" t="s">
        <v>589</v>
      </c>
      <c r="K38" s="7" t="s">
        <v>590</v>
      </c>
      <c r="L38" s="222" t="s">
        <v>591</v>
      </c>
      <c r="M38" s="298" t="s">
        <v>592</v>
      </c>
      <c r="N38" s="355">
        <v>44641</v>
      </c>
      <c r="O38" s="327" t="s">
        <v>210</v>
      </c>
      <c r="P38" s="538"/>
      <c r="Q38" s="539">
        <v>0</v>
      </c>
      <c r="R38" s="282" t="s">
        <v>593</v>
      </c>
      <c r="S38" s="282">
        <v>23</v>
      </c>
      <c r="T38" s="540">
        <v>0</v>
      </c>
      <c r="U38" s="260">
        <v>46047</v>
      </c>
      <c r="V38" s="542">
        <v>46048.8178782755</v>
      </c>
      <c r="W38" s="539">
        <v>23</v>
      </c>
      <c r="X38" s="543" t="s">
        <v>35</v>
      </c>
      <c r="Y38" s="544"/>
      <c r="Z38" s="545"/>
      <c r="AA38" s="543"/>
      <c r="AB38" s="545">
        <f t="shared" si="0"/>
        <v>0</v>
      </c>
      <c r="AC38" s="250" t="s">
        <v>594</v>
      </c>
      <c r="AD38" s="283">
        <v>23</v>
      </c>
      <c r="AE38" s="540">
        <v>0</v>
      </c>
      <c r="AF38" s="260">
        <v>46078</v>
      </c>
      <c r="AG38" s="485">
        <v>46079</v>
      </c>
      <c r="AH38" s="335">
        <v>23</v>
      </c>
      <c r="AI38" s="336" t="s">
        <v>35</v>
      </c>
      <c r="AJ38" s="337"/>
      <c r="AK38" s="335"/>
      <c r="AL38" s="336"/>
      <c r="AM38" s="335">
        <f t="shared" si="1"/>
        <v>0</v>
      </c>
      <c r="AN38" s="340" t="s">
        <v>595</v>
      </c>
      <c r="AO38" s="282">
        <v>23</v>
      </c>
      <c r="AP38" s="540">
        <v>0</v>
      </c>
      <c r="AQ38" s="260">
        <v>46106</v>
      </c>
      <c r="AR38" s="340" t="s">
        <v>214</v>
      </c>
      <c r="AS38" s="335">
        <v>23</v>
      </c>
      <c r="AT38" s="337" t="s">
        <v>35</v>
      </c>
      <c r="AU38" s="337"/>
      <c r="AV38" s="335"/>
      <c r="AW38" s="337"/>
      <c r="AX38" s="335">
        <f t="shared" si="5"/>
        <v>0</v>
      </c>
      <c r="AY38" s="340" t="s">
        <v>596</v>
      </c>
      <c r="AZ38" s="282">
        <v>23</v>
      </c>
      <c r="BA38" s="540">
        <v>0</v>
      </c>
      <c r="BB38" s="260">
        <v>46137</v>
      </c>
      <c r="BC38" s="340" t="s">
        <v>597</v>
      </c>
      <c r="BD38" s="335">
        <v>23</v>
      </c>
      <c r="BE38" s="337" t="s">
        <v>23</v>
      </c>
      <c r="BF38" s="337"/>
      <c r="BG38" s="335"/>
      <c r="BH38" s="337"/>
      <c r="BI38" s="335">
        <f t="shared" si="3"/>
        <v>0</v>
      </c>
      <c r="BJ38" s="340" t="s">
        <v>598</v>
      </c>
      <c r="BK38" s="282">
        <v>23</v>
      </c>
      <c r="BL38" s="540">
        <v>0</v>
      </c>
      <c r="BM38" s="260">
        <v>46167</v>
      </c>
      <c r="BN38" s="340"/>
      <c r="BO38" s="335"/>
      <c r="BP38" s="337"/>
      <c r="BQ38" s="337"/>
      <c r="BR38" s="335"/>
      <c r="BS38" s="337"/>
      <c r="BT38" s="335">
        <f t="shared" si="4"/>
        <v>23</v>
      </c>
      <c r="BU38" s="340"/>
    </row>
    <row r="39" customHeight="1" spans="1:73">
      <c r="A39" s="594" t="s">
        <v>599</v>
      </c>
      <c r="B39" s="38" t="s">
        <v>600</v>
      </c>
      <c r="C39" s="549" t="s">
        <v>601</v>
      </c>
      <c r="D39" s="250" t="s">
        <v>201</v>
      </c>
      <c r="E39" s="564" t="s">
        <v>226</v>
      </c>
      <c r="F39" s="585"/>
      <c r="G39" s="536" t="s">
        <v>602</v>
      </c>
      <c r="H39" s="7" t="s">
        <v>274</v>
      </c>
      <c r="I39" s="7" t="s">
        <v>206</v>
      </c>
      <c r="J39" s="7" t="s">
        <v>603</v>
      </c>
      <c r="K39" s="7" t="s">
        <v>604</v>
      </c>
      <c r="L39" s="595" t="s">
        <v>605</v>
      </c>
      <c r="M39" s="232"/>
      <c r="N39" s="355">
        <v>44642</v>
      </c>
      <c r="O39" s="327" t="s">
        <v>210</v>
      </c>
      <c r="P39" s="538"/>
      <c r="Q39" s="539">
        <v>0</v>
      </c>
      <c r="R39" s="282"/>
      <c r="S39" s="282">
        <v>23</v>
      </c>
      <c r="T39" s="540">
        <v>0</v>
      </c>
      <c r="U39" s="260">
        <v>46041</v>
      </c>
      <c r="V39" s="331">
        <v>46050</v>
      </c>
      <c r="W39" s="539">
        <v>23</v>
      </c>
      <c r="X39" s="543" t="s">
        <v>23</v>
      </c>
      <c r="Y39" s="544"/>
      <c r="Z39" s="545"/>
      <c r="AA39" s="543"/>
      <c r="AB39" s="545">
        <f t="shared" si="0"/>
        <v>0</v>
      </c>
      <c r="AC39" s="250" t="s">
        <v>213</v>
      </c>
      <c r="AD39" s="283">
        <v>23</v>
      </c>
      <c r="AE39" s="540">
        <v>0</v>
      </c>
      <c r="AF39" s="260">
        <v>46072</v>
      </c>
      <c r="AG39" s="251">
        <v>46081</v>
      </c>
      <c r="AH39" s="335">
        <v>23</v>
      </c>
      <c r="AI39" s="336" t="s">
        <v>23</v>
      </c>
      <c r="AJ39" s="345"/>
      <c r="AK39" s="338"/>
      <c r="AL39" s="339"/>
      <c r="AM39" s="338">
        <f t="shared" si="1"/>
        <v>0</v>
      </c>
      <c r="AN39" s="340" t="s">
        <v>213</v>
      </c>
      <c r="AO39" s="282">
        <v>23</v>
      </c>
      <c r="AP39" s="540">
        <v>0</v>
      </c>
      <c r="AQ39" s="260">
        <v>46100</v>
      </c>
      <c r="AR39" s="485">
        <v>46107.6622997917</v>
      </c>
      <c r="AS39" s="335">
        <v>23</v>
      </c>
      <c r="AT39" s="337" t="s">
        <v>23</v>
      </c>
      <c r="AU39" s="337"/>
      <c r="AV39" s="335"/>
      <c r="AW39" s="337"/>
      <c r="AX39" s="335">
        <f t="shared" si="5"/>
        <v>0</v>
      </c>
      <c r="AY39" s="340" t="s">
        <v>213</v>
      </c>
      <c r="AZ39" s="282">
        <v>23</v>
      </c>
      <c r="BA39" s="540">
        <v>0</v>
      </c>
      <c r="BB39" s="260">
        <v>46131</v>
      </c>
      <c r="BC39" s="340" t="s">
        <v>606</v>
      </c>
      <c r="BD39" s="335">
        <v>23</v>
      </c>
      <c r="BE39" s="337" t="s">
        <v>23</v>
      </c>
      <c r="BF39" s="337"/>
      <c r="BG39" s="335"/>
      <c r="BH39" s="337"/>
      <c r="BI39" s="335">
        <f t="shared" si="3"/>
        <v>0</v>
      </c>
      <c r="BJ39" s="340"/>
      <c r="BK39" s="282">
        <v>23</v>
      </c>
      <c r="BL39" s="540">
        <v>0</v>
      </c>
      <c r="BM39" s="260">
        <v>46161</v>
      </c>
      <c r="BN39" s="340"/>
      <c r="BO39" s="335"/>
      <c r="BP39" s="337"/>
      <c r="BQ39" s="337"/>
      <c r="BR39" s="335"/>
      <c r="BS39" s="337"/>
      <c r="BT39" s="335">
        <f t="shared" si="4"/>
        <v>23</v>
      </c>
      <c r="BU39" s="340"/>
    </row>
    <row r="40" customHeight="1" spans="1:73">
      <c r="A40" s="566" t="s">
        <v>607</v>
      </c>
      <c r="B40" s="38" t="s">
        <v>608</v>
      </c>
      <c r="C40" s="549" t="s">
        <v>609</v>
      </c>
      <c r="D40" s="250" t="s">
        <v>201</v>
      </c>
      <c r="E40" s="564" t="s">
        <v>202</v>
      </c>
      <c r="F40" s="585"/>
      <c r="G40" s="536" t="s">
        <v>610</v>
      </c>
      <c r="H40" s="7" t="s">
        <v>274</v>
      </c>
      <c r="I40" s="7" t="s">
        <v>206</v>
      </c>
      <c r="J40" s="7" t="s">
        <v>611</v>
      </c>
      <c r="K40" s="7" t="s">
        <v>335</v>
      </c>
      <c r="L40" s="222" t="s">
        <v>612</v>
      </c>
      <c r="M40" s="414" t="s">
        <v>613</v>
      </c>
      <c r="N40" s="355">
        <v>44649</v>
      </c>
      <c r="O40" s="327" t="s">
        <v>210</v>
      </c>
      <c r="P40" s="538"/>
      <c r="Q40" s="539">
        <v>0</v>
      </c>
      <c r="R40" s="282" t="s">
        <v>614</v>
      </c>
      <c r="S40" s="282">
        <v>23</v>
      </c>
      <c r="T40" s="540">
        <v>0</v>
      </c>
      <c r="U40" s="260">
        <v>46036</v>
      </c>
      <c r="V40" s="331">
        <v>46045</v>
      </c>
      <c r="W40" s="539">
        <v>23</v>
      </c>
      <c r="X40" s="543" t="s">
        <v>35</v>
      </c>
      <c r="Y40" s="544"/>
      <c r="Z40" s="545"/>
      <c r="AA40" s="543"/>
      <c r="AB40" s="545">
        <f t="shared" si="0"/>
        <v>0</v>
      </c>
      <c r="AC40" s="250" t="s">
        <v>615</v>
      </c>
      <c r="AD40" s="283">
        <v>23</v>
      </c>
      <c r="AE40" s="540">
        <v>0</v>
      </c>
      <c r="AF40" s="260">
        <v>46067</v>
      </c>
      <c r="AG40" s="251">
        <v>46076</v>
      </c>
      <c r="AH40" s="335">
        <v>23</v>
      </c>
      <c r="AI40" s="336" t="s">
        <v>35</v>
      </c>
      <c r="AJ40" s="337"/>
      <c r="AK40" s="335"/>
      <c r="AL40" s="336"/>
      <c r="AM40" s="335">
        <f t="shared" si="1"/>
        <v>0</v>
      </c>
      <c r="AN40" s="340" t="s">
        <v>616</v>
      </c>
      <c r="AO40" s="282">
        <v>23</v>
      </c>
      <c r="AP40" s="540">
        <v>0</v>
      </c>
      <c r="AQ40" s="260">
        <v>46095</v>
      </c>
      <c r="AR40" s="340" t="s">
        <v>386</v>
      </c>
      <c r="AS40" s="335">
        <v>23</v>
      </c>
      <c r="AT40" s="337" t="s">
        <v>35</v>
      </c>
      <c r="AU40" s="337"/>
      <c r="AV40" s="335"/>
      <c r="AW40" s="337"/>
      <c r="AX40" s="335">
        <f t="shared" si="5"/>
        <v>0</v>
      </c>
      <c r="AY40" s="340" t="s">
        <v>617</v>
      </c>
      <c r="AZ40" s="282">
        <v>23</v>
      </c>
      <c r="BA40" s="540">
        <v>0</v>
      </c>
      <c r="BB40" s="260">
        <v>46126</v>
      </c>
      <c r="BC40" s="340" t="s">
        <v>321</v>
      </c>
      <c r="BD40" s="335">
        <v>23</v>
      </c>
      <c r="BE40" s="337" t="s">
        <v>35</v>
      </c>
      <c r="BF40" s="337"/>
      <c r="BG40" s="335"/>
      <c r="BH40" s="337"/>
      <c r="BI40" s="335">
        <f t="shared" si="3"/>
        <v>0</v>
      </c>
      <c r="BJ40" s="340" t="s">
        <v>618</v>
      </c>
      <c r="BK40" s="282">
        <v>23</v>
      </c>
      <c r="BL40" s="540">
        <v>0</v>
      </c>
      <c r="BM40" s="260">
        <v>46156</v>
      </c>
      <c r="BN40" s="340"/>
      <c r="BO40" s="335"/>
      <c r="BP40" s="337"/>
      <c r="BQ40" s="337"/>
      <c r="BR40" s="335"/>
      <c r="BS40" s="337"/>
      <c r="BT40" s="335">
        <f t="shared" si="4"/>
        <v>23</v>
      </c>
      <c r="BU40" s="340"/>
    </row>
    <row r="41" customHeight="1" spans="1:73">
      <c r="A41" s="572" t="s">
        <v>619</v>
      </c>
      <c r="B41" s="38" t="s">
        <v>620</v>
      </c>
      <c r="C41" s="549" t="s">
        <v>621</v>
      </c>
      <c r="D41" s="250" t="s">
        <v>201</v>
      </c>
      <c r="E41" s="564" t="s">
        <v>202</v>
      </c>
      <c r="F41" s="585"/>
      <c r="G41" s="536" t="s">
        <v>622</v>
      </c>
      <c r="H41" s="7" t="s">
        <v>274</v>
      </c>
      <c r="I41" s="7" t="s">
        <v>220</v>
      </c>
      <c r="J41" s="7" t="s">
        <v>623</v>
      </c>
      <c r="K41" s="7" t="s">
        <v>624</v>
      </c>
      <c r="L41" s="222" t="s">
        <v>625</v>
      </c>
      <c r="M41" s="232"/>
      <c r="N41" s="355">
        <v>44669</v>
      </c>
      <c r="O41" s="327" t="s">
        <v>210</v>
      </c>
      <c r="P41" s="538"/>
      <c r="Q41" s="539">
        <v>20</v>
      </c>
      <c r="R41" s="282"/>
      <c r="S41" s="282">
        <v>16.8</v>
      </c>
      <c r="T41" s="540">
        <v>0</v>
      </c>
      <c r="U41" s="260">
        <v>46036</v>
      </c>
      <c r="V41" s="331">
        <v>46037</v>
      </c>
      <c r="W41" s="539">
        <v>36</v>
      </c>
      <c r="X41" s="543" t="s">
        <v>23</v>
      </c>
      <c r="Y41" s="544"/>
      <c r="Z41" s="545"/>
      <c r="AA41" s="543"/>
      <c r="AB41" s="545">
        <f t="shared" si="0"/>
        <v>0.799999999999997</v>
      </c>
      <c r="AC41" s="250" t="s">
        <v>213</v>
      </c>
      <c r="AD41" s="283">
        <v>0</v>
      </c>
      <c r="AE41" s="540">
        <v>0</v>
      </c>
      <c r="AF41" s="260">
        <v>46067</v>
      </c>
      <c r="AH41" s="338"/>
      <c r="AI41" s="339"/>
      <c r="AJ41" s="345"/>
      <c r="AK41" s="338"/>
      <c r="AL41" s="339"/>
      <c r="AM41" s="338">
        <f t="shared" si="1"/>
        <v>0.799999999999997</v>
      </c>
      <c r="AN41" s="340" t="s">
        <v>213</v>
      </c>
      <c r="AO41" s="282">
        <v>16.8</v>
      </c>
      <c r="AP41" s="540">
        <v>0</v>
      </c>
      <c r="AQ41" s="260">
        <v>46095</v>
      </c>
      <c r="AR41" s="340" t="s">
        <v>498</v>
      </c>
      <c r="AS41" s="335">
        <v>16.8</v>
      </c>
      <c r="AT41" s="337" t="s">
        <v>23</v>
      </c>
      <c r="AU41" s="337"/>
      <c r="AV41" s="335"/>
      <c r="AW41" s="337"/>
      <c r="AX41" s="335">
        <f t="shared" si="5"/>
        <v>0.799999999999997</v>
      </c>
      <c r="AY41" s="340" t="s">
        <v>213</v>
      </c>
      <c r="AZ41" s="282">
        <v>16.8</v>
      </c>
      <c r="BA41" s="540">
        <v>0</v>
      </c>
      <c r="BB41" s="260">
        <v>46126</v>
      </c>
      <c r="BC41" s="340" t="s">
        <v>626</v>
      </c>
      <c r="BD41" s="335">
        <v>16.8</v>
      </c>
      <c r="BE41" s="337" t="s">
        <v>23</v>
      </c>
      <c r="BF41" s="337"/>
      <c r="BG41" s="335"/>
      <c r="BH41" s="337"/>
      <c r="BI41" s="335">
        <f t="shared" si="3"/>
        <v>0.799999999999997</v>
      </c>
      <c r="BJ41" s="340"/>
      <c r="BK41" s="282">
        <v>16.8</v>
      </c>
      <c r="BL41" s="540">
        <v>0</v>
      </c>
      <c r="BM41" s="260">
        <v>46156</v>
      </c>
      <c r="BN41" s="340"/>
      <c r="BO41" s="335"/>
      <c r="BP41" s="337"/>
      <c r="BQ41" s="337"/>
      <c r="BR41" s="335"/>
      <c r="BS41" s="337"/>
      <c r="BT41" s="335">
        <f t="shared" si="4"/>
        <v>17.6</v>
      </c>
      <c r="BU41" s="340"/>
    </row>
    <row r="42" customHeight="1" spans="1:73">
      <c r="A42" s="566" t="s">
        <v>627</v>
      </c>
      <c r="B42" s="568" t="s">
        <v>628</v>
      </c>
      <c r="C42" s="549" t="s">
        <v>629</v>
      </c>
      <c r="D42" s="250" t="s">
        <v>201</v>
      </c>
      <c r="E42" s="564" t="s">
        <v>226</v>
      </c>
      <c r="F42" s="585"/>
      <c r="G42" s="536" t="s">
        <v>630</v>
      </c>
      <c r="H42" s="7" t="s">
        <v>274</v>
      </c>
      <c r="I42" s="7" t="s">
        <v>206</v>
      </c>
      <c r="J42" s="7" t="s">
        <v>631</v>
      </c>
      <c r="K42" s="7" t="s">
        <v>632</v>
      </c>
      <c r="L42" s="222" t="s">
        <v>633</v>
      </c>
      <c r="M42" s="7" t="s">
        <v>634</v>
      </c>
      <c r="N42" s="355">
        <v>45808</v>
      </c>
      <c r="O42" s="327" t="s">
        <v>210</v>
      </c>
      <c r="P42" s="538"/>
      <c r="Q42" s="539">
        <v>8</v>
      </c>
      <c r="R42" s="282"/>
      <c r="S42" s="282">
        <v>20</v>
      </c>
      <c r="T42" s="540">
        <v>2</v>
      </c>
      <c r="U42" s="260">
        <v>46041</v>
      </c>
      <c r="V42" s="331">
        <v>46049</v>
      </c>
      <c r="W42" s="539">
        <v>30</v>
      </c>
      <c r="X42" s="543" t="s">
        <v>23</v>
      </c>
      <c r="Y42" s="544"/>
      <c r="Z42" s="545"/>
      <c r="AA42" s="543"/>
      <c r="AB42" s="545">
        <f t="shared" si="0"/>
        <v>0</v>
      </c>
      <c r="AC42" s="250" t="s">
        <v>213</v>
      </c>
      <c r="AD42" s="283">
        <v>23</v>
      </c>
      <c r="AE42" s="540">
        <v>0</v>
      </c>
      <c r="AF42" s="260">
        <v>46072</v>
      </c>
      <c r="AG42" s="251">
        <v>46077</v>
      </c>
      <c r="AH42" s="335">
        <v>23</v>
      </c>
      <c r="AI42" s="336" t="s">
        <v>23</v>
      </c>
      <c r="AJ42" s="345"/>
      <c r="AK42" s="338"/>
      <c r="AL42" s="339"/>
      <c r="AM42" s="338">
        <f t="shared" si="1"/>
        <v>0</v>
      </c>
      <c r="AN42" s="340" t="s">
        <v>213</v>
      </c>
      <c r="AO42" s="282">
        <v>23</v>
      </c>
      <c r="AP42" s="540">
        <v>0</v>
      </c>
      <c r="AQ42" s="260">
        <v>46100</v>
      </c>
      <c r="AR42" s="340" t="s">
        <v>386</v>
      </c>
      <c r="AS42" s="335">
        <v>23</v>
      </c>
      <c r="AT42" s="337" t="s">
        <v>56</v>
      </c>
      <c r="AU42" s="337"/>
      <c r="AV42" s="335"/>
      <c r="AW42" s="337"/>
      <c r="AX42" s="335">
        <f t="shared" si="5"/>
        <v>0</v>
      </c>
      <c r="AY42" s="340" t="s">
        <v>213</v>
      </c>
      <c r="AZ42" s="282">
        <v>23</v>
      </c>
      <c r="BA42" s="540">
        <v>0</v>
      </c>
      <c r="BB42" s="260">
        <v>46131</v>
      </c>
      <c r="BC42" s="340" t="s">
        <v>223</v>
      </c>
      <c r="BD42" s="335">
        <v>23</v>
      </c>
      <c r="BE42" s="337" t="s">
        <v>23</v>
      </c>
      <c r="BF42" s="337"/>
      <c r="BG42" s="335"/>
      <c r="BH42" s="337"/>
      <c r="BI42" s="335">
        <f t="shared" si="3"/>
        <v>0</v>
      </c>
      <c r="BJ42" s="340"/>
      <c r="BK42" s="282">
        <v>23</v>
      </c>
      <c r="BL42" s="540">
        <v>2</v>
      </c>
      <c r="BM42" s="260">
        <v>46161</v>
      </c>
      <c r="BN42" s="340" t="s">
        <v>512</v>
      </c>
      <c r="BO42" s="335">
        <v>23</v>
      </c>
      <c r="BP42" s="337" t="s">
        <v>23</v>
      </c>
      <c r="BQ42" s="337"/>
      <c r="BR42" s="335">
        <v>2</v>
      </c>
      <c r="BS42" s="337" t="s">
        <v>23</v>
      </c>
      <c r="BT42" s="335">
        <f t="shared" si="4"/>
        <v>0</v>
      </c>
      <c r="BU42" s="340"/>
    </row>
    <row r="43" customHeight="1" spans="1:73">
      <c r="A43" s="560" t="s">
        <v>635</v>
      </c>
      <c r="B43" s="561" t="s">
        <v>636</v>
      </c>
      <c r="C43" s="549" t="s">
        <v>637</v>
      </c>
      <c r="D43" s="250" t="s">
        <v>251</v>
      </c>
      <c r="E43" s="564" t="s">
        <v>226</v>
      </c>
      <c r="F43" s="585"/>
      <c r="G43" s="536" t="s">
        <v>638</v>
      </c>
      <c r="H43" s="7" t="s">
        <v>274</v>
      </c>
      <c r="I43" s="7" t="s">
        <v>206</v>
      </c>
      <c r="J43" s="7" t="s">
        <v>639</v>
      </c>
      <c r="K43" s="7" t="s">
        <v>640</v>
      </c>
      <c r="L43" s="222" t="s">
        <v>641</v>
      </c>
      <c r="M43" s="414" t="s">
        <v>642</v>
      </c>
      <c r="N43" s="355">
        <v>44699</v>
      </c>
      <c r="O43" s="327" t="s">
        <v>464</v>
      </c>
      <c r="P43" s="538"/>
      <c r="Q43" s="539">
        <v>-2.72</v>
      </c>
      <c r="R43" s="282"/>
      <c r="S43" s="282">
        <v>15.24</v>
      </c>
      <c r="T43" s="540">
        <v>4</v>
      </c>
      <c r="U43" s="260">
        <v>46041</v>
      </c>
      <c r="V43" s="331">
        <v>46030</v>
      </c>
      <c r="W43" s="539">
        <v>16</v>
      </c>
      <c r="X43" s="543" t="s">
        <v>23</v>
      </c>
      <c r="Y43" s="544"/>
      <c r="Z43" s="539">
        <v>4</v>
      </c>
      <c r="AA43" s="543" t="s">
        <v>23</v>
      </c>
      <c r="AB43" s="545">
        <f t="shared" si="0"/>
        <v>-3.48</v>
      </c>
      <c r="AC43" s="250" t="s">
        <v>213</v>
      </c>
      <c r="AD43" s="283">
        <v>15.24</v>
      </c>
      <c r="AE43" s="540">
        <v>4</v>
      </c>
      <c r="AF43" s="260">
        <v>46072</v>
      </c>
      <c r="AG43" s="251">
        <v>46062</v>
      </c>
      <c r="AH43" s="335">
        <v>15.76</v>
      </c>
      <c r="AI43" s="336" t="s">
        <v>23</v>
      </c>
      <c r="AJ43" s="345"/>
      <c r="AK43" s="338"/>
      <c r="AL43" s="339"/>
      <c r="AM43" s="338">
        <f t="shared" si="1"/>
        <v>0</v>
      </c>
      <c r="AN43" s="340" t="s">
        <v>213</v>
      </c>
      <c r="AO43" s="282">
        <v>0</v>
      </c>
      <c r="AP43" s="540">
        <v>0</v>
      </c>
      <c r="AQ43" s="260">
        <v>46100</v>
      </c>
      <c r="AR43" s="340"/>
      <c r="AS43" s="335"/>
      <c r="AT43" s="337"/>
      <c r="AU43" s="337"/>
      <c r="AV43" s="335"/>
      <c r="AW43" s="337"/>
      <c r="AX43" s="335">
        <f t="shared" si="5"/>
        <v>0</v>
      </c>
      <c r="AY43" s="340" t="s">
        <v>213</v>
      </c>
      <c r="AZ43" s="282">
        <v>0</v>
      </c>
      <c r="BA43" s="540">
        <v>0</v>
      </c>
      <c r="BB43" s="260">
        <v>46131</v>
      </c>
      <c r="BC43" s="340"/>
      <c r="BD43" s="335"/>
      <c r="BE43" s="337"/>
      <c r="BF43" s="337"/>
      <c r="BG43" s="335"/>
      <c r="BH43" s="337"/>
      <c r="BI43" s="335">
        <f t="shared" si="3"/>
        <v>0</v>
      </c>
      <c r="BJ43" s="340"/>
      <c r="BK43" s="282">
        <v>0</v>
      </c>
      <c r="BL43" s="540">
        <v>0</v>
      </c>
      <c r="BM43" s="260">
        <v>46161</v>
      </c>
      <c r="BN43" s="340"/>
      <c r="BO43" s="335"/>
      <c r="BP43" s="337"/>
      <c r="BQ43" s="337"/>
      <c r="BR43" s="335"/>
      <c r="BS43" s="337"/>
      <c r="BT43" s="335">
        <f t="shared" si="4"/>
        <v>0</v>
      </c>
      <c r="BU43" s="340"/>
    </row>
    <row r="44" customHeight="1" spans="1:73">
      <c r="A44" s="549" t="s">
        <v>643</v>
      </c>
      <c r="B44" s="38" t="s">
        <v>644</v>
      </c>
      <c r="C44" s="38" t="s">
        <v>645</v>
      </c>
      <c r="D44" s="250" t="s">
        <v>201</v>
      </c>
      <c r="E44" s="596" t="s">
        <v>202</v>
      </c>
      <c r="F44" s="38"/>
      <c r="G44" s="536" t="s">
        <v>646</v>
      </c>
      <c r="H44" s="7" t="s">
        <v>238</v>
      </c>
      <c r="I44" s="7" t="s">
        <v>220</v>
      </c>
      <c r="J44" s="7" t="s">
        <v>647</v>
      </c>
      <c r="K44" s="7" t="s">
        <v>648</v>
      </c>
      <c r="L44" s="222" t="s">
        <v>649</v>
      </c>
      <c r="M44" s="49"/>
      <c r="N44" s="54">
        <v>45828</v>
      </c>
      <c r="O44" s="327" t="s">
        <v>232</v>
      </c>
      <c r="P44" s="597" t="s">
        <v>242</v>
      </c>
      <c r="Q44" s="539">
        <v>0</v>
      </c>
      <c r="R44" s="282" t="s">
        <v>650</v>
      </c>
      <c r="S44" s="282">
        <v>17.25</v>
      </c>
      <c r="T44" s="540">
        <v>0</v>
      </c>
      <c r="U44" s="260">
        <v>46041</v>
      </c>
      <c r="V44" s="331">
        <v>46036</v>
      </c>
      <c r="W44" s="539">
        <v>17.25</v>
      </c>
      <c r="X44" s="543" t="s">
        <v>56</v>
      </c>
      <c r="Y44" s="544"/>
      <c r="Z44" s="545"/>
      <c r="AA44" s="543"/>
      <c r="AB44" s="545">
        <f t="shared" si="0"/>
        <v>0</v>
      </c>
      <c r="AC44" s="250" t="s">
        <v>651</v>
      </c>
      <c r="AD44" s="283">
        <v>17.25</v>
      </c>
      <c r="AE44" s="540">
        <v>0</v>
      </c>
      <c r="AF44" s="260">
        <v>46072</v>
      </c>
      <c r="AG44" s="251">
        <v>46064</v>
      </c>
      <c r="AH44" s="335">
        <v>17.25</v>
      </c>
      <c r="AI44" s="336" t="s">
        <v>56</v>
      </c>
      <c r="AJ44" s="337"/>
      <c r="AK44" s="335"/>
      <c r="AL44" s="336"/>
      <c r="AM44" s="335">
        <f t="shared" si="1"/>
        <v>0</v>
      </c>
      <c r="AN44" s="340" t="s">
        <v>652</v>
      </c>
      <c r="AO44" s="282">
        <v>17.25</v>
      </c>
      <c r="AP44" s="540">
        <v>0</v>
      </c>
      <c r="AQ44" s="260">
        <v>46100</v>
      </c>
      <c r="AR44" s="485">
        <v>46097.6915595255</v>
      </c>
      <c r="AS44" s="335">
        <v>17.25</v>
      </c>
      <c r="AT44" s="337" t="s">
        <v>56</v>
      </c>
      <c r="AU44" s="337"/>
      <c r="AV44" s="335"/>
      <c r="AW44" s="337"/>
      <c r="AX44" s="335">
        <f t="shared" si="5"/>
        <v>0</v>
      </c>
      <c r="AY44" s="340" t="s">
        <v>653</v>
      </c>
      <c r="AZ44" s="282">
        <v>17.25</v>
      </c>
      <c r="BA44" s="540">
        <v>0</v>
      </c>
      <c r="BB44" s="260">
        <v>46131</v>
      </c>
      <c r="BC44" s="340" t="s">
        <v>468</v>
      </c>
      <c r="BD44" s="335">
        <v>17.25</v>
      </c>
      <c r="BE44" s="337" t="s">
        <v>56</v>
      </c>
      <c r="BF44" s="337"/>
      <c r="BG44" s="335"/>
      <c r="BH44" s="337"/>
      <c r="BI44" s="335">
        <f t="shared" si="3"/>
        <v>0</v>
      </c>
      <c r="BJ44" s="340" t="s">
        <v>654</v>
      </c>
      <c r="BK44" s="282">
        <v>17.25</v>
      </c>
      <c r="BL44" s="540">
        <v>0</v>
      </c>
      <c r="BM44" s="260">
        <v>46161</v>
      </c>
      <c r="BN44" s="340"/>
      <c r="BO44" s="335"/>
      <c r="BP44" s="337"/>
      <c r="BQ44" s="337"/>
      <c r="BR44" s="335"/>
      <c r="BS44" s="337"/>
      <c r="BT44" s="335">
        <f t="shared" si="4"/>
        <v>17.25</v>
      </c>
      <c r="BU44" s="340"/>
    </row>
    <row r="45" customHeight="1" spans="1:73">
      <c r="A45" s="574" t="s">
        <v>655</v>
      </c>
      <c r="B45" s="38" t="s">
        <v>656</v>
      </c>
      <c r="C45" s="549" t="s">
        <v>657</v>
      </c>
      <c r="D45" s="250" t="s">
        <v>201</v>
      </c>
      <c r="E45" s="564" t="s">
        <v>226</v>
      </c>
      <c r="F45" s="585"/>
      <c r="G45" s="536" t="s">
        <v>658</v>
      </c>
      <c r="H45" s="7" t="s">
        <v>238</v>
      </c>
      <c r="I45" s="7" t="s">
        <v>206</v>
      </c>
      <c r="J45" s="7" t="s">
        <v>659</v>
      </c>
      <c r="K45" s="7" t="s">
        <v>660</v>
      </c>
      <c r="L45" s="222" t="s">
        <v>661</v>
      </c>
      <c r="M45" s="298" t="s">
        <v>662</v>
      </c>
      <c r="N45" s="355">
        <v>44729</v>
      </c>
      <c r="O45" s="327" t="s">
        <v>210</v>
      </c>
      <c r="P45" s="538" t="s">
        <v>242</v>
      </c>
      <c r="Q45" s="539">
        <v>0</v>
      </c>
      <c r="R45" s="282" t="s">
        <v>663</v>
      </c>
      <c r="S45" s="282">
        <v>23</v>
      </c>
      <c r="T45" s="540">
        <v>0</v>
      </c>
      <c r="U45" s="260">
        <v>46041</v>
      </c>
      <c r="V45" s="331">
        <v>46045</v>
      </c>
      <c r="W45" s="539">
        <v>23</v>
      </c>
      <c r="X45" s="543" t="s">
        <v>35</v>
      </c>
      <c r="Y45" s="544"/>
      <c r="Z45" s="545"/>
      <c r="AA45" s="543"/>
      <c r="AB45" s="545">
        <f t="shared" si="0"/>
        <v>0</v>
      </c>
      <c r="AC45" s="250" t="s">
        <v>664</v>
      </c>
      <c r="AD45" s="283">
        <v>23</v>
      </c>
      <c r="AE45" s="540">
        <v>0</v>
      </c>
      <c r="AF45" s="260">
        <v>46072</v>
      </c>
      <c r="AG45" s="251">
        <v>46076</v>
      </c>
      <c r="AH45" s="335">
        <v>23</v>
      </c>
      <c r="AI45" s="336" t="s">
        <v>56</v>
      </c>
      <c r="AJ45" s="337"/>
      <c r="AK45" s="335"/>
      <c r="AL45" s="336"/>
      <c r="AM45" s="335">
        <f t="shared" si="1"/>
        <v>0</v>
      </c>
      <c r="AN45" s="340" t="s">
        <v>665</v>
      </c>
      <c r="AO45" s="282">
        <v>23</v>
      </c>
      <c r="AP45" s="540">
        <v>0</v>
      </c>
      <c r="AQ45" s="260">
        <v>46100</v>
      </c>
      <c r="AR45" s="340" t="s">
        <v>666</v>
      </c>
      <c r="AS45" s="335">
        <v>23</v>
      </c>
      <c r="AT45" s="337" t="s">
        <v>35</v>
      </c>
      <c r="AU45" s="337"/>
      <c r="AV45" s="335"/>
      <c r="AW45" s="337"/>
      <c r="AX45" s="335">
        <f t="shared" si="5"/>
        <v>0</v>
      </c>
      <c r="AY45" s="340" t="s">
        <v>667</v>
      </c>
      <c r="AZ45" s="282">
        <v>23</v>
      </c>
      <c r="BA45" s="540">
        <v>0</v>
      </c>
      <c r="BB45" s="260">
        <v>46131</v>
      </c>
      <c r="BC45" s="340" t="s">
        <v>668</v>
      </c>
      <c r="BD45" s="335">
        <v>23</v>
      </c>
      <c r="BE45" s="337" t="s">
        <v>56</v>
      </c>
      <c r="BF45" s="337"/>
      <c r="BG45" s="335"/>
      <c r="BH45" s="337"/>
      <c r="BI45" s="335">
        <f t="shared" si="3"/>
        <v>0</v>
      </c>
      <c r="BJ45" s="340" t="s">
        <v>669</v>
      </c>
      <c r="BK45" s="282">
        <v>23</v>
      </c>
      <c r="BL45" s="540">
        <v>0</v>
      </c>
      <c r="BM45" s="260">
        <v>46161</v>
      </c>
      <c r="BN45" s="340"/>
      <c r="BO45" s="335"/>
      <c r="BP45" s="337"/>
      <c r="BQ45" s="337"/>
      <c r="BR45" s="335"/>
      <c r="BS45" s="337"/>
      <c r="BT45" s="335">
        <f t="shared" si="4"/>
        <v>23</v>
      </c>
      <c r="BU45" s="340"/>
    </row>
    <row r="46" customHeight="1" spans="1:73">
      <c r="A46" s="566" t="s">
        <v>670</v>
      </c>
      <c r="B46" s="598" t="s">
        <v>671</v>
      </c>
      <c r="C46" s="549" t="s">
        <v>672</v>
      </c>
      <c r="D46" s="250" t="s">
        <v>201</v>
      </c>
      <c r="E46" s="564" t="s">
        <v>202</v>
      </c>
      <c r="F46" s="585"/>
      <c r="G46" s="536" t="s">
        <v>673</v>
      </c>
      <c r="H46" s="7" t="s">
        <v>238</v>
      </c>
      <c r="I46" s="7" t="s">
        <v>220</v>
      </c>
      <c r="J46" s="7" t="s">
        <v>674</v>
      </c>
      <c r="K46" s="7" t="s">
        <v>675</v>
      </c>
      <c r="L46" s="222" t="s">
        <v>676</v>
      </c>
      <c r="M46" s="232"/>
      <c r="N46" s="355">
        <v>45063</v>
      </c>
      <c r="O46" s="327" t="s">
        <v>232</v>
      </c>
      <c r="P46" s="538" t="s">
        <v>242</v>
      </c>
      <c r="Q46" s="539">
        <v>-0.02</v>
      </c>
      <c r="R46" s="282" t="s">
        <v>677</v>
      </c>
      <c r="S46" s="282">
        <v>17.25</v>
      </c>
      <c r="T46" s="540">
        <v>0</v>
      </c>
      <c r="U46" s="260">
        <v>46041</v>
      </c>
      <c r="V46" s="361">
        <v>46143</v>
      </c>
      <c r="W46" s="539">
        <v>17.25</v>
      </c>
      <c r="X46" s="543" t="s">
        <v>35</v>
      </c>
      <c r="Y46" s="544"/>
      <c r="Z46" s="545"/>
      <c r="AA46" s="543"/>
      <c r="AB46" s="545">
        <f t="shared" si="0"/>
        <v>-0.0199999999999996</v>
      </c>
      <c r="AC46" s="250" t="s">
        <v>678</v>
      </c>
      <c r="AD46" s="283">
        <v>17.25</v>
      </c>
      <c r="AE46" s="540">
        <v>0</v>
      </c>
      <c r="AF46" s="260">
        <v>46072</v>
      </c>
      <c r="AG46" s="251">
        <v>46059</v>
      </c>
      <c r="AH46" s="335">
        <v>17.25</v>
      </c>
      <c r="AI46" s="336" t="s">
        <v>35</v>
      </c>
      <c r="AJ46" s="337"/>
      <c r="AK46" s="335"/>
      <c r="AL46" s="336"/>
      <c r="AM46" s="335">
        <f t="shared" si="1"/>
        <v>-0.0199999999999996</v>
      </c>
      <c r="AN46" s="340" t="s">
        <v>679</v>
      </c>
      <c r="AO46" s="282">
        <v>17.25</v>
      </c>
      <c r="AP46" s="540">
        <v>0</v>
      </c>
      <c r="AQ46" s="260">
        <v>46100</v>
      </c>
      <c r="AR46" s="340" t="s">
        <v>680</v>
      </c>
      <c r="AS46" s="335">
        <v>17.25</v>
      </c>
      <c r="AT46" s="337" t="s">
        <v>35</v>
      </c>
      <c r="AU46" s="337"/>
      <c r="AV46" s="335"/>
      <c r="AW46" s="337"/>
      <c r="AX46" s="335">
        <f t="shared" si="5"/>
        <v>-0.0199999999999996</v>
      </c>
      <c r="AY46" s="340" t="s">
        <v>681</v>
      </c>
      <c r="AZ46" s="282">
        <v>17.25</v>
      </c>
      <c r="BA46" s="540">
        <v>0</v>
      </c>
      <c r="BB46" s="260">
        <v>46131</v>
      </c>
      <c r="BC46" s="340" t="s">
        <v>247</v>
      </c>
      <c r="BD46" s="335">
        <v>17.25</v>
      </c>
      <c r="BE46" s="337" t="s">
        <v>35</v>
      </c>
      <c r="BF46" s="337"/>
      <c r="BG46" s="335"/>
      <c r="BH46" s="337"/>
      <c r="BI46" s="335">
        <f t="shared" si="3"/>
        <v>-0.0199999999999996</v>
      </c>
      <c r="BJ46" s="340" t="s">
        <v>682</v>
      </c>
      <c r="BK46" s="282">
        <v>17.25</v>
      </c>
      <c r="BL46" s="540">
        <v>0</v>
      </c>
      <c r="BM46" s="260">
        <v>46161</v>
      </c>
      <c r="BN46" s="340" t="s">
        <v>683</v>
      </c>
      <c r="BO46" s="335">
        <v>17.25</v>
      </c>
      <c r="BP46" s="337" t="s">
        <v>23</v>
      </c>
      <c r="BQ46" s="337"/>
      <c r="BR46" s="335"/>
      <c r="BS46" s="337"/>
      <c r="BT46" s="335">
        <f t="shared" si="4"/>
        <v>-0.0199999999999996</v>
      </c>
      <c r="BU46" s="340"/>
    </row>
    <row r="47" customHeight="1" spans="1:73">
      <c r="A47" s="599" t="s">
        <v>684</v>
      </c>
      <c r="B47" s="589" t="s">
        <v>685</v>
      </c>
      <c r="C47" s="549" t="s">
        <v>686</v>
      </c>
      <c r="D47" s="250" t="s">
        <v>472</v>
      </c>
      <c r="E47" s="550" t="s">
        <v>226</v>
      </c>
      <c r="F47" s="549"/>
      <c r="G47" s="536" t="s">
        <v>687</v>
      </c>
      <c r="H47" s="7" t="s">
        <v>238</v>
      </c>
      <c r="I47" s="7" t="s">
        <v>206</v>
      </c>
      <c r="J47" s="7" t="s">
        <v>474</v>
      </c>
      <c r="K47" s="7" t="s">
        <v>688</v>
      </c>
      <c r="L47" s="222" t="s">
        <v>689</v>
      </c>
      <c r="M47" s="232"/>
      <c r="N47" s="355">
        <v>44743</v>
      </c>
      <c r="O47" s="327" t="s">
        <v>210</v>
      </c>
      <c r="P47" s="538" t="s">
        <v>242</v>
      </c>
      <c r="Q47" s="539">
        <v>120</v>
      </c>
      <c r="R47" s="282"/>
      <c r="S47" s="282"/>
      <c r="T47" s="540">
        <v>0</v>
      </c>
      <c r="U47" s="260"/>
      <c r="V47" s="350"/>
      <c r="W47" s="545"/>
      <c r="X47" s="543"/>
      <c r="Y47" s="544"/>
      <c r="Z47" s="545"/>
      <c r="AA47" s="543"/>
      <c r="AB47" s="545">
        <f t="shared" si="0"/>
        <v>120</v>
      </c>
      <c r="AC47" s="250" t="s">
        <v>213</v>
      </c>
      <c r="AD47" s="283"/>
      <c r="AE47" s="540">
        <v>0</v>
      </c>
      <c r="AF47" s="260"/>
      <c r="AG47" s="485"/>
      <c r="AH47" s="335"/>
      <c r="AI47" s="336"/>
      <c r="AJ47" s="345"/>
      <c r="AK47" s="338"/>
      <c r="AL47" s="339"/>
      <c r="AM47" s="338">
        <f t="shared" si="1"/>
        <v>120</v>
      </c>
      <c r="AN47" s="340" t="s">
        <v>213</v>
      </c>
      <c r="AO47" s="282"/>
      <c r="AP47" s="540">
        <v>0</v>
      </c>
      <c r="AQ47" s="260"/>
      <c r="AR47" s="340"/>
      <c r="AS47" s="335"/>
      <c r="AT47" s="337"/>
      <c r="AU47" s="337"/>
      <c r="AV47" s="335"/>
      <c r="AW47" s="337"/>
      <c r="AX47" s="335">
        <f t="shared" si="5"/>
        <v>120</v>
      </c>
      <c r="AY47" s="340" t="s">
        <v>213</v>
      </c>
      <c r="AZ47" s="282"/>
      <c r="BA47" s="540">
        <v>0</v>
      </c>
      <c r="BB47" s="260"/>
      <c r="BC47" s="340"/>
      <c r="BD47" s="335"/>
      <c r="BE47" s="337"/>
      <c r="BF47" s="337"/>
      <c r="BG47" s="335"/>
      <c r="BH47" s="337"/>
      <c r="BI47" s="335">
        <f t="shared" si="3"/>
        <v>120</v>
      </c>
      <c r="BJ47" s="340"/>
      <c r="BK47" s="282"/>
      <c r="BL47" s="540">
        <v>0</v>
      </c>
      <c r="BM47" s="260"/>
      <c r="BN47" s="340"/>
      <c r="BO47" s="335"/>
      <c r="BP47" s="337"/>
      <c r="BQ47" s="337"/>
      <c r="BR47" s="335"/>
      <c r="BS47" s="337"/>
      <c r="BT47" s="335">
        <f t="shared" si="4"/>
        <v>120</v>
      </c>
      <c r="BU47" s="340"/>
    </row>
    <row r="48" customHeight="1" spans="1:73">
      <c r="A48" s="600" t="s">
        <v>690</v>
      </c>
      <c r="B48" s="561" t="s">
        <v>691</v>
      </c>
      <c r="C48" s="549" t="s">
        <v>692</v>
      </c>
      <c r="D48" s="250" t="s">
        <v>251</v>
      </c>
      <c r="E48" s="550" t="s">
        <v>202</v>
      </c>
      <c r="F48" s="549"/>
      <c r="G48" s="536" t="s">
        <v>693</v>
      </c>
      <c r="H48" s="7" t="s">
        <v>238</v>
      </c>
      <c r="I48" s="7" t="s">
        <v>206</v>
      </c>
      <c r="J48" s="7" t="s">
        <v>694</v>
      </c>
      <c r="K48" s="7" t="s">
        <v>695</v>
      </c>
      <c r="L48" s="222" t="s">
        <v>696</v>
      </c>
      <c r="M48" s="298" t="s">
        <v>697</v>
      </c>
      <c r="N48" s="355">
        <v>44771</v>
      </c>
      <c r="O48" s="327" t="s">
        <v>464</v>
      </c>
      <c r="P48" s="558">
        <v>20</v>
      </c>
      <c r="Q48" s="539">
        <v>0</v>
      </c>
      <c r="R48" s="282"/>
      <c r="S48" s="282"/>
      <c r="T48" s="540">
        <v>0</v>
      </c>
      <c r="U48" s="559"/>
      <c r="V48" s="350"/>
      <c r="W48" s="545"/>
      <c r="X48" s="543"/>
      <c r="Y48" s="544"/>
      <c r="Z48" s="545"/>
      <c r="AA48" s="543"/>
      <c r="AB48" s="545">
        <f t="shared" si="0"/>
        <v>0</v>
      </c>
      <c r="AC48" s="250" t="s">
        <v>213</v>
      </c>
      <c r="AD48" s="283"/>
      <c r="AE48" s="540">
        <v>0</v>
      </c>
      <c r="AF48" s="559"/>
      <c r="AH48" s="338"/>
      <c r="AI48" s="339"/>
      <c r="AJ48" s="345"/>
      <c r="AK48" s="338"/>
      <c r="AL48" s="339"/>
      <c r="AM48" s="338">
        <f t="shared" si="1"/>
        <v>0</v>
      </c>
      <c r="AN48" s="340" t="s">
        <v>213</v>
      </c>
      <c r="AO48" s="282"/>
      <c r="AP48" s="540">
        <v>0</v>
      </c>
      <c r="AQ48" s="559"/>
      <c r="AR48" s="340"/>
      <c r="AS48" s="335"/>
      <c r="AT48" s="337"/>
      <c r="AU48" s="337"/>
      <c r="AV48" s="335"/>
      <c r="AW48" s="337"/>
      <c r="AX48" s="335">
        <f t="shared" si="5"/>
        <v>0</v>
      </c>
      <c r="AY48" s="340" t="s">
        <v>213</v>
      </c>
      <c r="AZ48" s="282"/>
      <c r="BA48" s="540">
        <v>0</v>
      </c>
      <c r="BB48" s="559"/>
      <c r="BC48" s="340"/>
      <c r="BD48" s="335"/>
      <c r="BE48" s="337"/>
      <c r="BF48" s="337"/>
      <c r="BG48" s="335"/>
      <c r="BH48" s="337"/>
      <c r="BI48" s="335">
        <f t="shared" si="3"/>
        <v>0</v>
      </c>
      <c r="BJ48" s="340"/>
      <c r="BK48" s="282"/>
      <c r="BL48" s="540">
        <v>0</v>
      </c>
      <c r="BM48" s="559"/>
      <c r="BN48" s="340"/>
      <c r="BO48" s="335"/>
      <c r="BP48" s="337"/>
      <c r="BQ48" s="337"/>
      <c r="BR48" s="335"/>
      <c r="BS48" s="337"/>
      <c r="BT48" s="335">
        <f t="shared" si="4"/>
        <v>0</v>
      </c>
      <c r="BU48" s="340"/>
    </row>
    <row r="49" customHeight="1" spans="1:73">
      <c r="A49" s="563" t="s">
        <v>698</v>
      </c>
      <c r="B49" s="561" t="s">
        <v>699</v>
      </c>
      <c r="C49" s="549" t="s">
        <v>700</v>
      </c>
      <c r="D49" s="250" t="s">
        <v>251</v>
      </c>
      <c r="E49" s="585"/>
      <c r="F49" s="585"/>
      <c r="G49" s="536" t="s">
        <v>701</v>
      </c>
      <c r="H49" s="7" t="s">
        <v>238</v>
      </c>
      <c r="I49" s="7" t="s">
        <v>206</v>
      </c>
      <c r="J49" s="7" t="s">
        <v>702</v>
      </c>
      <c r="K49" s="12" t="s">
        <v>703</v>
      </c>
      <c r="L49" s="222" t="s">
        <v>704</v>
      </c>
      <c r="M49" s="298" t="s">
        <v>705</v>
      </c>
      <c r="N49" s="355">
        <v>44837</v>
      </c>
      <c r="O49" s="327" t="s">
        <v>210</v>
      </c>
      <c r="P49" s="538" t="s">
        <v>242</v>
      </c>
      <c r="Q49" s="539">
        <v>0</v>
      </c>
      <c r="R49" s="282"/>
      <c r="S49" s="282"/>
      <c r="T49" s="540">
        <v>0</v>
      </c>
      <c r="U49" s="559"/>
      <c r="V49" s="350"/>
      <c r="W49" s="545"/>
      <c r="X49" s="543"/>
      <c r="Y49" s="544"/>
      <c r="Z49" s="545"/>
      <c r="AA49" s="543"/>
      <c r="AB49" s="545">
        <f t="shared" si="0"/>
        <v>0</v>
      </c>
      <c r="AC49" s="250" t="s">
        <v>213</v>
      </c>
      <c r="AD49" s="283"/>
      <c r="AE49" s="540">
        <v>0</v>
      </c>
      <c r="AF49" s="559"/>
      <c r="AH49" s="338"/>
      <c r="AI49" s="339"/>
      <c r="AJ49" s="345"/>
      <c r="AK49" s="338"/>
      <c r="AL49" s="339"/>
      <c r="AM49" s="338">
        <f t="shared" si="1"/>
        <v>0</v>
      </c>
      <c r="AN49" s="340" t="s">
        <v>213</v>
      </c>
      <c r="AO49" s="282"/>
      <c r="AP49" s="540">
        <v>0</v>
      </c>
      <c r="AQ49" s="559"/>
      <c r="AR49" s="340"/>
      <c r="AS49" s="335"/>
      <c r="AT49" s="337"/>
      <c r="AU49" s="337"/>
      <c r="AV49" s="335"/>
      <c r="AW49" s="337"/>
      <c r="AX49" s="335">
        <f t="shared" si="5"/>
        <v>0</v>
      </c>
      <c r="AY49" s="340" t="s">
        <v>213</v>
      </c>
      <c r="AZ49" s="282"/>
      <c r="BA49" s="540">
        <v>0</v>
      </c>
      <c r="BB49" s="559"/>
      <c r="BC49" s="340"/>
      <c r="BD49" s="335"/>
      <c r="BE49" s="337"/>
      <c r="BF49" s="337"/>
      <c r="BG49" s="335"/>
      <c r="BH49" s="337"/>
      <c r="BI49" s="335">
        <f t="shared" si="3"/>
        <v>0</v>
      </c>
      <c r="BJ49" s="340"/>
      <c r="BK49" s="282"/>
      <c r="BL49" s="540">
        <v>0</v>
      </c>
      <c r="BM49" s="559"/>
      <c r="BN49" s="340"/>
      <c r="BO49" s="335"/>
      <c r="BP49" s="337"/>
      <c r="BQ49" s="337"/>
      <c r="BR49" s="335"/>
      <c r="BS49" s="337"/>
      <c r="BT49" s="335">
        <f t="shared" si="4"/>
        <v>0</v>
      </c>
      <c r="BU49" s="340"/>
    </row>
    <row r="50" customHeight="1" spans="1:73">
      <c r="A50" s="549" t="s">
        <v>706</v>
      </c>
      <c r="B50" s="561" t="s">
        <v>707</v>
      </c>
      <c r="C50" s="549" t="s">
        <v>708</v>
      </c>
      <c r="D50" s="250" t="s">
        <v>472</v>
      </c>
      <c r="E50" s="549"/>
      <c r="F50" s="549"/>
      <c r="G50" s="222" t="s">
        <v>709</v>
      </c>
      <c r="H50" s="7" t="s">
        <v>274</v>
      </c>
      <c r="I50" s="7" t="s">
        <v>206</v>
      </c>
      <c r="J50" s="7" t="s">
        <v>710</v>
      </c>
      <c r="K50" s="7" t="s">
        <v>711</v>
      </c>
      <c r="L50" s="222" t="s">
        <v>712</v>
      </c>
      <c r="M50" s="232"/>
      <c r="N50" s="355">
        <v>44839</v>
      </c>
      <c r="O50" s="327" t="s">
        <v>210</v>
      </c>
      <c r="P50" s="538"/>
      <c r="Q50" s="539">
        <v>0</v>
      </c>
      <c r="R50" s="282"/>
      <c r="S50" s="282"/>
      <c r="T50" s="540">
        <v>0</v>
      </c>
      <c r="U50" s="559"/>
      <c r="V50" s="350"/>
      <c r="W50" s="545"/>
      <c r="X50" s="543"/>
      <c r="Y50" s="544"/>
      <c r="Z50" s="545"/>
      <c r="AA50" s="543"/>
      <c r="AB50" s="545">
        <f t="shared" si="0"/>
        <v>0</v>
      </c>
      <c r="AC50" s="250" t="s">
        <v>213</v>
      </c>
      <c r="AD50" s="283"/>
      <c r="AE50" s="540">
        <v>0</v>
      </c>
      <c r="AF50" s="559"/>
      <c r="AH50" s="338"/>
      <c r="AI50" s="339"/>
      <c r="AJ50" s="345"/>
      <c r="AK50" s="338"/>
      <c r="AL50" s="339"/>
      <c r="AM50" s="338">
        <f t="shared" si="1"/>
        <v>0</v>
      </c>
      <c r="AN50" s="340" t="s">
        <v>213</v>
      </c>
      <c r="AO50" s="282"/>
      <c r="AP50" s="540">
        <v>0</v>
      </c>
      <c r="AQ50" s="559"/>
      <c r="AR50" s="340"/>
      <c r="AS50" s="335"/>
      <c r="AT50" s="337"/>
      <c r="AU50" s="337"/>
      <c r="AV50" s="335"/>
      <c r="AW50" s="337"/>
      <c r="AX50" s="335">
        <f t="shared" si="5"/>
        <v>0</v>
      </c>
      <c r="AY50" s="340" t="s">
        <v>213</v>
      </c>
      <c r="AZ50" s="282"/>
      <c r="BA50" s="540">
        <v>0</v>
      </c>
      <c r="BB50" s="559"/>
      <c r="BC50" s="340"/>
      <c r="BD50" s="335"/>
      <c r="BE50" s="337"/>
      <c r="BF50" s="337"/>
      <c r="BG50" s="335"/>
      <c r="BH50" s="337"/>
      <c r="BI50" s="335">
        <f t="shared" si="3"/>
        <v>0</v>
      </c>
      <c r="BJ50" s="340"/>
      <c r="BK50" s="282"/>
      <c r="BL50" s="540">
        <v>0</v>
      </c>
      <c r="BM50" s="559"/>
      <c r="BN50" s="340"/>
      <c r="BO50" s="335"/>
      <c r="BP50" s="337"/>
      <c r="BQ50" s="337"/>
      <c r="BR50" s="335"/>
      <c r="BS50" s="337"/>
      <c r="BT50" s="335">
        <f t="shared" si="4"/>
        <v>0</v>
      </c>
      <c r="BU50" s="340"/>
    </row>
    <row r="51" customHeight="1" spans="1:73">
      <c r="A51" s="566" t="s">
        <v>713</v>
      </c>
      <c r="B51" s="38" t="s">
        <v>714</v>
      </c>
      <c r="C51" s="549" t="s">
        <v>715</v>
      </c>
      <c r="D51" s="250" t="s">
        <v>201</v>
      </c>
      <c r="E51" s="564" t="s">
        <v>202</v>
      </c>
      <c r="F51" s="585"/>
      <c r="G51" s="536" t="s">
        <v>716</v>
      </c>
      <c r="H51" s="7" t="s">
        <v>238</v>
      </c>
      <c r="I51" s="7" t="s">
        <v>206</v>
      </c>
      <c r="J51" s="7" t="s">
        <v>717</v>
      </c>
      <c r="K51" s="7" t="s">
        <v>718</v>
      </c>
      <c r="L51" s="222" t="s">
        <v>719</v>
      </c>
      <c r="M51" s="49"/>
      <c r="N51" s="54">
        <v>44887</v>
      </c>
      <c r="O51" s="327" t="s">
        <v>210</v>
      </c>
      <c r="P51" s="558">
        <v>0</v>
      </c>
      <c r="Q51" s="539">
        <v>0</v>
      </c>
      <c r="R51" s="282" t="s">
        <v>720</v>
      </c>
      <c r="S51" s="282">
        <v>23</v>
      </c>
      <c r="T51" s="540">
        <v>0</v>
      </c>
      <c r="U51" s="260">
        <v>46041</v>
      </c>
      <c r="V51" s="331">
        <v>46045</v>
      </c>
      <c r="W51" s="539">
        <v>23</v>
      </c>
      <c r="X51" s="543" t="s">
        <v>23</v>
      </c>
      <c r="Y51" s="544"/>
      <c r="Z51" s="545"/>
      <c r="AA51" s="543"/>
      <c r="AB51" s="545">
        <f t="shared" si="0"/>
        <v>0</v>
      </c>
      <c r="AC51" s="250" t="s">
        <v>721</v>
      </c>
      <c r="AD51" s="283">
        <v>23</v>
      </c>
      <c r="AE51" s="540">
        <v>0</v>
      </c>
      <c r="AF51" s="260">
        <v>46072</v>
      </c>
      <c r="AG51" s="485">
        <v>46076.721225463</v>
      </c>
      <c r="AH51" s="335">
        <v>23</v>
      </c>
      <c r="AI51" s="336" t="s">
        <v>56</v>
      </c>
      <c r="AJ51" s="337"/>
      <c r="AK51" s="335"/>
      <c r="AL51" s="336"/>
      <c r="AM51" s="335">
        <f t="shared" si="1"/>
        <v>0</v>
      </c>
      <c r="AN51" s="340" t="s">
        <v>722</v>
      </c>
      <c r="AO51" s="282">
        <v>23</v>
      </c>
      <c r="AP51" s="540">
        <v>0</v>
      </c>
      <c r="AQ51" s="260">
        <v>46100</v>
      </c>
      <c r="AR51" s="340" t="s">
        <v>723</v>
      </c>
      <c r="AS51" s="335">
        <v>23</v>
      </c>
      <c r="AT51" s="337" t="s">
        <v>35</v>
      </c>
      <c r="AU51" s="337"/>
      <c r="AV51" s="335"/>
      <c r="AW51" s="337"/>
      <c r="AX51" s="335">
        <f t="shared" si="5"/>
        <v>0</v>
      </c>
      <c r="AY51" s="340" t="s">
        <v>724</v>
      </c>
      <c r="AZ51" s="282">
        <v>23</v>
      </c>
      <c r="BA51" s="540">
        <v>0</v>
      </c>
      <c r="BB51" s="260">
        <v>46131</v>
      </c>
      <c r="BC51" s="485">
        <v>46133.5827469676</v>
      </c>
      <c r="BD51" s="335">
        <v>23</v>
      </c>
      <c r="BE51" s="337" t="s">
        <v>56</v>
      </c>
      <c r="BF51" s="337"/>
      <c r="BG51" s="335"/>
      <c r="BH51" s="337"/>
      <c r="BI51" s="335">
        <f t="shared" si="3"/>
        <v>0</v>
      </c>
      <c r="BJ51" s="340" t="s">
        <v>725</v>
      </c>
      <c r="BK51" s="282">
        <v>23</v>
      </c>
      <c r="BL51" s="540">
        <v>0</v>
      </c>
      <c r="BM51" s="260">
        <v>46161</v>
      </c>
      <c r="BN51" s="340"/>
      <c r="BO51" s="335"/>
      <c r="BP51" s="337"/>
      <c r="BQ51" s="337"/>
      <c r="BR51" s="335"/>
      <c r="BS51" s="337"/>
      <c r="BT51" s="335">
        <f t="shared" si="4"/>
        <v>23</v>
      </c>
      <c r="BU51" s="340"/>
    </row>
    <row r="52" customHeight="1" spans="1:73">
      <c r="A52" s="563" t="s">
        <v>726</v>
      </c>
      <c r="B52" s="601" t="s">
        <v>727</v>
      </c>
      <c r="C52" s="549" t="s">
        <v>728</v>
      </c>
      <c r="D52" s="250" t="s">
        <v>201</v>
      </c>
      <c r="E52" s="564" t="s">
        <v>202</v>
      </c>
      <c r="F52" s="585"/>
      <c r="G52" s="371" t="s">
        <v>729</v>
      </c>
      <c r="H52" s="7" t="s">
        <v>238</v>
      </c>
      <c r="I52" s="7" t="s">
        <v>206</v>
      </c>
      <c r="J52" s="7" t="s">
        <v>730</v>
      </c>
      <c r="K52" s="444" t="s">
        <v>731</v>
      </c>
      <c r="L52" s="50" t="s">
        <v>732</v>
      </c>
      <c r="M52" s="49"/>
      <c r="N52" s="54">
        <v>45389</v>
      </c>
      <c r="O52" s="414" t="s">
        <v>210</v>
      </c>
      <c r="P52" s="558">
        <v>9</v>
      </c>
      <c r="Q52" s="539">
        <v>0</v>
      </c>
      <c r="R52" s="282"/>
      <c r="S52" s="282">
        <v>23</v>
      </c>
      <c r="T52" s="540">
        <v>0</v>
      </c>
      <c r="U52" s="260">
        <v>46031</v>
      </c>
      <c r="V52" s="331">
        <v>46034</v>
      </c>
      <c r="W52" s="539">
        <v>23</v>
      </c>
      <c r="X52" s="543" t="s">
        <v>56</v>
      </c>
      <c r="Y52" s="544"/>
      <c r="Z52" s="545"/>
      <c r="AA52" s="543"/>
      <c r="AB52" s="545">
        <f t="shared" si="0"/>
        <v>0</v>
      </c>
      <c r="AC52" s="250" t="s">
        <v>213</v>
      </c>
      <c r="AD52" s="283">
        <v>23</v>
      </c>
      <c r="AE52" s="540">
        <v>0</v>
      </c>
      <c r="AF52" s="260">
        <v>46062</v>
      </c>
      <c r="AG52" s="251">
        <v>46065</v>
      </c>
      <c r="AH52" s="335">
        <v>23</v>
      </c>
      <c r="AI52" s="336" t="s">
        <v>56</v>
      </c>
      <c r="AJ52" s="345"/>
      <c r="AK52" s="338"/>
      <c r="AL52" s="339"/>
      <c r="AM52" s="338">
        <f t="shared" si="1"/>
        <v>0</v>
      </c>
      <c r="AN52" s="340" t="s">
        <v>213</v>
      </c>
      <c r="AO52" s="282">
        <v>23</v>
      </c>
      <c r="AP52" s="540">
        <v>0</v>
      </c>
      <c r="AQ52" s="260">
        <v>46090</v>
      </c>
      <c r="AR52" s="485">
        <v>46090.5133717361</v>
      </c>
      <c r="AS52" s="335">
        <v>23</v>
      </c>
      <c r="AT52" s="337" t="s">
        <v>56</v>
      </c>
      <c r="AU52" s="337"/>
      <c r="AV52" s="335"/>
      <c r="AW52" s="337"/>
      <c r="AX52" s="335">
        <f t="shared" si="5"/>
        <v>0</v>
      </c>
      <c r="AY52" s="340" t="s">
        <v>213</v>
      </c>
      <c r="AZ52" s="282">
        <v>23</v>
      </c>
      <c r="BA52" s="540">
        <v>0</v>
      </c>
      <c r="BB52" s="260">
        <v>46121</v>
      </c>
      <c r="BC52" s="340" t="s">
        <v>468</v>
      </c>
      <c r="BD52" s="335">
        <v>23</v>
      </c>
      <c r="BE52" s="337" t="s">
        <v>56</v>
      </c>
      <c r="BF52" s="337"/>
      <c r="BG52" s="335"/>
      <c r="BH52" s="337"/>
      <c r="BI52" s="335">
        <f t="shared" si="3"/>
        <v>0</v>
      </c>
      <c r="BJ52" s="340"/>
      <c r="BK52" s="282">
        <v>23</v>
      </c>
      <c r="BL52" s="540">
        <v>0</v>
      </c>
      <c r="BM52" s="260">
        <v>46151</v>
      </c>
      <c r="BN52" s="340"/>
      <c r="BO52" s="335"/>
      <c r="BP52" s="337"/>
      <c r="BQ52" s="337"/>
      <c r="BR52" s="335"/>
      <c r="BS52" s="337"/>
      <c r="BT52" s="335">
        <f t="shared" si="4"/>
        <v>23</v>
      </c>
      <c r="BU52" s="340"/>
    </row>
    <row r="53" customHeight="1" spans="1:73">
      <c r="A53" s="566" t="s">
        <v>733</v>
      </c>
      <c r="B53" s="602" t="s">
        <v>249</v>
      </c>
      <c r="C53" s="546" t="s">
        <v>734</v>
      </c>
      <c r="D53" s="250" t="s">
        <v>201</v>
      </c>
      <c r="E53" s="557" t="s">
        <v>202</v>
      </c>
      <c r="F53" s="556"/>
      <c r="G53" s="536" t="s">
        <v>252</v>
      </c>
      <c r="H53" s="7" t="s">
        <v>238</v>
      </c>
      <c r="I53" s="7" t="s">
        <v>220</v>
      </c>
      <c r="J53" s="7" t="s">
        <v>253</v>
      </c>
      <c r="K53" s="7" t="s">
        <v>254</v>
      </c>
      <c r="L53" s="222" t="s">
        <v>735</v>
      </c>
      <c r="M53" s="49"/>
      <c r="N53" s="54">
        <v>45634</v>
      </c>
      <c r="O53" s="327" t="s">
        <v>232</v>
      </c>
      <c r="P53" s="558">
        <v>0</v>
      </c>
      <c r="Q53" s="539">
        <v>0</v>
      </c>
      <c r="R53" s="282"/>
      <c r="S53" s="282">
        <v>17.25</v>
      </c>
      <c r="T53" s="540">
        <v>0</v>
      </c>
      <c r="U53" s="260">
        <v>46031</v>
      </c>
      <c r="V53" s="331">
        <v>46050</v>
      </c>
      <c r="W53" s="539">
        <v>15</v>
      </c>
      <c r="X53" s="543" t="s">
        <v>56</v>
      </c>
      <c r="Y53" s="544"/>
      <c r="Z53" s="545"/>
      <c r="AA53" s="543"/>
      <c r="AB53" s="545">
        <f t="shared" si="0"/>
        <v>2.25</v>
      </c>
      <c r="AC53" s="250" t="s">
        <v>213</v>
      </c>
      <c r="AD53" s="283">
        <v>17.25</v>
      </c>
      <c r="AE53" s="540">
        <v>0</v>
      </c>
      <c r="AF53" s="260">
        <v>46062</v>
      </c>
      <c r="AG53" s="251">
        <v>46077</v>
      </c>
      <c r="AH53" s="335">
        <v>19.5</v>
      </c>
      <c r="AI53" s="336" t="s">
        <v>56</v>
      </c>
      <c r="AJ53" s="345"/>
      <c r="AK53" s="338"/>
      <c r="AL53" s="339"/>
      <c r="AM53" s="338">
        <f t="shared" si="1"/>
        <v>0</v>
      </c>
      <c r="AN53" s="340" t="s">
        <v>213</v>
      </c>
      <c r="AO53" s="282">
        <v>17.25</v>
      </c>
      <c r="AP53" s="540">
        <v>0</v>
      </c>
      <c r="AQ53" s="260">
        <v>46090</v>
      </c>
      <c r="AR53" s="340" t="s">
        <v>386</v>
      </c>
      <c r="AS53" s="335">
        <v>17.25</v>
      </c>
      <c r="AT53" s="337" t="s">
        <v>56</v>
      </c>
      <c r="AU53" s="337"/>
      <c r="AV53" s="335"/>
      <c r="AW53" s="337"/>
      <c r="AX53" s="335">
        <f t="shared" si="5"/>
        <v>0</v>
      </c>
      <c r="AY53" s="340" t="s">
        <v>213</v>
      </c>
      <c r="AZ53" s="282">
        <v>17.25</v>
      </c>
      <c r="BA53" s="540">
        <v>0</v>
      </c>
      <c r="BB53" s="260">
        <v>46121</v>
      </c>
      <c r="BC53" s="340" t="s">
        <v>223</v>
      </c>
      <c r="BD53" s="335">
        <v>17.25</v>
      </c>
      <c r="BE53" s="337" t="s">
        <v>56</v>
      </c>
      <c r="BF53" s="337"/>
      <c r="BG53" s="335"/>
      <c r="BH53" s="337"/>
      <c r="BI53" s="335">
        <f t="shared" si="3"/>
        <v>0</v>
      </c>
      <c r="BJ53" s="340"/>
      <c r="BK53" s="282">
        <v>17.25</v>
      </c>
      <c r="BL53" s="540">
        <v>0</v>
      </c>
      <c r="BM53" s="260">
        <v>46151</v>
      </c>
      <c r="BN53" s="340"/>
      <c r="BO53" s="335"/>
      <c r="BP53" s="337"/>
      <c r="BQ53" s="337"/>
      <c r="BR53" s="335"/>
      <c r="BS53" s="337"/>
      <c r="BT53" s="335">
        <f t="shared" si="4"/>
        <v>17.25</v>
      </c>
      <c r="BU53" s="340"/>
    </row>
    <row r="54" customHeight="1" spans="1:73">
      <c r="A54" s="574" t="s">
        <v>736</v>
      </c>
      <c r="B54" s="38" t="s">
        <v>737</v>
      </c>
      <c r="C54" s="549" t="s">
        <v>738</v>
      </c>
      <c r="D54" s="250" t="s">
        <v>201</v>
      </c>
      <c r="E54" s="564" t="s">
        <v>739</v>
      </c>
      <c r="F54" s="585"/>
      <c r="G54" s="536" t="s">
        <v>740</v>
      </c>
      <c r="H54" s="7" t="s">
        <v>238</v>
      </c>
      <c r="I54" s="7" t="s">
        <v>220</v>
      </c>
      <c r="J54" s="7" t="s">
        <v>741</v>
      </c>
      <c r="K54" s="7" t="s">
        <v>742</v>
      </c>
      <c r="L54" s="222" t="s">
        <v>743</v>
      </c>
      <c r="M54" s="414" t="s">
        <v>744</v>
      </c>
      <c r="N54" s="54">
        <v>44930</v>
      </c>
      <c r="O54" s="327" t="s">
        <v>210</v>
      </c>
      <c r="P54" s="558">
        <v>10</v>
      </c>
      <c r="Q54" s="539">
        <v>0</v>
      </c>
      <c r="R54" s="282" t="s">
        <v>745</v>
      </c>
      <c r="S54" s="282">
        <v>23</v>
      </c>
      <c r="T54" s="540">
        <v>0</v>
      </c>
      <c r="U54" s="260">
        <v>46041</v>
      </c>
      <c r="V54" s="331">
        <v>46047</v>
      </c>
      <c r="W54" s="539">
        <v>23</v>
      </c>
      <c r="X54" s="543" t="s">
        <v>23</v>
      </c>
      <c r="Y54" s="544"/>
      <c r="Z54" s="545"/>
      <c r="AA54" s="543"/>
      <c r="AB54" s="545">
        <f t="shared" si="0"/>
        <v>0</v>
      </c>
      <c r="AC54" s="250" t="s">
        <v>746</v>
      </c>
      <c r="AD54" s="283">
        <v>23</v>
      </c>
      <c r="AE54" s="540">
        <v>0</v>
      </c>
      <c r="AF54" s="260">
        <v>46072</v>
      </c>
      <c r="AG54" s="485">
        <v>46073.7482032986</v>
      </c>
      <c r="AH54" s="335">
        <v>23</v>
      </c>
      <c r="AI54" s="336" t="s">
        <v>56</v>
      </c>
      <c r="AJ54" s="337"/>
      <c r="AK54" s="335"/>
      <c r="AL54" s="336"/>
      <c r="AM54" s="335">
        <f t="shared" si="1"/>
        <v>0</v>
      </c>
      <c r="AN54" s="340" t="s">
        <v>747</v>
      </c>
      <c r="AO54" s="282">
        <v>23</v>
      </c>
      <c r="AP54" s="540">
        <v>0</v>
      </c>
      <c r="AQ54" s="260">
        <v>46100</v>
      </c>
      <c r="AR54" s="340" t="s">
        <v>748</v>
      </c>
      <c r="AS54" s="335">
        <v>23</v>
      </c>
      <c r="AT54" s="337" t="s">
        <v>56</v>
      </c>
      <c r="AU54" s="337"/>
      <c r="AV54" s="335"/>
      <c r="AW54" s="337"/>
      <c r="AX54" s="335">
        <f t="shared" si="5"/>
        <v>0</v>
      </c>
      <c r="AY54" s="340" t="s">
        <v>749</v>
      </c>
      <c r="AZ54" s="282">
        <v>23</v>
      </c>
      <c r="BA54" s="540">
        <v>0</v>
      </c>
      <c r="BB54" s="260">
        <v>46131</v>
      </c>
      <c r="BC54" s="340" t="s">
        <v>223</v>
      </c>
      <c r="BD54" s="335">
        <v>23</v>
      </c>
      <c r="BE54" s="337" t="s">
        <v>56</v>
      </c>
      <c r="BF54" s="337"/>
      <c r="BG54" s="335"/>
      <c r="BH54" s="337"/>
      <c r="BI54" s="335">
        <f t="shared" si="3"/>
        <v>0</v>
      </c>
      <c r="BJ54" s="340" t="s">
        <v>750</v>
      </c>
      <c r="BK54" s="282">
        <v>23</v>
      </c>
      <c r="BL54" s="540">
        <v>0</v>
      </c>
      <c r="BM54" s="260">
        <v>46161</v>
      </c>
      <c r="BN54" s="340"/>
      <c r="BO54" s="335"/>
      <c r="BP54" s="337"/>
      <c r="BQ54" s="337"/>
      <c r="BR54" s="335"/>
      <c r="BS54" s="337"/>
      <c r="BT54" s="335">
        <f t="shared" si="4"/>
        <v>23</v>
      </c>
      <c r="BU54" s="340"/>
    </row>
    <row r="55" customHeight="1" spans="1:73">
      <c r="A55" s="560" t="s">
        <v>751</v>
      </c>
      <c r="B55" s="601" t="s">
        <v>752</v>
      </c>
      <c r="C55" s="549" t="s">
        <v>753</v>
      </c>
      <c r="D55" s="250" t="s">
        <v>201</v>
      </c>
      <c r="E55" s="564" t="s">
        <v>202</v>
      </c>
      <c r="F55" s="585"/>
      <c r="G55" s="536" t="s">
        <v>754</v>
      </c>
      <c r="H55" s="7" t="s">
        <v>274</v>
      </c>
      <c r="I55" s="7" t="s">
        <v>220</v>
      </c>
      <c r="J55" s="7" t="s">
        <v>755</v>
      </c>
      <c r="K55" s="7" t="s">
        <v>756</v>
      </c>
      <c r="L55" s="222" t="s">
        <v>757</v>
      </c>
      <c r="M55" s="49"/>
      <c r="N55" s="54">
        <v>44931</v>
      </c>
      <c r="O55" s="327" t="s">
        <v>210</v>
      </c>
      <c r="P55" s="558">
        <v>10</v>
      </c>
      <c r="Q55" s="539">
        <v>0</v>
      </c>
      <c r="R55" s="282" t="s">
        <v>758</v>
      </c>
      <c r="S55" s="282">
        <v>23</v>
      </c>
      <c r="T55" s="540">
        <v>0</v>
      </c>
      <c r="U55" s="260">
        <v>46041</v>
      </c>
      <c r="V55" s="331">
        <v>46045</v>
      </c>
      <c r="W55" s="539">
        <v>23</v>
      </c>
      <c r="X55" s="543" t="s">
        <v>23</v>
      </c>
      <c r="Y55" s="544"/>
      <c r="Z55" s="545"/>
      <c r="AA55" s="543"/>
      <c r="AB55" s="545">
        <f t="shared" si="0"/>
        <v>0</v>
      </c>
      <c r="AC55" s="250" t="s">
        <v>759</v>
      </c>
      <c r="AD55" s="283">
        <v>23</v>
      </c>
      <c r="AE55" s="540">
        <v>0</v>
      </c>
      <c r="AF55" s="260">
        <v>46072</v>
      </c>
      <c r="AG55" s="251">
        <v>46076</v>
      </c>
      <c r="AH55" s="335">
        <v>23</v>
      </c>
      <c r="AI55" s="336" t="s">
        <v>56</v>
      </c>
      <c r="AJ55" s="337"/>
      <c r="AK55" s="335"/>
      <c r="AL55" s="336"/>
      <c r="AM55" s="335">
        <f t="shared" si="1"/>
        <v>0</v>
      </c>
      <c r="AN55" s="340" t="s">
        <v>760</v>
      </c>
      <c r="AO55" s="282">
        <v>23</v>
      </c>
      <c r="AP55" s="540">
        <v>0</v>
      </c>
      <c r="AQ55" s="260">
        <v>46100</v>
      </c>
      <c r="AR55" s="340" t="s">
        <v>386</v>
      </c>
      <c r="AS55" s="335">
        <v>23</v>
      </c>
      <c r="AT55" s="337" t="s">
        <v>56</v>
      </c>
      <c r="AU55" s="337"/>
      <c r="AV55" s="335"/>
      <c r="AW55" s="337"/>
      <c r="AX55" s="335">
        <f t="shared" si="5"/>
        <v>0</v>
      </c>
      <c r="AY55" s="340" t="s">
        <v>761</v>
      </c>
      <c r="AZ55" s="282">
        <v>23</v>
      </c>
      <c r="BA55" s="540">
        <v>0</v>
      </c>
      <c r="BB55" s="260">
        <v>46131</v>
      </c>
      <c r="BC55" s="340" t="s">
        <v>223</v>
      </c>
      <c r="BD55" s="335">
        <v>23</v>
      </c>
      <c r="BE55" s="337" t="s">
        <v>56</v>
      </c>
      <c r="BF55" s="337"/>
      <c r="BG55" s="335"/>
      <c r="BH55" s="337"/>
      <c r="BI55" s="335">
        <f t="shared" si="3"/>
        <v>0</v>
      </c>
      <c r="BJ55" s="340" t="s">
        <v>762</v>
      </c>
      <c r="BK55" s="282">
        <v>23</v>
      </c>
      <c r="BL55" s="540">
        <v>0</v>
      </c>
      <c r="BM55" s="260">
        <v>46161</v>
      </c>
      <c r="BN55" s="340"/>
      <c r="BO55" s="335"/>
      <c r="BP55" s="337"/>
      <c r="BQ55" s="337"/>
      <c r="BR55" s="335"/>
      <c r="BS55" s="337"/>
      <c r="BT55" s="335">
        <f t="shared" si="4"/>
        <v>23</v>
      </c>
      <c r="BU55" s="340"/>
    </row>
    <row r="56" customHeight="1" spans="1:73">
      <c r="A56" s="566" t="s">
        <v>763</v>
      </c>
      <c r="B56" s="38" t="s">
        <v>764</v>
      </c>
      <c r="C56" s="549" t="s">
        <v>765</v>
      </c>
      <c r="D56" s="250" t="s">
        <v>201</v>
      </c>
      <c r="E56" s="564" t="s">
        <v>202</v>
      </c>
      <c r="F56" s="585"/>
      <c r="G56" s="536" t="s">
        <v>766</v>
      </c>
      <c r="H56" s="7" t="s">
        <v>238</v>
      </c>
      <c r="I56" s="7" t="s">
        <v>220</v>
      </c>
      <c r="J56" s="7" t="s">
        <v>755</v>
      </c>
      <c r="K56" s="7" t="s">
        <v>767</v>
      </c>
      <c r="L56" s="222" t="s">
        <v>768</v>
      </c>
      <c r="M56" s="49"/>
      <c r="N56" s="54">
        <v>45544</v>
      </c>
      <c r="O56" s="327" t="s">
        <v>464</v>
      </c>
      <c r="P56" s="558">
        <v>10</v>
      </c>
      <c r="Q56" s="539">
        <v>10</v>
      </c>
      <c r="R56" s="282"/>
      <c r="S56" s="282">
        <v>30</v>
      </c>
      <c r="T56" s="540">
        <v>0</v>
      </c>
      <c r="U56" s="260">
        <v>46051</v>
      </c>
      <c r="V56" s="331">
        <v>46050</v>
      </c>
      <c r="W56" s="539">
        <v>30</v>
      </c>
      <c r="X56" s="543" t="s">
        <v>23</v>
      </c>
      <c r="Y56" s="544"/>
      <c r="Z56" s="545"/>
      <c r="AA56" s="543"/>
      <c r="AB56" s="545">
        <f t="shared" si="0"/>
        <v>10</v>
      </c>
      <c r="AC56" s="250" t="s">
        <v>213</v>
      </c>
      <c r="AD56" s="283">
        <v>30</v>
      </c>
      <c r="AE56" s="540">
        <v>0</v>
      </c>
      <c r="AF56" s="260">
        <v>46082</v>
      </c>
      <c r="AG56" s="251">
        <v>46079</v>
      </c>
      <c r="AH56" s="335">
        <f>30+10</f>
        <v>40</v>
      </c>
      <c r="AI56" s="336" t="s">
        <v>56</v>
      </c>
      <c r="AJ56" s="345"/>
      <c r="AK56" s="338"/>
      <c r="AL56" s="339"/>
      <c r="AM56" s="338">
        <f t="shared" si="1"/>
        <v>0</v>
      </c>
      <c r="AN56" s="340" t="s">
        <v>213</v>
      </c>
      <c r="AO56" s="282">
        <v>30</v>
      </c>
      <c r="AP56" s="540">
        <v>0</v>
      </c>
      <c r="AQ56" s="260">
        <v>46113</v>
      </c>
      <c r="AR56" s="340" t="s">
        <v>769</v>
      </c>
      <c r="AS56" s="335">
        <v>30</v>
      </c>
      <c r="AT56" s="337" t="s">
        <v>23</v>
      </c>
      <c r="AU56" s="337"/>
      <c r="AV56" s="335"/>
      <c r="AW56" s="337"/>
      <c r="AX56" s="335">
        <f t="shared" si="5"/>
        <v>0</v>
      </c>
      <c r="AY56" s="340" t="s">
        <v>213</v>
      </c>
      <c r="AZ56" s="282">
        <v>30</v>
      </c>
      <c r="BA56" s="540">
        <v>0</v>
      </c>
      <c r="BB56" s="260">
        <v>46143</v>
      </c>
      <c r="BC56" s="340" t="s">
        <v>770</v>
      </c>
      <c r="BD56" s="335">
        <v>30</v>
      </c>
      <c r="BE56" s="337" t="s">
        <v>23</v>
      </c>
      <c r="BF56" s="337"/>
      <c r="BG56" s="335"/>
      <c r="BH56" s="337"/>
      <c r="BI56" s="335">
        <f t="shared" si="3"/>
        <v>0</v>
      </c>
      <c r="BJ56" s="340"/>
      <c r="BK56" s="282">
        <v>30</v>
      </c>
      <c r="BL56" s="540">
        <v>0</v>
      </c>
      <c r="BM56" s="260">
        <v>46174</v>
      </c>
      <c r="BN56" s="340"/>
      <c r="BO56" s="335"/>
      <c r="BP56" s="337"/>
      <c r="BQ56" s="337"/>
      <c r="BR56" s="335"/>
      <c r="BS56" s="337"/>
      <c r="BT56" s="335">
        <f t="shared" si="4"/>
        <v>30</v>
      </c>
      <c r="BU56" s="340"/>
    </row>
    <row r="57" customHeight="1" spans="1:73">
      <c r="A57" s="572" t="s">
        <v>771</v>
      </c>
      <c r="B57" s="38" t="s">
        <v>772</v>
      </c>
      <c r="C57" s="549" t="s">
        <v>773</v>
      </c>
      <c r="D57" s="250" t="s">
        <v>201</v>
      </c>
      <c r="E57" s="564" t="s">
        <v>202</v>
      </c>
      <c r="F57" s="585"/>
      <c r="G57" s="536" t="s">
        <v>774</v>
      </c>
      <c r="H57" s="7" t="s">
        <v>274</v>
      </c>
      <c r="I57" s="7" t="s">
        <v>220</v>
      </c>
      <c r="J57" s="7" t="s">
        <v>775</v>
      </c>
      <c r="K57" s="7" t="s">
        <v>776</v>
      </c>
      <c r="L57" s="222" t="s">
        <v>777</v>
      </c>
      <c r="M57" s="49"/>
      <c r="N57" s="54">
        <v>44939</v>
      </c>
      <c r="O57" s="327" t="s">
        <v>210</v>
      </c>
      <c r="P57" s="558">
        <v>20</v>
      </c>
      <c r="Q57" s="539">
        <v>-0.6</v>
      </c>
      <c r="R57" s="282" t="s">
        <v>778</v>
      </c>
      <c r="S57" s="282">
        <v>23</v>
      </c>
      <c r="T57" s="540">
        <v>0</v>
      </c>
      <c r="U57" s="260">
        <v>46031</v>
      </c>
      <c r="V57" s="361">
        <v>46204</v>
      </c>
      <c r="W57" s="539">
        <v>23</v>
      </c>
      <c r="X57" s="543" t="s">
        <v>23</v>
      </c>
      <c r="Y57" s="544"/>
      <c r="Z57" s="545"/>
      <c r="AA57" s="543"/>
      <c r="AB57" s="545">
        <f t="shared" si="0"/>
        <v>-0.600000000000001</v>
      </c>
      <c r="AC57" s="250" t="s">
        <v>779</v>
      </c>
      <c r="AD57" s="283">
        <v>23</v>
      </c>
      <c r="AE57" s="540">
        <v>0</v>
      </c>
      <c r="AF57" s="260">
        <v>46062</v>
      </c>
      <c r="AG57" s="485">
        <v>46064</v>
      </c>
      <c r="AH57" s="335">
        <v>23</v>
      </c>
      <c r="AI57" s="336" t="s">
        <v>23</v>
      </c>
      <c r="AJ57" s="337"/>
      <c r="AK57" s="335"/>
      <c r="AL57" s="336"/>
      <c r="AM57" s="335">
        <f t="shared" si="1"/>
        <v>-0.600000000000001</v>
      </c>
      <c r="AN57" s="340" t="s">
        <v>780</v>
      </c>
      <c r="AO57" s="282">
        <v>23</v>
      </c>
      <c r="AP57" s="540">
        <v>0</v>
      </c>
      <c r="AQ57" s="260">
        <v>46090</v>
      </c>
      <c r="AR57" s="340" t="s">
        <v>680</v>
      </c>
      <c r="AS57" s="335">
        <v>23</v>
      </c>
      <c r="AT57" s="337" t="s">
        <v>23</v>
      </c>
      <c r="AU57" s="337"/>
      <c r="AV57" s="335"/>
      <c r="AW57" s="337"/>
      <c r="AX57" s="335">
        <f t="shared" si="5"/>
        <v>-0.600000000000001</v>
      </c>
      <c r="AY57" s="340" t="s">
        <v>781</v>
      </c>
      <c r="AZ57" s="282">
        <v>23</v>
      </c>
      <c r="BA57" s="540">
        <v>0</v>
      </c>
      <c r="BB57" s="260">
        <v>46121</v>
      </c>
      <c r="BC57" s="340" t="s">
        <v>247</v>
      </c>
      <c r="BD57" s="335">
        <v>23</v>
      </c>
      <c r="BE57" s="337" t="s">
        <v>23</v>
      </c>
      <c r="BF57" s="337"/>
      <c r="BG57" s="335"/>
      <c r="BH57" s="337"/>
      <c r="BI57" s="335">
        <f t="shared" si="3"/>
        <v>-0.600000000000001</v>
      </c>
      <c r="BJ57" s="340" t="s">
        <v>782</v>
      </c>
      <c r="BK57" s="282">
        <v>23</v>
      </c>
      <c r="BL57" s="540">
        <v>0</v>
      </c>
      <c r="BM57" s="260">
        <v>46151</v>
      </c>
      <c r="BN57" s="340"/>
      <c r="BO57" s="335"/>
      <c r="BP57" s="337"/>
      <c r="BQ57" s="337"/>
      <c r="BR57" s="335"/>
      <c r="BS57" s="337"/>
      <c r="BT57" s="335">
        <f t="shared" si="4"/>
        <v>22.4</v>
      </c>
      <c r="BU57" s="340"/>
    </row>
    <row r="58" customHeight="1" spans="1:73">
      <c r="A58" s="572" t="s">
        <v>783</v>
      </c>
      <c r="B58" s="38" t="s">
        <v>784</v>
      </c>
      <c r="C58" s="549" t="s">
        <v>785</v>
      </c>
      <c r="D58" s="250" t="s">
        <v>201</v>
      </c>
      <c r="E58" s="564" t="s">
        <v>202</v>
      </c>
      <c r="F58" s="585"/>
      <c r="G58" s="536" t="s">
        <v>786</v>
      </c>
      <c r="H58" s="7" t="s">
        <v>274</v>
      </c>
      <c r="I58" s="7" t="s">
        <v>220</v>
      </c>
      <c r="J58" s="7" t="s">
        <v>787</v>
      </c>
      <c r="K58" s="444" t="s">
        <v>788</v>
      </c>
      <c r="L58" s="222" t="s">
        <v>789</v>
      </c>
      <c r="M58" s="414" t="s">
        <v>790</v>
      </c>
      <c r="N58" s="54">
        <v>44953</v>
      </c>
      <c r="O58" s="327" t="s">
        <v>464</v>
      </c>
      <c r="P58" s="558">
        <v>10</v>
      </c>
      <c r="Q58" s="539">
        <v>-0.2</v>
      </c>
      <c r="R58" s="282" t="s">
        <v>791</v>
      </c>
      <c r="S58" s="282">
        <v>32.2</v>
      </c>
      <c r="T58" s="540">
        <v>3.16</v>
      </c>
      <c r="U58" s="260">
        <v>46031</v>
      </c>
      <c r="V58" s="361">
        <v>46204</v>
      </c>
      <c r="W58" s="539">
        <v>32.2</v>
      </c>
      <c r="X58" s="543" t="s">
        <v>35</v>
      </c>
      <c r="Y58" s="544"/>
      <c r="Z58" s="539">
        <v>3.16</v>
      </c>
      <c r="AA58" s="543" t="s">
        <v>35</v>
      </c>
      <c r="AB58" s="545">
        <f t="shared" si="0"/>
        <v>-0.200000000000006</v>
      </c>
      <c r="AC58" s="250" t="s">
        <v>792</v>
      </c>
      <c r="AD58" s="283">
        <v>32.2</v>
      </c>
      <c r="AE58" s="540">
        <v>3.16</v>
      </c>
      <c r="AF58" s="260">
        <v>46062</v>
      </c>
      <c r="AG58" s="251">
        <v>46059</v>
      </c>
      <c r="AH58" s="335">
        <v>32.2</v>
      </c>
      <c r="AI58" s="336" t="s">
        <v>35</v>
      </c>
      <c r="AJ58" s="337"/>
      <c r="AK58" s="335">
        <v>3.16</v>
      </c>
      <c r="AL58" s="336" t="s">
        <v>35</v>
      </c>
      <c r="AM58" s="335">
        <f t="shared" si="1"/>
        <v>-0.200000000000003</v>
      </c>
      <c r="AN58" s="340" t="s">
        <v>793</v>
      </c>
      <c r="AO58" s="282">
        <v>32.2</v>
      </c>
      <c r="AP58" s="540">
        <v>4</v>
      </c>
      <c r="AQ58" s="260">
        <v>46090</v>
      </c>
      <c r="AR58" s="340" t="s">
        <v>309</v>
      </c>
      <c r="AS58" s="335">
        <v>31.76</v>
      </c>
      <c r="AT58" s="337" t="s">
        <v>35</v>
      </c>
      <c r="AU58" s="337"/>
      <c r="AV58" s="335">
        <v>4</v>
      </c>
      <c r="AW58" s="337" t="s">
        <v>35</v>
      </c>
      <c r="AX58" s="335">
        <f t="shared" si="5"/>
        <v>0.239999999999995</v>
      </c>
      <c r="AY58" s="340" t="s">
        <v>794</v>
      </c>
      <c r="AZ58" s="282">
        <v>32.2</v>
      </c>
      <c r="BA58" s="540">
        <v>3.16</v>
      </c>
      <c r="BB58" s="260">
        <v>46121</v>
      </c>
      <c r="BC58" s="340" t="s">
        <v>795</v>
      </c>
      <c r="BD58" s="335">
        <v>32.2</v>
      </c>
      <c r="BE58" s="337" t="s">
        <v>35</v>
      </c>
      <c r="BF58" s="337"/>
      <c r="BG58" s="335">
        <v>3.16</v>
      </c>
      <c r="BH58" s="337" t="s">
        <v>35</v>
      </c>
      <c r="BI58" s="335">
        <f t="shared" si="3"/>
        <v>0.239999999999995</v>
      </c>
      <c r="BJ58" s="340" t="s">
        <v>796</v>
      </c>
      <c r="BK58" s="282">
        <v>32.2</v>
      </c>
      <c r="BL58" s="540">
        <v>3.16</v>
      </c>
      <c r="BM58" s="260">
        <v>46151</v>
      </c>
      <c r="BN58" s="340" t="s">
        <v>797</v>
      </c>
      <c r="BO58" s="335">
        <v>32.2</v>
      </c>
      <c r="BP58" s="337" t="s">
        <v>23</v>
      </c>
      <c r="BQ58" s="337"/>
      <c r="BR58" s="335">
        <v>3.16</v>
      </c>
      <c r="BS58" s="337" t="s">
        <v>23</v>
      </c>
      <c r="BT58" s="335">
        <f t="shared" si="4"/>
        <v>0.239999999999995</v>
      </c>
      <c r="BU58" s="340"/>
    </row>
    <row r="59" customHeight="1" spans="1:73">
      <c r="A59" s="566" t="s">
        <v>798</v>
      </c>
      <c r="B59" s="601" t="s">
        <v>799</v>
      </c>
      <c r="C59" s="549" t="s">
        <v>800</v>
      </c>
      <c r="D59" s="250" t="s">
        <v>201</v>
      </c>
      <c r="E59" s="564" t="s">
        <v>226</v>
      </c>
      <c r="F59" s="585"/>
      <c r="G59" s="536" t="s">
        <v>801</v>
      </c>
      <c r="H59" s="7" t="s">
        <v>238</v>
      </c>
      <c r="I59" s="7" t="s">
        <v>220</v>
      </c>
      <c r="J59" s="7" t="s">
        <v>802</v>
      </c>
      <c r="K59" s="444" t="s">
        <v>803</v>
      </c>
      <c r="L59" s="222" t="s">
        <v>804</v>
      </c>
      <c r="M59" s="414" t="s">
        <v>805</v>
      </c>
      <c r="N59" s="54">
        <v>44968</v>
      </c>
      <c r="O59" s="327" t="s">
        <v>210</v>
      </c>
      <c r="P59" s="558">
        <v>0</v>
      </c>
      <c r="Q59" s="539">
        <v>0</v>
      </c>
      <c r="R59" s="282" t="s">
        <v>806</v>
      </c>
      <c r="S59" s="282">
        <v>25</v>
      </c>
      <c r="T59" s="540"/>
      <c r="U59" s="260">
        <v>46031</v>
      </c>
      <c r="V59" s="331">
        <v>46035</v>
      </c>
      <c r="W59" s="539">
        <v>25</v>
      </c>
      <c r="X59" s="543" t="s">
        <v>35</v>
      </c>
      <c r="Y59" s="544"/>
      <c r="Z59" s="539"/>
      <c r="AA59" s="543"/>
      <c r="AB59" s="545">
        <f t="shared" si="0"/>
        <v>0</v>
      </c>
      <c r="AC59" s="250" t="s">
        <v>213</v>
      </c>
      <c r="AD59" s="283">
        <v>25</v>
      </c>
      <c r="AE59" s="540"/>
      <c r="AF59" s="260">
        <v>46062</v>
      </c>
      <c r="AG59" s="251">
        <v>46065</v>
      </c>
      <c r="AH59" s="335">
        <v>25</v>
      </c>
      <c r="AI59" s="336" t="s">
        <v>35</v>
      </c>
      <c r="AJ59" s="345"/>
      <c r="AK59" s="338"/>
      <c r="AL59" s="339"/>
      <c r="AM59" s="338">
        <f t="shared" si="1"/>
        <v>0</v>
      </c>
      <c r="AN59" s="340" t="s">
        <v>807</v>
      </c>
      <c r="AO59" s="282">
        <v>25</v>
      </c>
      <c r="AP59" s="540"/>
      <c r="AQ59" s="260">
        <v>46090</v>
      </c>
      <c r="AR59" s="340" t="s">
        <v>808</v>
      </c>
      <c r="AS59" s="335">
        <v>25</v>
      </c>
      <c r="AT59" s="337" t="s">
        <v>35</v>
      </c>
      <c r="AU59" s="337"/>
      <c r="AV59" s="335"/>
      <c r="AW59" s="337"/>
      <c r="AX59" s="335">
        <f t="shared" si="5"/>
        <v>0</v>
      </c>
      <c r="AY59" s="340" t="s">
        <v>809</v>
      </c>
      <c r="AZ59" s="282">
        <v>25</v>
      </c>
      <c r="BA59" s="540"/>
      <c r="BB59" s="260">
        <v>46121</v>
      </c>
      <c r="BC59" s="340" t="s">
        <v>234</v>
      </c>
      <c r="BD59" s="335">
        <v>25</v>
      </c>
      <c r="BE59" s="337" t="s">
        <v>35</v>
      </c>
      <c r="BF59" s="337"/>
      <c r="BG59" s="335"/>
      <c r="BH59" s="337"/>
      <c r="BI59" s="335">
        <f t="shared" si="3"/>
        <v>0</v>
      </c>
      <c r="BJ59" s="340" t="s">
        <v>810</v>
      </c>
      <c r="BK59" s="282">
        <v>25</v>
      </c>
      <c r="BL59" s="540"/>
      <c r="BM59" s="260">
        <v>46151</v>
      </c>
      <c r="BN59" s="340"/>
      <c r="BO59" s="335"/>
      <c r="BP59" s="337"/>
      <c r="BQ59" s="337"/>
      <c r="BR59" s="335"/>
      <c r="BS59" s="337"/>
      <c r="BT59" s="335">
        <f t="shared" si="4"/>
        <v>25</v>
      </c>
      <c r="BU59" s="340"/>
    </row>
    <row r="60" customHeight="1" spans="1:73">
      <c r="A60" s="566" t="s">
        <v>811</v>
      </c>
      <c r="B60" s="603" t="s">
        <v>812</v>
      </c>
      <c r="C60" s="567" t="s">
        <v>813</v>
      </c>
      <c r="D60" s="250" t="s">
        <v>201</v>
      </c>
      <c r="E60" s="564" t="s">
        <v>202</v>
      </c>
      <c r="F60" s="585"/>
      <c r="G60" s="536" t="s">
        <v>814</v>
      </c>
      <c r="H60" s="7" t="s">
        <v>238</v>
      </c>
      <c r="I60" s="7" t="s">
        <v>220</v>
      </c>
      <c r="J60" s="7" t="s">
        <v>341</v>
      </c>
      <c r="K60" s="414" t="s">
        <v>815</v>
      </c>
      <c r="L60" s="222" t="s">
        <v>816</v>
      </c>
      <c r="M60" s="414" t="s">
        <v>817</v>
      </c>
      <c r="N60" s="54">
        <v>44986</v>
      </c>
      <c r="O60" s="327" t="s">
        <v>210</v>
      </c>
      <c r="P60" s="558">
        <v>15</v>
      </c>
      <c r="Q60" s="539">
        <v>0</v>
      </c>
      <c r="R60" s="282" t="s">
        <v>818</v>
      </c>
      <c r="S60" s="282">
        <v>38</v>
      </c>
      <c r="T60" s="540">
        <v>4</v>
      </c>
      <c r="U60" s="260">
        <v>46031</v>
      </c>
      <c r="V60" s="331">
        <v>46042</v>
      </c>
      <c r="W60" s="539">
        <v>38</v>
      </c>
      <c r="X60" s="543" t="s">
        <v>56</v>
      </c>
      <c r="Y60" s="544"/>
      <c r="Z60" s="539">
        <v>4</v>
      </c>
      <c r="AA60" s="543" t="s">
        <v>56</v>
      </c>
      <c r="AB60" s="545">
        <f t="shared" si="0"/>
        <v>0</v>
      </c>
      <c r="AC60" s="250" t="s">
        <v>213</v>
      </c>
      <c r="AD60" s="283">
        <v>38</v>
      </c>
      <c r="AE60" s="540">
        <v>4</v>
      </c>
      <c r="AF60" s="260">
        <v>46062</v>
      </c>
      <c r="AG60" s="485">
        <v>46072.4960255208</v>
      </c>
      <c r="AH60" s="335">
        <v>42</v>
      </c>
      <c r="AI60" s="336" t="s">
        <v>56</v>
      </c>
      <c r="AJ60" s="345"/>
      <c r="AK60" s="338"/>
      <c r="AL60" s="339"/>
      <c r="AM60" s="338">
        <f t="shared" si="1"/>
        <v>0</v>
      </c>
      <c r="AN60" s="340" t="s">
        <v>819</v>
      </c>
      <c r="AO60" s="282">
        <v>23</v>
      </c>
      <c r="AP60" s="540">
        <v>4</v>
      </c>
      <c r="AQ60" s="260">
        <v>46090</v>
      </c>
      <c r="AR60" s="340" t="s">
        <v>808</v>
      </c>
      <c r="AS60" s="335">
        <v>23</v>
      </c>
      <c r="AT60" s="337" t="s">
        <v>56</v>
      </c>
      <c r="AU60" s="337"/>
      <c r="AV60" s="335">
        <v>4</v>
      </c>
      <c r="AW60" s="337" t="s">
        <v>56</v>
      </c>
      <c r="AX60" s="335">
        <f t="shared" si="5"/>
        <v>0</v>
      </c>
      <c r="AY60" s="340" t="s">
        <v>820</v>
      </c>
      <c r="AZ60" s="282">
        <v>23</v>
      </c>
      <c r="BA60" s="540">
        <v>4</v>
      </c>
      <c r="BB60" s="260">
        <v>46121</v>
      </c>
      <c r="BC60" s="340" t="s">
        <v>468</v>
      </c>
      <c r="BD60" s="335">
        <v>23</v>
      </c>
      <c r="BE60" s="337" t="s">
        <v>56</v>
      </c>
      <c r="BF60" s="337"/>
      <c r="BG60" s="335">
        <v>4</v>
      </c>
      <c r="BH60" s="337" t="s">
        <v>56</v>
      </c>
      <c r="BI60" s="335">
        <f t="shared" si="3"/>
        <v>0</v>
      </c>
      <c r="BJ60" s="340" t="s">
        <v>821</v>
      </c>
      <c r="BK60" s="282">
        <v>23</v>
      </c>
      <c r="BL60" s="540">
        <v>4</v>
      </c>
      <c r="BM60" s="260">
        <v>46151</v>
      </c>
      <c r="BN60" s="340"/>
      <c r="BO60" s="335"/>
      <c r="BP60" s="337"/>
      <c r="BQ60" s="337"/>
      <c r="BR60" s="335"/>
      <c r="BS60" s="337"/>
      <c r="BT60" s="335">
        <f t="shared" si="4"/>
        <v>27</v>
      </c>
      <c r="BU60" s="340"/>
    </row>
    <row r="61" customHeight="1" spans="1:73">
      <c r="A61" s="549" t="s">
        <v>822</v>
      </c>
      <c r="B61" s="604" t="s">
        <v>823</v>
      </c>
      <c r="C61" s="567" t="s">
        <v>824</v>
      </c>
      <c r="D61" s="250" t="s">
        <v>472</v>
      </c>
      <c r="E61" s="581"/>
      <c r="F61" s="581"/>
      <c r="G61" s="222" t="s">
        <v>825</v>
      </c>
      <c r="H61" s="7" t="s">
        <v>238</v>
      </c>
      <c r="I61" s="7" t="s">
        <v>220</v>
      </c>
      <c r="J61" s="7" t="s">
        <v>826</v>
      </c>
      <c r="K61" s="7" t="s">
        <v>827</v>
      </c>
      <c r="L61" s="222" t="s">
        <v>828</v>
      </c>
      <c r="M61" s="49"/>
      <c r="N61" s="54">
        <v>44989</v>
      </c>
      <c r="O61" s="327" t="s">
        <v>210</v>
      </c>
      <c r="P61" s="538" t="s">
        <v>242</v>
      </c>
      <c r="Q61" s="539">
        <v>0</v>
      </c>
      <c r="R61" s="282"/>
      <c r="S61" s="282"/>
      <c r="T61" s="540">
        <v>0</v>
      </c>
      <c r="U61" s="559"/>
      <c r="V61" s="350"/>
      <c r="W61" s="545"/>
      <c r="X61" s="543"/>
      <c r="Y61" s="544"/>
      <c r="Z61" s="545"/>
      <c r="AA61" s="543"/>
      <c r="AB61" s="545">
        <f t="shared" si="0"/>
        <v>0</v>
      </c>
      <c r="AC61" s="250" t="s">
        <v>213</v>
      </c>
      <c r="AD61" s="283"/>
      <c r="AE61" s="540">
        <v>0</v>
      </c>
      <c r="AF61" s="559"/>
      <c r="AH61" s="338"/>
      <c r="AI61" s="339"/>
      <c r="AJ61" s="345"/>
      <c r="AK61" s="338"/>
      <c r="AL61" s="339"/>
      <c r="AM61" s="338">
        <f t="shared" si="1"/>
        <v>0</v>
      </c>
      <c r="AN61" s="340" t="s">
        <v>213</v>
      </c>
      <c r="AO61" s="282"/>
      <c r="AP61" s="540">
        <v>0</v>
      </c>
      <c r="AQ61" s="559"/>
      <c r="AR61" s="340"/>
      <c r="AS61" s="335"/>
      <c r="AT61" s="337"/>
      <c r="AU61" s="337"/>
      <c r="AV61" s="335"/>
      <c r="AW61" s="337"/>
      <c r="AX61" s="335">
        <f t="shared" si="5"/>
        <v>0</v>
      </c>
      <c r="AY61" s="340" t="s">
        <v>213</v>
      </c>
      <c r="AZ61" s="282"/>
      <c r="BA61" s="540">
        <v>0</v>
      </c>
      <c r="BB61" s="559"/>
      <c r="BC61" s="340"/>
      <c r="BD61" s="335"/>
      <c r="BE61" s="337"/>
      <c r="BF61" s="337"/>
      <c r="BG61" s="335"/>
      <c r="BH61" s="337"/>
      <c r="BI61" s="335">
        <f t="shared" si="3"/>
        <v>0</v>
      </c>
      <c r="BJ61" s="340"/>
      <c r="BK61" s="282"/>
      <c r="BL61" s="540">
        <v>0</v>
      </c>
      <c r="BM61" s="559"/>
      <c r="BN61" s="340"/>
      <c r="BO61" s="335"/>
      <c r="BP61" s="337"/>
      <c r="BQ61" s="337"/>
      <c r="BR61" s="335"/>
      <c r="BS61" s="337"/>
      <c r="BT61" s="335">
        <f t="shared" si="4"/>
        <v>0</v>
      </c>
      <c r="BU61" s="340"/>
    </row>
    <row r="62" customHeight="1" spans="1:73">
      <c r="A62" s="572" t="s">
        <v>829</v>
      </c>
      <c r="B62" s="601" t="s">
        <v>830</v>
      </c>
      <c r="C62" s="567" t="s">
        <v>831</v>
      </c>
      <c r="D62" s="250" t="s">
        <v>201</v>
      </c>
      <c r="E62" s="564" t="s">
        <v>226</v>
      </c>
      <c r="F62" s="585"/>
      <c r="G62" s="536" t="s">
        <v>832</v>
      </c>
      <c r="H62" s="7" t="s">
        <v>238</v>
      </c>
      <c r="I62" s="7" t="s">
        <v>206</v>
      </c>
      <c r="J62" s="7" t="s">
        <v>833</v>
      </c>
      <c r="K62" s="444" t="s">
        <v>834</v>
      </c>
      <c r="L62" s="222" t="s">
        <v>835</v>
      </c>
      <c r="M62" s="414" t="s">
        <v>836</v>
      </c>
      <c r="N62" s="54">
        <v>45010</v>
      </c>
      <c r="O62" s="327" t="s">
        <v>464</v>
      </c>
      <c r="P62" s="558">
        <v>27</v>
      </c>
      <c r="Q62" s="539">
        <v>70</v>
      </c>
      <c r="R62" s="282" t="s">
        <v>837</v>
      </c>
      <c r="S62" s="282">
        <v>32.2</v>
      </c>
      <c r="T62" s="540">
        <v>0</v>
      </c>
      <c r="U62" s="260">
        <v>46031</v>
      </c>
      <c r="V62" s="361">
        <v>46143</v>
      </c>
      <c r="W62" s="539">
        <v>32.2</v>
      </c>
      <c r="X62" s="543" t="s">
        <v>23</v>
      </c>
      <c r="Y62" s="544"/>
      <c r="Z62" s="545"/>
      <c r="AA62" s="543"/>
      <c r="AB62" s="545">
        <f t="shared" si="0"/>
        <v>70</v>
      </c>
      <c r="AC62" s="250" t="s">
        <v>838</v>
      </c>
      <c r="AD62" s="283">
        <v>32.2</v>
      </c>
      <c r="AE62" s="540">
        <v>0</v>
      </c>
      <c r="AF62" s="260">
        <v>46062</v>
      </c>
      <c r="AG62" s="251">
        <v>46057</v>
      </c>
      <c r="AH62" s="335">
        <v>32.2</v>
      </c>
      <c r="AI62" s="336" t="s">
        <v>35</v>
      </c>
      <c r="AJ62" s="337"/>
      <c r="AK62" s="335"/>
      <c r="AL62" s="336"/>
      <c r="AM62" s="335">
        <f t="shared" si="1"/>
        <v>70</v>
      </c>
      <c r="AN62" s="340" t="s">
        <v>839</v>
      </c>
      <c r="AO62" s="282">
        <v>32.2</v>
      </c>
      <c r="AP62" s="540">
        <v>0</v>
      </c>
      <c r="AQ62" s="260">
        <v>46090</v>
      </c>
      <c r="AR62" s="340" t="s">
        <v>840</v>
      </c>
      <c r="AS62" s="335">
        <v>32.2</v>
      </c>
      <c r="AT62" s="337" t="s">
        <v>23</v>
      </c>
      <c r="AU62" s="337"/>
      <c r="AV62" s="335"/>
      <c r="AW62" s="337"/>
      <c r="AX62" s="335">
        <f t="shared" si="5"/>
        <v>70</v>
      </c>
      <c r="AY62" s="340" t="s">
        <v>841</v>
      </c>
      <c r="AZ62" s="282">
        <v>32.2</v>
      </c>
      <c r="BA62" s="540">
        <v>0</v>
      </c>
      <c r="BB62" s="260">
        <v>46121</v>
      </c>
      <c r="BC62" s="340" t="s">
        <v>510</v>
      </c>
      <c r="BD62" s="335">
        <v>32.2</v>
      </c>
      <c r="BE62" s="337" t="s">
        <v>23</v>
      </c>
      <c r="BF62" s="337"/>
      <c r="BG62" s="335"/>
      <c r="BH62" s="337"/>
      <c r="BI62" s="335">
        <f t="shared" si="3"/>
        <v>70</v>
      </c>
      <c r="BJ62" s="340" t="s">
        <v>842</v>
      </c>
      <c r="BK62" s="282">
        <v>32.2</v>
      </c>
      <c r="BL62" s="540">
        <v>0</v>
      </c>
      <c r="BM62" s="260">
        <v>46151</v>
      </c>
      <c r="BN62" s="340" t="s">
        <v>843</v>
      </c>
      <c r="BO62" s="335">
        <v>32.2</v>
      </c>
      <c r="BP62" s="337" t="s">
        <v>23</v>
      </c>
      <c r="BQ62" s="337"/>
      <c r="BR62" s="335"/>
      <c r="BS62" s="337"/>
      <c r="BT62" s="335">
        <f t="shared" si="4"/>
        <v>70</v>
      </c>
      <c r="BU62" s="340"/>
    </row>
    <row r="63" customHeight="1" spans="1:73">
      <c r="A63" s="566" t="s">
        <v>844</v>
      </c>
      <c r="B63" s="605" t="s">
        <v>845</v>
      </c>
      <c r="C63" s="549" t="s">
        <v>846</v>
      </c>
      <c r="D63" s="250" t="s">
        <v>251</v>
      </c>
      <c r="E63" s="564" t="s">
        <v>202</v>
      </c>
      <c r="F63" s="585"/>
      <c r="G63" s="536" t="s">
        <v>847</v>
      </c>
      <c r="H63" s="7" t="s">
        <v>238</v>
      </c>
      <c r="I63" s="7" t="s">
        <v>220</v>
      </c>
      <c r="J63" s="7" t="s">
        <v>848</v>
      </c>
      <c r="K63" s="7" t="s">
        <v>849</v>
      </c>
      <c r="L63" s="222" t="s">
        <v>850</v>
      </c>
      <c r="M63" s="298" t="s">
        <v>851</v>
      </c>
      <c r="N63" s="54">
        <v>45012</v>
      </c>
      <c r="O63" s="327" t="s">
        <v>210</v>
      </c>
      <c r="P63" s="558">
        <v>30</v>
      </c>
      <c r="Q63" s="539">
        <v>0</v>
      </c>
      <c r="R63" s="282"/>
      <c r="T63" s="540">
        <v>0</v>
      </c>
      <c r="U63" s="559"/>
      <c r="V63" s="350"/>
      <c r="W63" s="545"/>
      <c r="X63" s="543"/>
      <c r="Y63" s="544"/>
      <c r="Z63" s="545"/>
      <c r="AA63" s="543"/>
      <c r="AB63" s="545">
        <f t="shared" si="0"/>
        <v>0</v>
      </c>
      <c r="AC63" s="250" t="s">
        <v>213</v>
      </c>
      <c r="AD63" s="280"/>
      <c r="AE63" s="540">
        <v>0</v>
      </c>
      <c r="AF63" s="559"/>
      <c r="AH63" s="338"/>
      <c r="AI63" s="339"/>
      <c r="AJ63" s="345"/>
      <c r="AK63" s="338"/>
      <c r="AL63" s="339"/>
      <c r="AM63" s="338">
        <f t="shared" si="1"/>
        <v>0</v>
      </c>
      <c r="AN63" s="340" t="s">
        <v>213</v>
      </c>
      <c r="AP63" s="540">
        <v>0</v>
      </c>
      <c r="AQ63" s="559"/>
      <c r="AR63" s="340"/>
      <c r="AS63" s="335"/>
      <c r="AT63" s="337"/>
      <c r="AU63" s="337"/>
      <c r="AV63" s="335"/>
      <c r="AW63" s="337"/>
      <c r="AX63" s="335">
        <f t="shared" si="5"/>
        <v>0</v>
      </c>
      <c r="AY63" s="340" t="s">
        <v>213</v>
      </c>
      <c r="BA63" s="540">
        <v>0</v>
      </c>
      <c r="BB63" s="559"/>
      <c r="BC63" s="340"/>
      <c r="BD63" s="335"/>
      <c r="BE63" s="337"/>
      <c r="BF63" s="337"/>
      <c r="BG63" s="335"/>
      <c r="BH63" s="337"/>
      <c r="BI63" s="335">
        <f t="shared" si="3"/>
        <v>0</v>
      </c>
      <c r="BJ63" s="340"/>
      <c r="BL63" s="540">
        <v>0</v>
      </c>
      <c r="BM63" s="559"/>
      <c r="BN63" s="340"/>
      <c r="BO63" s="335"/>
      <c r="BP63" s="337"/>
      <c r="BQ63" s="337"/>
      <c r="BR63" s="335"/>
      <c r="BS63" s="337"/>
      <c r="BT63" s="335">
        <f t="shared" si="4"/>
        <v>0</v>
      </c>
      <c r="BU63" s="340"/>
    </row>
    <row r="64" customHeight="1" spans="1:73">
      <c r="A64" s="572" t="s">
        <v>852</v>
      </c>
      <c r="B64" s="606" t="s">
        <v>853</v>
      </c>
      <c r="C64" s="549" t="s">
        <v>854</v>
      </c>
      <c r="D64" s="250" t="s">
        <v>201</v>
      </c>
      <c r="E64" s="352" t="s">
        <v>202</v>
      </c>
      <c r="F64" s="222"/>
      <c r="G64" s="536" t="s">
        <v>855</v>
      </c>
      <c r="H64" s="7" t="s">
        <v>238</v>
      </c>
      <c r="I64" s="7" t="s">
        <v>220</v>
      </c>
      <c r="J64" s="7" t="s">
        <v>856</v>
      </c>
      <c r="K64" s="7" t="s">
        <v>857</v>
      </c>
      <c r="L64" s="222" t="s">
        <v>858</v>
      </c>
      <c r="M64" s="7"/>
      <c r="N64" s="54">
        <v>45014</v>
      </c>
      <c r="O64" s="327" t="s">
        <v>210</v>
      </c>
      <c r="P64" s="538"/>
      <c r="Q64" s="539">
        <v>-5.4</v>
      </c>
      <c r="R64" s="282" t="s">
        <v>859</v>
      </c>
      <c r="S64" s="282">
        <v>23</v>
      </c>
      <c r="T64" s="540">
        <v>0</v>
      </c>
      <c r="U64" s="260">
        <v>46041</v>
      </c>
      <c r="V64" s="331">
        <v>46037</v>
      </c>
      <c r="W64" s="539">
        <v>23.6</v>
      </c>
      <c r="X64" s="543" t="s">
        <v>23</v>
      </c>
      <c r="Y64" s="544"/>
      <c r="Z64" s="545"/>
      <c r="AA64" s="543"/>
      <c r="AB64" s="545">
        <f t="shared" si="0"/>
        <v>-6</v>
      </c>
      <c r="AC64" s="250" t="s">
        <v>213</v>
      </c>
      <c r="AD64" s="283">
        <v>23</v>
      </c>
      <c r="AE64" s="540">
        <v>0</v>
      </c>
      <c r="AF64" s="260">
        <v>46072</v>
      </c>
      <c r="AG64" s="251">
        <v>46067</v>
      </c>
      <c r="AH64" s="335">
        <v>18.2</v>
      </c>
      <c r="AI64" s="336" t="s">
        <v>56</v>
      </c>
      <c r="AJ64" s="345"/>
      <c r="AK64" s="338"/>
      <c r="AL64" s="339"/>
      <c r="AM64" s="338">
        <f t="shared" si="1"/>
        <v>-1.2</v>
      </c>
      <c r="AN64" s="340" t="s">
        <v>213</v>
      </c>
      <c r="AO64" s="282">
        <v>23</v>
      </c>
      <c r="AP64" s="540">
        <v>0</v>
      </c>
      <c r="AQ64" s="260">
        <v>46100</v>
      </c>
      <c r="AR64" s="340" t="s">
        <v>360</v>
      </c>
      <c r="AS64" s="335">
        <v>21.8</v>
      </c>
      <c r="AT64" s="337" t="s">
        <v>23</v>
      </c>
      <c r="AU64" s="337"/>
      <c r="AV64" s="335"/>
      <c r="AW64" s="337"/>
      <c r="AX64" s="335">
        <f t="shared" si="5"/>
        <v>0</v>
      </c>
      <c r="AY64" s="340" t="s">
        <v>213</v>
      </c>
      <c r="AZ64" s="282">
        <v>23</v>
      </c>
      <c r="BA64" s="540">
        <v>0</v>
      </c>
      <c r="BB64" s="260">
        <v>46131</v>
      </c>
      <c r="BC64" s="340" t="s">
        <v>860</v>
      </c>
      <c r="BD64" s="335">
        <v>23</v>
      </c>
      <c r="BE64" s="337" t="s">
        <v>23</v>
      </c>
      <c r="BF64" s="337"/>
      <c r="BG64" s="335"/>
      <c r="BH64" s="337"/>
      <c r="BI64" s="335">
        <f t="shared" si="3"/>
        <v>0</v>
      </c>
      <c r="BJ64" s="340"/>
      <c r="BK64" s="282">
        <v>23</v>
      </c>
      <c r="BL64" s="540">
        <v>0</v>
      </c>
      <c r="BM64" s="260">
        <v>46161</v>
      </c>
      <c r="BN64" s="340"/>
      <c r="BO64" s="335"/>
      <c r="BP64" s="337"/>
      <c r="BQ64" s="337"/>
      <c r="BR64" s="335"/>
      <c r="BS64" s="337"/>
      <c r="BT64" s="335">
        <f t="shared" si="4"/>
        <v>23</v>
      </c>
      <c r="BU64" s="340"/>
    </row>
    <row r="65" customHeight="1" spans="1:73">
      <c r="A65" s="566" t="s">
        <v>861</v>
      </c>
      <c r="B65" s="38" t="s">
        <v>862</v>
      </c>
      <c r="C65" s="549" t="s">
        <v>863</v>
      </c>
      <c r="D65" s="250" t="s">
        <v>201</v>
      </c>
      <c r="E65" s="564" t="s">
        <v>226</v>
      </c>
      <c r="F65" s="564" t="s">
        <v>170</v>
      </c>
      <c r="G65" s="536" t="s">
        <v>864</v>
      </c>
      <c r="H65" s="7" t="s">
        <v>238</v>
      </c>
      <c r="I65" s="7" t="s">
        <v>220</v>
      </c>
      <c r="J65" s="7" t="s">
        <v>865</v>
      </c>
      <c r="K65" s="7" t="s">
        <v>866</v>
      </c>
      <c r="L65" s="222" t="s">
        <v>867</v>
      </c>
      <c r="M65" s="414" t="s">
        <v>868</v>
      </c>
      <c r="N65" s="54">
        <v>45567</v>
      </c>
      <c r="O65" s="327" t="s">
        <v>210</v>
      </c>
      <c r="P65" s="538"/>
      <c r="Q65" s="539">
        <v>0</v>
      </c>
      <c r="R65" s="282" t="s">
        <v>869</v>
      </c>
      <c r="S65" s="282">
        <v>23</v>
      </c>
      <c r="T65" s="540">
        <v>0</v>
      </c>
      <c r="U65" s="260">
        <v>46031</v>
      </c>
      <c r="V65" s="331">
        <v>46031</v>
      </c>
      <c r="W65" s="539">
        <v>23</v>
      </c>
      <c r="X65" s="543" t="s">
        <v>56</v>
      </c>
      <c r="Y65" s="544"/>
      <c r="Z65" s="545"/>
      <c r="AA65" s="543"/>
      <c r="AB65" s="545">
        <f t="shared" si="0"/>
        <v>0</v>
      </c>
      <c r="AC65" s="250" t="s">
        <v>870</v>
      </c>
      <c r="AD65" s="283">
        <v>23</v>
      </c>
      <c r="AE65" s="540">
        <v>0</v>
      </c>
      <c r="AF65" s="260">
        <v>46062</v>
      </c>
      <c r="AG65" s="485">
        <v>46064.7412633796</v>
      </c>
      <c r="AH65" s="335">
        <v>23</v>
      </c>
      <c r="AI65" s="336" t="s">
        <v>56</v>
      </c>
      <c r="AJ65" s="337"/>
      <c r="AK65" s="335"/>
      <c r="AL65" s="336"/>
      <c r="AM65" s="335">
        <f t="shared" si="1"/>
        <v>0</v>
      </c>
      <c r="AN65" s="340" t="s">
        <v>871</v>
      </c>
      <c r="AO65" s="282">
        <v>23</v>
      </c>
      <c r="AP65" s="540">
        <v>0</v>
      </c>
      <c r="AQ65" s="260">
        <v>46090</v>
      </c>
      <c r="AR65" s="340" t="s">
        <v>872</v>
      </c>
      <c r="AS65" s="335">
        <v>23</v>
      </c>
      <c r="AT65" s="337" t="s">
        <v>56</v>
      </c>
      <c r="AU65" s="337"/>
      <c r="AV65" s="335"/>
      <c r="AW65" s="337"/>
      <c r="AX65" s="335">
        <f t="shared" si="5"/>
        <v>0</v>
      </c>
      <c r="AY65" s="340" t="s">
        <v>873</v>
      </c>
      <c r="AZ65" s="282">
        <v>23</v>
      </c>
      <c r="BA65" s="540">
        <v>0</v>
      </c>
      <c r="BB65" s="260">
        <v>46121</v>
      </c>
      <c r="BC65" s="485">
        <v>46120.6524349884</v>
      </c>
      <c r="BD65" s="335">
        <v>23</v>
      </c>
      <c r="BE65" s="337" t="s">
        <v>56</v>
      </c>
      <c r="BF65" s="337"/>
      <c r="BG65" s="335"/>
      <c r="BH65" s="337"/>
      <c r="BI65" s="335">
        <f t="shared" si="3"/>
        <v>0</v>
      </c>
      <c r="BJ65" s="340" t="s">
        <v>874</v>
      </c>
      <c r="BK65" s="282">
        <v>23</v>
      </c>
      <c r="BL65" s="540">
        <v>0</v>
      </c>
      <c r="BM65" s="260">
        <v>46151</v>
      </c>
      <c r="BN65" s="340"/>
      <c r="BO65" s="335"/>
      <c r="BP65" s="337"/>
      <c r="BQ65" s="337"/>
      <c r="BR65" s="335"/>
      <c r="BS65" s="337"/>
      <c r="BT65" s="335">
        <f t="shared" si="4"/>
        <v>23</v>
      </c>
      <c r="BU65" s="340"/>
    </row>
    <row r="66" customHeight="1" spans="1:73">
      <c r="A66" s="563" t="s">
        <v>875</v>
      </c>
      <c r="B66" s="143" t="s">
        <v>876</v>
      </c>
      <c r="C66" s="549" t="s">
        <v>877</v>
      </c>
      <c r="D66" s="250" t="s">
        <v>201</v>
      </c>
      <c r="E66" s="564" t="s">
        <v>226</v>
      </c>
      <c r="F66" s="585"/>
      <c r="G66" s="536" t="s">
        <v>878</v>
      </c>
      <c r="H66" s="7" t="s">
        <v>238</v>
      </c>
      <c r="I66" s="7" t="s">
        <v>206</v>
      </c>
      <c r="J66" s="7" t="s">
        <v>879</v>
      </c>
      <c r="K66" s="7" t="s">
        <v>880</v>
      </c>
      <c r="L66" s="222" t="s">
        <v>881</v>
      </c>
      <c r="M66" s="414" t="s">
        <v>882</v>
      </c>
      <c r="N66" s="54">
        <v>45022</v>
      </c>
      <c r="O66" s="327" t="s">
        <v>384</v>
      </c>
      <c r="P66" s="558">
        <v>300</v>
      </c>
      <c r="Q66" s="539">
        <v>0</v>
      </c>
      <c r="R66" s="282"/>
      <c r="S66" s="282">
        <f>89.6+55+15</f>
        <v>159.6</v>
      </c>
      <c r="T66" s="540">
        <v>40</v>
      </c>
      <c r="U66" s="260">
        <v>46036</v>
      </c>
      <c r="V66" s="350" t="s">
        <v>429</v>
      </c>
      <c r="W66" s="539">
        <v>89.6</v>
      </c>
      <c r="X66" s="543" t="s">
        <v>56</v>
      </c>
      <c r="Y66" s="544"/>
      <c r="Z66" s="539">
        <v>40</v>
      </c>
      <c r="AA66" s="543" t="s">
        <v>56</v>
      </c>
      <c r="AB66" s="545">
        <f t="shared" si="0"/>
        <v>70</v>
      </c>
      <c r="AC66" s="250" t="s">
        <v>213</v>
      </c>
      <c r="AD66" s="283">
        <f>89.6</f>
        <v>89.6</v>
      </c>
      <c r="AE66" s="540">
        <v>40</v>
      </c>
      <c r="AF66" s="260">
        <v>46067</v>
      </c>
      <c r="AG66" s="251">
        <v>46079</v>
      </c>
      <c r="AH66" s="335">
        <f>70+129.6</f>
        <v>199.6</v>
      </c>
      <c r="AI66" s="336" t="s">
        <v>56</v>
      </c>
      <c r="AJ66" s="345"/>
      <c r="AK66" s="338"/>
      <c r="AL66" s="339"/>
      <c r="AM66" s="338">
        <f t="shared" si="1"/>
        <v>0</v>
      </c>
      <c r="AN66" s="340" t="s">
        <v>213</v>
      </c>
      <c r="AO66" s="282">
        <f>89.6</f>
        <v>89.6</v>
      </c>
      <c r="AP66" s="540">
        <v>40</v>
      </c>
      <c r="AQ66" s="260">
        <v>46095</v>
      </c>
      <c r="AR66" s="485">
        <v>46113</v>
      </c>
      <c r="AS66" s="335">
        <v>129.6</v>
      </c>
      <c r="AT66" s="337" t="s">
        <v>56</v>
      </c>
      <c r="AU66" s="337"/>
      <c r="AV66" s="335"/>
      <c r="AW66" s="337"/>
      <c r="AX66" s="335">
        <f t="shared" si="5"/>
        <v>0</v>
      </c>
      <c r="AY66" s="340" t="s">
        <v>213</v>
      </c>
      <c r="AZ66" s="282">
        <f>89.6</f>
        <v>89.6</v>
      </c>
      <c r="BA66" s="540">
        <v>40</v>
      </c>
      <c r="BB66" s="260">
        <v>46126</v>
      </c>
      <c r="BC66" s="485">
        <v>46135.4088300232</v>
      </c>
      <c r="BD66" s="335">
        <v>129.6</v>
      </c>
      <c r="BE66" s="337" t="s">
        <v>56</v>
      </c>
      <c r="BF66" s="337"/>
      <c r="BG66" s="335"/>
      <c r="BH66" s="337"/>
      <c r="BI66" s="335">
        <f t="shared" si="3"/>
        <v>0</v>
      </c>
      <c r="BJ66" s="340"/>
      <c r="BK66" s="282">
        <f>89.6</f>
        <v>89.6</v>
      </c>
      <c r="BL66" s="540">
        <v>40</v>
      </c>
      <c r="BM66" s="260">
        <v>46156</v>
      </c>
      <c r="BN66" s="340"/>
      <c r="BO66" s="335"/>
      <c r="BP66" s="337"/>
      <c r="BQ66" s="337"/>
      <c r="BR66" s="335"/>
      <c r="BS66" s="337"/>
      <c r="BT66" s="335">
        <f t="shared" si="4"/>
        <v>129.6</v>
      </c>
      <c r="BU66" s="340"/>
    </row>
    <row r="67" customHeight="1" spans="1:73">
      <c r="A67" s="572" t="s">
        <v>883</v>
      </c>
      <c r="B67" s="38" t="s">
        <v>884</v>
      </c>
      <c r="C67" s="549" t="s">
        <v>885</v>
      </c>
      <c r="D67" s="250" t="s">
        <v>201</v>
      </c>
      <c r="E67" s="564" t="s">
        <v>226</v>
      </c>
      <c r="F67" s="585"/>
      <c r="G67" s="536" t="s">
        <v>886</v>
      </c>
      <c r="H67" s="7" t="s">
        <v>238</v>
      </c>
      <c r="I67" s="7" t="s">
        <v>220</v>
      </c>
      <c r="J67" s="7" t="s">
        <v>887</v>
      </c>
      <c r="K67" s="7" t="s">
        <v>888</v>
      </c>
      <c r="L67" s="222" t="s">
        <v>889</v>
      </c>
      <c r="M67" s="414" t="s">
        <v>890</v>
      </c>
      <c r="N67" s="54">
        <v>45026</v>
      </c>
      <c r="O67" s="327" t="s">
        <v>210</v>
      </c>
      <c r="P67" s="558">
        <v>8</v>
      </c>
      <c r="Q67" s="539">
        <v>2.5</v>
      </c>
      <c r="R67" s="282"/>
      <c r="S67" s="282">
        <f>23+21.5</f>
        <v>44.5</v>
      </c>
      <c r="T67" s="540">
        <v>0</v>
      </c>
      <c r="U67" s="260">
        <v>46031</v>
      </c>
      <c r="V67" s="350"/>
      <c r="W67" s="545"/>
      <c r="X67" s="543"/>
      <c r="Y67" s="544"/>
      <c r="Z67" s="545"/>
      <c r="AA67" s="543"/>
      <c r="AB67" s="545">
        <f t="shared" si="0"/>
        <v>47</v>
      </c>
      <c r="AC67" s="250" t="s">
        <v>213</v>
      </c>
      <c r="AD67" s="283">
        <v>23</v>
      </c>
      <c r="AE67" s="540">
        <v>0</v>
      </c>
      <c r="AF67" s="260">
        <v>46062</v>
      </c>
      <c r="AG67" s="251">
        <v>46058</v>
      </c>
      <c r="AH67" s="335">
        <f>40+30</f>
        <v>70</v>
      </c>
      <c r="AI67" s="336" t="s">
        <v>56</v>
      </c>
      <c r="AJ67" s="345"/>
      <c r="AK67" s="338"/>
      <c r="AL67" s="339"/>
      <c r="AM67" s="338">
        <f t="shared" si="1"/>
        <v>0</v>
      </c>
      <c r="AN67" s="340" t="s">
        <v>213</v>
      </c>
      <c r="AO67" s="282">
        <v>23</v>
      </c>
      <c r="AP67" s="540">
        <v>0</v>
      </c>
      <c r="AQ67" s="260">
        <v>46090</v>
      </c>
      <c r="AR67" s="340" t="s">
        <v>891</v>
      </c>
      <c r="AS67" s="335">
        <v>23</v>
      </c>
      <c r="AT67" s="337" t="s">
        <v>56</v>
      </c>
      <c r="AU67" s="337"/>
      <c r="AV67" s="335"/>
      <c r="AW67" s="337"/>
      <c r="AX67" s="335">
        <f t="shared" si="5"/>
        <v>0</v>
      </c>
      <c r="AY67" s="340" t="s">
        <v>213</v>
      </c>
      <c r="AZ67" s="282">
        <v>23</v>
      </c>
      <c r="BA67" s="540">
        <v>0</v>
      </c>
      <c r="BB67" s="260">
        <v>46121</v>
      </c>
      <c r="BC67" s="340" t="s">
        <v>892</v>
      </c>
      <c r="BD67" s="335">
        <v>23</v>
      </c>
      <c r="BE67" s="337" t="s">
        <v>56</v>
      </c>
      <c r="BF67" s="337"/>
      <c r="BG67" s="335"/>
      <c r="BH67" s="337"/>
      <c r="BI67" s="335">
        <f t="shared" si="3"/>
        <v>0</v>
      </c>
      <c r="BJ67" s="340"/>
      <c r="BK67" s="282">
        <v>23</v>
      </c>
      <c r="BL67" s="540">
        <v>0</v>
      </c>
      <c r="BM67" s="260">
        <v>46151</v>
      </c>
      <c r="BN67" s="340"/>
      <c r="BO67" s="335"/>
      <c r="BP67" s="337"/>
      <c r="BQ67" s="337"/>
      <c r="BR67" s="335"/>
      <c r="BS67" s="337"/>
      <c r="BT67" s="335">
        <f t="shared" si="4"/>
        <v>23</v>
      </c>
      <c r="BU67" s="340"/>
    </row>
    <row r="68" customHeight="1" spans="1:73">
      <c r="A68" s="566" t="s">
        <v>893</v>
      </c>
      <c r="B68" s="38" t="s">
        <v>894</v>
      </c>
      <c r="C68" s="549" t="s">
        <v>895</v>
      </c>
      <c r="D68" s="250" t="s">
        <v>201</v>
      </c>
      <c r="E68" s="607" t="s">
        <v>202</v>
      </c>
      <c r="F68" s="581"/>
      <c r="G68" s="536" t="s">
        <v>896</v>
      </c>
      <c r="H68" s="7" t="s">
        <v>238</v>
      </c>
      <c r="I68" s="7" t="s">
        <v>220</v>
      </c>
      <c r="J68" s="7" t="s">
        <v>897</v>
      </c>
      <c r="K68" s="444" t="s">
        <v>898</v>
      </c>
      <c r="L68" s="222" t="s">
        <v>899</v>
      </c>
      <c r="M68" s="565" t="s">
        <v>900</v>
      </c>
      <c r="N68" s="54">
        <v>45028</v>
      </c>
      <c r="O68" s="327" t="s">
        <v>210</v>
      </c>
      <c r="P68" s="558">
        <v>5</v>
      </c>
      <c r="Q68" s="539">
        <v>0</v>
      </c>
      <c r="R68" s="282" t="s">
        <v>901</v>
      </c>
      <c r="S68" s="282">
        <v>23</v>
      </c>
      <c r="T68" s="540">
        <v>0</v>
      </c>
      <c r="U68" s="260">
        <v>46031</v>
      </c>
      <c r="V68" s="542">
        <v>46048.7589850347</v>
      </c>
      <c r="W68" s="539">
        <v>23</v>
      </c>
      <c r="X68" s="543" t="s">
        <v>56</v>
      </c>
      <c r="Y68" s="544"/>
      <c r="Z68" s="545"/>
      <c r="AA68" s="543"/>
      <c r="AB68" s="545">
        <f t="shared" si="0"/>
        <v>0</v>
      </c>
      <c r="AC68" s="250" t="s">
        <v>902</v>
      </c>
      <c r="AD68" s="283">
        <v>23</v>
      </c>
      <c r="AE68" s="540">
        <v>0</v>
      </c>
      <c r="AF68" s="260">
        <v>46062</v>
      </c>
      <c r="AG68" s="251">
        <v>46071</v>
      </c>
      <c r="AH68" s="335">
        <v>23</v>
      </c>
      <c r="AI68" s="336" t="s">
        <v>56</v>
      </c>
      <c r="AJ68" s="337"/>
      <c r="AK68" s="335"/>
      <c r="AL68" s="336"/>
      <c r="AM68" s="335">
        <f t="shared" si="1"/>
        <v>0</v>
      </c>
      <c r="AN68" s="340" t="s">
        <v>903</v>
      </c>
      <c r="AO68" s="282">
        <v>23</v>
      </c>
      <c r="AP68" s="540">
        <v>0</v>
      </c>
      <c r="AQ68" s="260">
        <v>46090</v>
      </c>
      <c r="AR68" s="485">
        <v>46093.3805084606</v>
      </c>
      <c r="AS68" s="335">
        <v>23</v>
      </c>
      <c r="AT68" s="337" t="s">
        <v>56</v>
      </c>
      <c r="AU68" s="337"/>
      <c r="AV68" s="335"/>
      <c r="AW68" s="337"/>
      <c r="AX68" s="335">
        <f t="shared" si="5"/>
        <v>0</v>
      </c>
      <c r="AY68" s="340" t="s">
        <v>904</v>
      </c>
      <c r="AZ68" s="282">
        <v>23</v>
      </c>
      <c r="BA68" s="540">
        <v>0</v>
      </c>
      <c r="BB68" s="260">
        <v>46121</v>
      </c>
      <c r="BC68" s="340" t="s">
        <v>905</v>
      </c>
      <c r="BD68" s="335">
        <v>23</v>
      </c>
      <c r="BE68" s="337" t="s">
        <v>56</v>
      </c>
      <c r="BF68" s="337"/>
      <c r="BG68" s="335"/>
      <c r="BH68" s="337"/>
      <c r="BI68" s="335">
        <f t="shared" si="3"/>
        <v>0</v>
      </c>
      <c r="BJ68" s="340" t="s">
        <v>906</v>
      </c>
      <c r="BK68" s="282">
        <v>23</v>
      </c>
      <c r="BL68" s="540">
        <v>0</v>
      </c>
      <c r="BM68" s="260">
        <v>46151</v>
      </c>
      <c r="BN68" s="340"/>
      <c r="BO68" s="335"/>
      <c r="BP68" s="337"/>
      <c r="BQ68" s="337"/>
      <c r="BR68" s="335"/>
      <c r="BS68" s="337"/>
      <c r="BT68" s="335">
        <f t="shared" si="4"/>
        <v>23</v>
      </c>
      <c r="BU68" s="340"/>
    </row>
    <row r="69" customHeight="1" spans="1:73">
      <c r="A69" s="549" t="s">
        <v>907</v>
      </c>
      <c r="B69" s="38" t="s">
        <v>908</v>
      </c>
      <c r="C69" s="549" t="s">
        <v>909</v>
      </c>
      <c r="D69" s="250" t="s">
        <v>201</v>
      </c>
      <c r="E69" s="550" t="s">
        <v>202</v>
      </c>
      <c r="F69" s="549"/>
      <c r="G69" s="536" t="s">
        <v>910</v>
      </c>
      <c r="H69" s="7" t="s">
        <v>238</v>
      </c>
      <c r="I69" s="7" t="s">
        <v>220</v>
      </c>
      <c r="J69" s="7" t="s">
        <v>865</v>
      </c>
      <c r="K69" s="250" t="s">
        <v>911</v>
      </c>
      <c r="L69" s="250" t="s">
        <v>912</v>
      </c>
      <c r="M69" s="565" t="s">
        <v>913</v>
      </c>
      <c r="N69" s="54">
        <v>45971</v>
      </c>
      <c r="O69" s="327" t="s">
        <v>384</v>
      </c>
      <c r="P69" s="538" t="s">
        <v>242</v>
      </c>
      <c r="Q69" s="539">
        <v>0</v>
      </c>
      <c r="R69" s="282"/>
      <c r="S69" s="282">
        <v>20.54</v>
      </c>
      <c r="T69" s="540">
        <v>0</v>
      </c>
      <c r="U69" s="260">
        <v>46046</v>
      </c>
      <c r="V69" s="350" t="s">
        <v>385</v>
      </c>
      <c r="W69" s="539">
        <v>20.54</v>
      </c>
      <c r="X69" s="543" t="s">
        <v>23</v>
      </c>
      <c r="Y69" s="544"/>
      <c r="Z69" s="545"/>
      <c r="AA69" s="543"/>
      <c r="AB69" s="545">
        <f t="shared" si="0"/>
        <v>0</v>
      </c>
      <c r="AC69" s="250" t="s">
        <v>213</v>
      </c>
      <c r="AD69" s="283">
        <v>20.54</v>
      </c>
      <c r="AE69" s="540">
        <v>0</v>
      </c>
      <c r="AF69" s="260">
        <v>46077</v>
      </c>
      <c r="AG69" s="251">
        <v>46076</v>
      </c>
      <c r="AH69" s="335">
        <v>20.54</v>
      </c>
      <c r="AI69" s="336" t="s">
        <v>35</v>
      </c>
      <c r="AJ69" s="345"/>
      <c r="AK69" s="338"/>
      <c r="AL69" s="339"/>
      <c r="AM69" s="338">
        <f t="shared" si="1"/>
        <v>0</v>
      </c>
      <c r="AN69" s="340" t="s">
        <v>213</v>
      </c>
      <c r="AO69" s="282">
        <v>20.54</v>
      </c>
      <c r="AP69" s="540">
        <v>0</v>
      </c>
      <c r="AQ69" s="260">
        <v>46105</v>
      </c>
      <c r="AR69" s="340" t="s">
        <v>914</v>
      </c>
      <c r="AS69" s="335">
        <v>20.54</v>
      </c>
      <c r="AT69" s="337" t="s">
        <v>23</v>
      </c>
      <c r="AU69" s="337"/>
      <c r="AV69" s="335"/>
      <c r="AW69" s="337"/>
      <c r="AX69" s="335">
        <f t="shared" si="5"/>
        <v>0</v>
      </c>
      <c r="AY69" s="340" t="s">
        <v>213</v>
      </c>
      <c r="AZ69" s="282">
        <v>20.54</v>
      </c>
      <c r="BA69" s="540">
        <v>0</v>
      </c>
      <c r="BB69" s="260">
        <v>46136</v>
      </c>
      <c r="BC69" s="340" t="s">
        <v>321</v>
      </c>
      <c r="BD69" s="335">
        <v>20.54</v>
      </c>
      <c r="BE69" s="337" t="s">
        <v>23</v>
      </c>
      <c r="BF69" s="337"/>
      <c r="BG69" s="335"/>
      <c r="BH69" s="337"/>
      <c r="BI69" s="335">
        <f t="shared" si="3"/>
        <v>0</v>
      </c>
      <c r="BJ69" s="340"/>
      <c r="BK69" s="282">
        <v>20.54</v>
      </c>
      <c r="BL69" s="540">
        <v>0</v>
      </c>
      <c r="BM69" s="260">
        <v>46166</v>
      </c>
      <c r="BN69" s="340"/>
      <c r="BO69" s="335"/>
      <c r="BP69" s="337"/>
      <c r="BQ69" s="337"/>
      <c r="BR69" s="335"/>
      <c r="BS69" s="337"/>
      <c r="BT69" s="335">
        <f t="shared" si="4"/>
        <v>20.54</v>
      </c>
      <c r="BU69" s="340"/>
    </row>
    <row r="70" customHeight="1" spans="1:73">
      <c r="A70" s="549" t="s">
        <v>915</v>
      </c>
      <c r="B70" s="38" t="s">
        <v>916</v>
      </c>
      <c r="C70" s="549" t="s">
        <v>917</v>
      </c>
      <c r="D70" s="250" t="s">
        <v>201</v>
      </c>
      <c r="E70" s="550" t="s">
        <v>226</v>
      </c>
      <c r="F70" s="549"/>
      <c r="G70" s="536" t="s">
        <v>918</v>
      </c>
      <c r="H70" s="7" t="s">
        <v>238</v>
      </c>
      <c r="I70" s="7" t="s">
        <v>220</v>
      </c>
      <c r="J70" s="7" t="s">
        <v>391</v>
      </c>
      <c r="K70" s="7" t="s">
        <v>919</v>
      </c>
      <c r="L70" s="222" t="s">
        <v>920</v>
      </c>
      <c r="M70" s="49"/>
      <c r="N70" s="54">
        <v>45295</v>
      </c>
      <c r="O70" s="327" t="s">
        <v>384</v>
      </c>
      <c r="P70" s="538" t="s">
        <v>242</v>
      </c>
      <c r="Q70" s="539">
        <v>0</v>
      </c>
      <c r="R70" s="282"/>
      <c r="S70" s="282">
        <v>20.54</v>
      </c>
      <c r="T70" s="540">
        <v>0</v>
      </c>
      <c r="U70" s="260">
        <v>46023</v>
      </c>
      <c r="V70" s="331">
        <v>46048</v>
      </c>
      <c r="W70" s="539">
        <v>20.5</v>
      </c>
      <c r="X70" s="543" t="s">
        <v>23</v>
      </c>
      <c r="Y70" s="544"/>
      <c r="Z70" s="545"/>
      <c r="AA70" s="543"/>
      <c r="AB70" s="545">
        <f t="shared" si="0"/>
        <v>0.0399999999999991</v>
      </c>
      <c r="AC70" s="250" t="s">
        <v>213</v>
      </c>
      <c r="AD70" s="283">
        <v>20.54</v>
      </c>
      <c r="AE70" s="540">
        <v>0</v>
      </c>
      <c r="AF70" s="260">
        <v>46054</v>
      </c>
      <c r="AG70" s="251">
        <v>46076</v>
      </c>
      <c r="AH70" s="335">
        <v>20.54</v>
      </c>
      <c r="AI70" s="336" t="s">
        <v>23</v>
      </c>
      <c r="AJ70" s="345"/>
      <c r="AK70" s="338"/>
      <c r="AL70" s="339"/>
      <c r="AM70" s="338">
        <f t="shared" si="1"/>
        <v>0.0399999999999991</v>
      </c>
      <c r="AN70" s="340" t="s">
        <v>213</v>
      </c>
      <c r="AO70" s="282">
        <v>20.54</v>
      </c>
      <c r="AP70" s="540">
        <v>0</v>
      </c>
      <c r="AQ70" s="260">
        <v>46082</v>
      </c>
      <c r="AR70" s="340" t="s">
        <v>214</v>
      </c>
      <c r="AS70" s="335">
        <v>20</v>
      </c>
      <c r="AT70" s="337" t="s">
        <v>35</v>
      </c>
      <c r="AU70" s="337"/>
      <c r="AV70" s="335"/>
      <c r="AW70" s="337"/>
      <c r="AX70" s="335">
        <f t="shared" si="5"/>
        <v>0.579999999999998</v>
      </c>
      <c r="AY70" s="340" t="s">
        <v>213</v>
      </c>
      <c r="AZ70" s="282">
        <v>20.54</v>
      </c>
      <c r="BA70" s="540">
        <v>0</v>
      </c>
      <c r="BB70" s="260">
        <v>46113</v>
      </c>
      <c r="BC70" s="340" t="s">
        <v>223</v>
      </c>
      <c r="BD70" s="335">
        <v>21.12</v>
      </c>
      <c r="BE70" s="337" t="s">
        <v>56</v>
      </c>
      <c r="BF70" s="337"/>
      <c r="BG70" s="335"/>
      <c r="BH70" s="337"/>
      <c r="BI70" s="335">
        <f t="shared" si="3"/>
        <v>0</v>
      </c>
      <c r="BJ70" s="340"/>
      <c r="BK70" s="282">
        <v>20.54</v>
      </c>
      <c r="BL70" s="540">
        <v>0</v>
      </c>
      <c r="BM70" s="260">
        <v>46143</v>
      </c>
      <c r="BN70" s="340"/>
      <c r="BO70" s="335"/>
      <c r="BP70" s="337"/>
      <c r="BQ70" s="337"/>
      <c r="BR70" s="335"/>
      <c r="BS70" s="337"/>
      <c r="BT70" s="335">
        <f t="shared" si="4"/>
        <v>20.54</v>
      </c>
      <c r="BU70" s="340"/>
    </row>
    <row r="71" customHeight="1" spans="1:73">
      <c r="A71" s="549" t="s">
        <v>921</v>
      </c>
      <c r="B71" s="38" t="s">
        <v>922</v>
      </c>
      <c r="C71" s="549" t="s">
        <v>923</v>
      </c>
      <c r="D71" s="250" t="s">
        <v>472</v>
      </c>
      <c r="E71" s="550" t="s">
        <v>226</v>
      </c>
      <c r="F71" s="550" t="s">
        <v>170</v>
      </c>
      <c r="G71" s="536" t="s">
        <v>924</v>
      </c>
      <c r="H71" s="7" t="s">
        <v>238</v>
      </c>
      <c r="I71" s="7" t="s">
        <v>220</v>
      </c>
      <c r="J71" s="7" t="s">
        <v>865</v>
      </c>
      <c r="K71" s="7"/>
      <c r="L71" s="222" t="s">
        <v>925</v>
      </c>
      <c r="M71" s="414" t="s">
        <v>926</v>
      </c>
      <c r="N71" s="54">
        <v>45728</v>
      </c>
      <c r="O71" s="327" t="s">
        <v>384</v>
      </c>
      <c r="P71" s="538" t="s">
        <v>242</v>
      </c>
      <c r="Q71" s="539">
        <v>0</v>
      </c>
      <c r="R71" s="282"/>
      <c r="S71" s="282">
        <v>20.54</v>
      </c>
      <c r="T71" s="540">
        <v>0</v>
      </c>
      <c r="U71" s="260">
        <v>46041</v>
      </c>
      <c r="V71" s="350"/>
      <c r="W71" s="545"/>
      <c r="X71" s="543"/>
      <c r="Y71" s="544"/>
      <c r="Z71" s="545"/>
      <c r="AA71" s="543"/>
      <c r="AB71" s="545">
        <f t="shared" si="0"/>
        <v>20.54</v>
      </c>
      <c r="AC71" s="250" t="s">
        <v>213</v>
      </c>
      <c r="AD71" s="283">
        <v>10</v>
      </c>
      <c r="AE71" s="540">
        <v>0</v>
      </c>
      <c r="AF71" s="260">
        <v>46072</v>
      </c>
      <c r="AH71" s="338"/>
      <c r="AI71" s="339"/>
      <c r="AJ71" s="345"/>
      <c r="AK71" s="338"/>
      <c r="AL71" s="339"/>
      <c r="AM71" s="338">
        <f t="shared" si="1"/>
        <v>30.54</v>
      </c>
      <c r="AN71" s="340" t="s">
        <v>213</v>
      </c>
      <c r="AO71" s="282">
        <v>10</v>
      </c>
      <c r="AP71" s="540">
        <v>0</v>
      </c>
      <c r="AQ71" s="260">
        <v>46100</v>
      </c>
      <c r="AR71" s="340"/>
      <c r="AS71" s="335"/>
      <c r="AT71" s="337"/>
      <c r="AU71" s="337"/>
      <c r="AV71" s="335"/>
      <c r="AW71" s="337"/>
      <c r="AX71" s="335">
        <f t="shared" si="5"/>
        <v>40.54</v>
      </c>
      <c r="AY71" s="340" t="s">
        <v>213</v>
      </c>
      <c r="AZ71" s="282">
        <v>10</v>
      </c>
      <c r="BA71" s="540">
        <v>0</v>
      </c>
      <c r="BB71" s="260">
        <v>46131</v>
      </c>
      <c r="BC71" s="340"/>
      <c r="BD71" s="335"/>
      <c r="BE71" s="337"/>
      <c r="BF71" s="337"/>
      <c r="BG71" s="335"/>
      <c r="BH71" s="337"/>
      <c r="BI71" s="335">
        <f t="shared" si="3"/>
        <v>50.54</v>
      </c>
      <c r="BJ71" s="340"/>
      <c r="BK71" s="282">
        <v>10</v>
      </c>
      <c r="BL71" s="540">
        <v>0</v>
      </c>
      <c r="BM71" s="260">
        <v>46161</v>
      </c>
      <c r="BN71" s="340"/>
      <c r="BO71" s="335"/>
      <c r="BP71" s="337"/>
      <c r="BQ71" s="337"/>
      <c r="BR71" s="335"/>
      <c r="BS71" s="337"/>
      <c r="BT71" s="335">
        <f t="shared" si="4"/>
        <v>60.54</v>
      </c>
      <c r="BU71" s="340"/>
    </row>
    <row r="72" customHeight="1" spans="1:73">
      <c r="A72" s="563" t="s">
        <v>927</v>
      </c>
      <c r="B72" s="608" t="s">
        <v>928</v>
      </c>
      <c r="C72" s="549" t="s">
        <v>929</v>
      </c>
      <c r="D72" s="250" t="s">
        <v>201</v>
      </c>
      <c r="E72" s="549"/>
      <c r="F72" s="549"/>
      <c r="G72" s="222" t="s">
        <v>930</v>
      </c>
      <c r="H72" s="7" t="s">
        <v>238</v>
      </c>
      <c r="I72" s="7" t="s">
        <v>220</v>
      </c>
      <c r="J72" s="7" t="s">
        <v>865</v>
      </c>
      <c r="K72" s="7" t="s">
        <v>931</v>
      </c>
      <c r="L72" s="222" t="s">
        <v>932</v>
      </c>
      <c r="M72" s="298" t="s">
        <v>933</v>
      </c>
      <c r="N72" s="54">
        <v>45959</v>
      </c>
      <c r="O72" s="327" t="s">
        <v>384</v>
      </c>
      <c r="P72" s="538" t="s">
        <v>242</v>
      </c>
      <c r="Q72" s="539">
        <v>0</v>
      </c>
      <c r="R72" s="282"/>
      <c r="S72" s="282">
        <v>20.54</v>
      </c>
      <c r="T72" s="540">
        <v>0</v>
      </c>
      <c r="U72" s="260">
        <v>46045</v>
      </c>
      <c r="V72" s="350" t="s">
        <v>385</v>
      </c>
      <c r="W72" s="539">
        <v>20.55</v>
      </c>
      <c r="X72" s="543" t="s">
        <v>56</v>
      </c>
      <c r="Y72" s="544"/>
      <c r="Z72" s="545"/>
      <c r="AA72" s="543"/>
      <c r="AB72" s="545">
        <f t="shared" si="0"/>
        <v>-0.0100000000000016</v>
      </c>
      <c r="AC72" s="250" t="s">
        <v>213</v>
      </c>
      <c r="AD72" s="283">
        <v>20.54</v>
      </c>
      <c r="AE72" s="540">
        <v>0</v>
      </c>
      <c r="AF72" s="260">
        <v>46076</v>
      </c>
      <c r="AH72" s="338"/>
      <c r="AI72" s="339"/>
      <c r="AJ72" s="345"/>
      <c r="AK72" s="338"/>
      <c r="AL72" s="339"/>
      <c r="AM72" s="338">
        <f t="shared" si="1"/>
        <v>20.53</v>
      </c>
      <c r="AN72" s="340" t="s">
        <v>213</v>
      </c>
      <c r="AO72" s="282">
        <v>20.54</v>
      </c>
      <c r="AP72" s="540">
        <v>0</v>
      </c>
      <c r="AQ72" s="260">
        <v>46104</v>
      </c>
      <c r="AR72" s="340"/>
      <c r="AS72" s="335"/>
      <c r="AT72" s="337"/>
      <c r="AU72" s="337"/>
      <c r="AV72" s="335"/>
      <c r="AW72" s="337"/>
      <c r="AX72" s="335">
        <f t="shared" si="5"/>
        <v>41.07</v>
      </c>
      <c r="AY72" s="340" t="s">
        <v>213</v>
      </c>
      <c r="AZ72" s="282">
        <v>20.54</v>
      </c>
      <c r="BA72" s="540">
        <v>0</v>
      </c>
      <c r="BB72" s="260">
        <v>46135</v>
      </c>
      <c r="BC72" s="340"/>
      <c r="BD72" s="335"/>
      <c r="BE72" s="337"/>
      <c r="BF72" s="337"/>
      <c r="BG72" s="335"/>
      <c r="BH72" s="337"/>
      <c r="BI72" s="335">
        <f t="shared" si="3"/>
        <v>61.61</v>
      </c>
      <c r="BJ72" s="340"/>
      <c r="BK72" s="282">
        <v>20.54</v>
      </c>
      <c r="BL72" s="540">
        <v>0</v>
      </c>
      <c r="BM72" s="260">
        <v>46165</v>
      </c>
      <c r="BN72" s="340"/>
      <c r="BO72" s="335"/>
      <c r="BP72" s="337"/>
      <c r="BQ72" s="337"/>
      <c r="BR72" s="335"/>
      <c r="BS72" s="337"/>
      <c r="BT72" s="335">
        <f t="shared" si="4"/>
        <v>82.15</v>
      </c>
      <c r="BU72" s="340"/>
    </row>
    <row r="73" customHeight="1" spans="1:73">
      <c r="A73" s="549" t="s">
        <v>934</v>
      </c>
      <c r="B73" s="598" t="s">
        <v>935</v>
      </c>
      <c r="C73" s="549" t="s">
        <v>936</v>
      </c>
      <c r="D73" s="250" t="s">
        <v>201</v>
      </c>
      <c r="E73" s="550" t="s">
        <v>202</v>
      </c>
      <c r="F73" s="549"/>
      <c r="G73" s="222" t="s">
        <v>937</v>
      </c>
      <c r="H73" s="7" t="s">
        <v>238</v>
      </c>
      <c r="I73" s="7" t="s">
        <v>220</v>
      </c>
      <c r="J73" s="7" t="s">
        <v>865</v>
      </c>
      <c r="K73" s="7" t="s">
        <v>938</v>
      </c>
      <c r="L73" s="222" t="s">
        <v>939</v>
      </c>
      <c r="M73" s="415" t="s">
        <v>940</v>
      </c>
      <c r="N73" s="54">
        <v>45521</v>
      </c>
      <c r="O73" s="327" t="s">
        <v>384</v>
      </c>
      <c r="P73" s="538" t="s">
        <v>242</v>
      </c>
      <c r="Q73" s="539">
        <v>0</v>
      </c>
      <c r="R73" s="282"/>
      <c r="S73" s="282">
        <v>20.54</v>
      </c>
      <c r="T73" s="540">
        <v>0</v>
      </c>
      <c r="U73" s="260">
        <v>46032</v>
      </c>
      <c r="V73" s="331">
        <v>46033</v>
      </c>
      <c r="W73" s="539">
        <v>20.54</v>
      </c>
      <c r="X73" s="543" t="s">
        <v>35</v>
      </c>
      <c r="Y73" s="544"/>
      <c r="Z73" s="545"/>
      <c r="AA73" s="543"/>
      <c r="AB73" s="545">
        <f t="shared" si="0"/>
        <v>0</v>
      </c>
      <c r="AC73" s="250" t="s">
        <v>213</v>
      </c>
      <c r="AD73" s="283">
        <v>20.54</v>
      </c>
      <c r="AE73" s="540">
        <v>0</v>
      </c>
      <c r="AF73" s="260">
        <v>46063</v>
      </c>
      <c r="AG73" s="251">
        <v>46063</v>
      </c>
      <c r="AH73" s="335">
        <v>20.54</v>
      </c>
      <c r="AI73" s="336" t="s">
        <v>35</v>
      </c>
      <c r="AJ73" s="345"/>
      <c r="AK73" s="338"/>
      <c r="AL73" s="339"/>
      <c r="AM73" s="338">
        <f t="shared" si="1"/>
        <v>0</v>
      </c>
      <c r="AN73" s="340" t="s">
        <v>213</v>
      </c>
      <c r="AO73" s="282">
        <v>20.54</v>
      </c>
      <c r="AP73" s="540">
        <v>0</v>
      </c>
      <c r="AQ73" s="260">
        <v>46091</v>
      </c>
      <c r="AR73" s="340" t="s">
        <v>289</v>
      </c>
      <c r="AS73" s="335">
        <v>20.54</v>
      </c>
      <c r="AT73" s="337" t="s">
        <v>35</v>
      </c>
      <c r="AU73" s="337"/>
      <c r="AV73" s="335"/>
      <c r="AW73" s="337"/>
      <c r="AX73" s="335">
        <f t="shared" si="5"/>
        <v>0</v>
      </c>
      <c r="AY73" s="340" t="s">
        <v>213</v>
      </c>
      <c r="AZ73" s="282">
        <v>20.54</v>
      </c>
      <c r="BA73" s="540">
        <v>0</v>
      </c>
      <c r="BB73" s="260">
        <v>46122</v>
      </c>
      <c r="BC73" s="340" t="s">
        <v>510</v>
      </c>
      <c r="BD73" s="335">
        <v>20.54</v>
      </c>
      <c r="BE73" s="337" t="s">
        <v>35</v>
      </c>
      <c r="BF73" s="337"/>
      <c r="BG73" s="335"/>
      <c r="BH73" s="337"/>
      <c r="BI73" s="335">
        <f t="shared" si="3"/>
        <v>0</v>
      </c>
      <c r="BJ73" s="340"/>
      <c r="BK73" s="282">
        <v>20.54</v>
      </c>
      <c r="BL73" s="540">
        <v>0</v>
      </c>
      <c r="BM73" s="260">
        <v>46152</v>
      </c>
      <c r="BN73" s="340"/>
      <c r="BO73" s="335"/>
      <c r="BP73" s="337"/>
      <c r="BQ73" s="337"/>
      <c r="BR73" s="335"/>
      <c r="BS73" s="337"/>
      <c r="BT73" s="335">
        <f t="shared" si="4"/>
        <v>20.54</v>
      </c>
      <c r="BU73" s="340"/>
    </row>
    <row r="74" customHeight="1" spans="1:73">
      <c r="A74" s="549" t="s">
        <v>941</v>
      </c>
      <c r="B74" s="598" t="s">
        <v>942</v>
      </c>
      <c r="C74" s="549" t="s">
        <v>943</v>
      </c>
      <c r="D74" s="250" t="s">
        <v>201</v>
      </c>
      <c r="E74" s="550" t="s">
        <v>202</v>
      </c>
      <c r="F74" s="549" t="s">
        <v>227</v>
      </c>
      <c r="G74" s="536" t="s">
        <v>944</v>
      </c>
      <c r="H74" s="7" t="s">
        <v>238</v>
      </c>
      <c r="I74" s="7" t="s">
        <v>220</v>
      </c>
      <c r="J74" s="7" t="s">
        <v>865</v>
      </c>
      <c r="K74" s="7" t="s">
        <v>945</v>
      </c>
      <c r="L74" s="222" t="s">
        <v>946</v>
      </c>
      <c r="M74" s="49"/>
      <c r="N74" s="54">
        <v>46146</v>
      </c>
      <c r="O74" s="327" t="s">
        <v>384</v>
      </c>
      <c r="P74" s="538" t="s">
        <v>242</v>
      </c>
      <c r="Q74" s="539">
        <v>0</v>
      </c>
      <c r="R74" s="282"/>
      <c r="S74" s="282">
        <v>20.54</v>
      </c>
      <c r="T74" s="540">
        <v>0</v>
      </c>
      <c r="U74" s="260">
        <v>46031</v>
      </c>
      <c r="V74" s="331">
        <v>46044</v>
      </c>
      <c r="W74" s="539">
        <v>20.54</v>
      </c>
      <c r="X74" s="543" t="s">
        <v>56</v>
      </c>
      <c r="Y74" s="544"/>
      <c r="Z74" s="545"/>
      <c r="AA74" s="543"/>
      <c r="AB74" s="545">
        <f t="shared" si="0"/>
        <v>0</v>
      </c>
      <c r="AC74" s="250" t="s">
        <v>213</v>
      </c>
      <c r="AD74" s="283">
        <v>20.54</v>
      </c>
      <c r="AE74" s="540">
        <v>0</v>
      </c>
      <c r="AF74" s="260">
        <v>46062</v>
      </c>
      <c r="AG74" s="485">
        <v>46073.7645955903</v>
      </c>
      <c r="AH74" s="335">
        <v>20.54</v>
      </c>
      <c r="AI74" s="336" t="s">
        <v>35</v>
      </c>
      <c r="AJ74" s="345"/>
      <c r="AK74" s="338"/>
      <c r="AL74" s="339"/>
      <c r="AM74" s="338">
        <f t="shared" si="1"/>
        <v>0</v>
      </c>
      <c r="AN74" s="340" t="s">
        <v>213</v>
      </c>
      <c r="AO74" s="282">
        <v>20.54</v>
      </c>
      <c r="AP74" s="540">
        <v>0</v>
      </c>
      <c r="AQ74" s="260">
        <v>46090</v>
      </c>
      <c r="AR74" s="340" t="s">
        <v>267</v>
      </c>
      <c r="AS74" s="335">
        <v>20.55</v>
      </c>
      <c r="AT74" s="337" t="s">
        <v>56</v>
      </c>
      <c r="AU74" s="337"/>
      <c r="AV74" s="335"/>
      <c r="AW74" s="337"/>
      <c r="AX74" s="335">
        <f t="shared" si="5"/>
        <v>-0.0100000000000016</v>
      </c>
      <c r="AY74" s="340" t="s">
        <v>213</v>
      </c>
      <c r="AZ74" s="282">
        <v>20.54</v>
      </c>
      <c r="BA74" s="540">
        <v>0</v>
      </c>
      <c r="BB74" s="260">
        <v>46121</v>
      </c>
      <c r="BC74" s="340" t="s">
        <v>223</v>
      </c>
      <c r="BD74" s="335">
        <v>20.53</v>
      </c>
      <c r="BE74" s="337" t="s">
        <v>56</v>
      </c>
      <c r="BF74" s="337"/>
      <c r="BG74" s="335"/>
      <c r="BH74" s="337"/>
      <c r="BI74" s="335">
        <f t="shared" si="3"/>
        <v>0</v>
      </c>
      <c r="BJ74" s="340"/>
      <c r="BK74" s="282">
        <v>20.54</v>
      </c>
      <c r="BL74" s="540">
        <v>0</v>
      </c>
      <c r="BM74" s="260">
        <v>46151</v>
      </c>
      <c r="BN74" s="340"/>
      <c r="BO74" s="335"/>
      <c r="BP74" s="337"/>
      <c r="BQ74" s="337"/>
      <c r="BR74" s="335"/>
      <c r="BS74" s="337"/>
      <c r="BT74" s="335">
        <f t="shared" si="4"/>
        <v>20.54</v>
      </c>
      <c r="BU74" s="340" t="s">
        <v>947</v>
      </c>
    </row>
    <row r="75" customHeight="1" spans="1:73">
      <c r="A75" s="549" t="s">
        <v>948</v>
      </c>
      <c r="B75" s="609" t="s">
        <v>949</v>
      </c>
      <c r="C75" s="549" t="s">
        <v>950</v>
      </c>
      <c r="D75" s="250" t="s">
        <v>201</v>
      </c>
      <c r="E75" s="550" t="s">
        <v>202</v>
      </c>
      <c r="F75" s="550" t="s">
        <v>170</v>
      </c>
      <c r="G75" s="536" t="s">
        <v>951</v>
      </c>
      <c r="H75" s="7" t="s">
        <v>238</v>
      </c>
      <c r="I75" s="7" t="s">
        <v>220</v>
      </c>
      <c r="J75" s="7" t="s">
        <v>865</v>
      </c>
      <c r="K75" s="7" t="s">
        <v>952</v>
      </c>
      <c r="L75" s="222" t="s">
        <v>953</v>
      </c>
      <c r="M75" s="7"/>
      <c r="N75" s="54">
        <v>45901</v>
      </c>
      <c r="O75" s="327" t="s">
        <v>384</v>
      </c>
      <c r="P75" s="538" t="s">
        <v>242</v>
      </c>
      <c r="Q75" s="539">
        <v>0</v>
      </c>
      <c r="R75" s="282"/>
      <c r="S75" s="282">
        <v>20.54</v>
      </c>
      <c r="T75" s="540">
        <v>2</v>
      </c>
      <c r="U75" s="260">
        <v>46023</v>
      </c>
      <c r="V75" s="331">
        <v>46030</v>
      </c>
      <c r="W75" s="610">
        <v>20.54</v>
      </c>
      <c r="X75" s="543" t="s">
        <v>23</v>
      </c>
      <c r="Y75" s="544"/>
      <c r="Z75" s="539">
        <v>2</v>
      </c>
      <c r="AA75" s="543" t="s">
        <v>23</v>
      </c>
      <c r="AB75" s="545">
        <f t="shared" si="0"/>
        <v>0</v>
      </c>
      <c r="AC75" s="250" t="s">
        <v>213</v>
      </c>
      <c r="AD75" s="283">
        <v>20.54</v>
      </c>
      <c r="AE75" s="540">
        <v>2</v>
      </c>
      <c r="AF75" s="260">
        <v>46054</v>
      </c>
      <c r="AG75" s="251">
        <v>46062</v>
      </c>
      <c r="AH75" s="335">
        <v>20.54</v>
      </c>
      <c r="AI75" s="336" t="s">
        <v>23</v>
      </c>
      <c r="AJ75" s="345"/>
      <c r="AK75" s="335">
        <v>2</v>
      </c>
      <c r="AL75" s="336" t="s">
        <v>23</v>
      </c>
      <c r="AM75" s="338">
        <f t="shared" si="1"/>
        <v>0</v>
      </c>
      <c r="AN75" s="340" t="s">
        <v>213</v>
      </c>
      <c r="AO75" s="282">
        <v>20.54</v>
      </c>
      <c r="AP75" s="540">
        <v>2</v>
      </c>
      <c r="AQ75" s="260">
        <v>46082</v>
      </c>
      <c r="AR75" s="340" t="s">
        <v>522</v>
      </c>
      <c r="AS75" s="335">
        <v>20.54</v>
      </c>
      <c r="AT75" s="337" t="s">
        <v>23</v>
      </c>
      <c r="AU75" s="337"/>
      <c r="AV75" s="335">
        <v>2</v>
      </c>
      <c r="AW75" s="337" t="s">
        <v>23</v>
      </c>
      <c r="AX75" s="335">
        <f t="shared" si="5"/>
        <v>0</v>
      </c>
      <c r="AY75" s="340" t="s">
        <v>213</v>
      </c>
      <c r="AZ75" s="282">
        <v>20.54</v>
      </c>
      <c r="BA75" s="540">
        <v>2</v>
      </c>
      <c r="BB75" s="260">
        <v>46113</v>
      </c>
      <c r="BC75" s="340" t="s">
        <v>247</v>
      </c>
      <c r="BD75" s="335">
        <v>22.54</v>
      </c>
      <c r="BE75" s="337" t="s">
        <v>23</v>
      </c>
      <c r="BF75" s="337"/>
      <c r="BG75" s="335"/>
      <c r="BH75" s="337"/>
      <c r="BI75" s="335">
        <f t="shared" si="3"/>
        <v>0</v>
      </c>
      <c r="BJ75" s="340"/>
      <c r="BK75" s="282">
        <v>20.54</v>
      </c>
      <c r="BL75" s="540">
        <v>2</v>
      </c>
      <c r="BM75" s="260">
        <v>46143</v>
      </c>
      <c r="BN75" s="340" t="s">
        <v>954</v>
      </c>
      <c r="BO75" s="335">
        <v>20.54</v>
      </c>
      <c r="BP75" s="337" t="s">
        <v>23</v>
      </c>
      <c r="BQ75" s="337"/>
      <c r="BR75" s="335">
        <v>2</v>
      </c>
      <c r="BS75" s="337" t="s">
        <v>23</v>
      </c>
      <c r="BT75" s="335">
        <f t="shared" si="4"/>
        <v>0</v>
      </c>
      <c r="BU75" s="340"/>
    </row>
    <row r="76" customHeight="1" spans="1:73">
      <c r="A76" s="549" t="s">
        <v>955</v>
      </c>
      <c r="B76" s="143" t="s">
        <v>956</v>
      </c>
      <c r="C76" s="549" t="s">
        <v>957</v>
      </c>
      <c r="D76" s="250" t="s">
        <v>201</v>
      </c>
      <c r="E76" s="550" t="s">
        <v>202</v>
      </c>
      <c r="F76" s="549"/>
      <c r="G76" s="536" t="s">
        <v>958</v>
      </c>
      <c r="H76" s="7" t="s">
        <v>238</v>
      </c>
      <c r="I76" s="7" t="s">
        <v>220</v>
      </c>
      <c r="J76" s="7" t="s">
        <v>865</v>
      </c>
      <c r="K76" s="7" t="s">
        <v>959</v>
      </c>
      <c r="L76" s="222" t="s">
        <v>960</v>
      </c>
      <c r="M76" s="414" t="s">
        <v>961</v>
      </c>
      <c r="N76" s="54">
        <v>45047</v>
      </c>
      <c r="O76" s="327" t="s">
        <v>384</v>
      </c>
      <c r="P76" s="538" t="s">
        <v>242</v>
      </c>
      <c r="Q76" s="539">
        <v>0</v>
      </c>
      <c r="R76" s="282"/>
      <c r="S76" s="282">
        <v>60.2</v>
      </c>
      <c r="T76" s="540">
        <v>4.8</v>
      </c>
      <c r="U76" s="260">
        <v>46036</v>
      </c>
      <c r="V76" s="331">
        <v>46041</v>
      </c>
      <c r="W76" s="539">
        <v>60.2</v>
      </c>
      <c r="X76" s="543" t="s">
        <v>56</v>
      </c>
      <c r="Y76" s="544"/>
      <c r="Z76" s="539">
        <v>4.8</v>
      </c>
      <c r="AA76" s="543" t="s">
        <v>56</v>
      </c>
      <c r="AB76" s="545">
        <f t="shared" si="0"/>
        <v>0</v>
      </c>
      <c r="AC76" s="250" t="s">
        <v>213</v>
      </c>
      <c r="AD76" s="283">
        <f>40.2+15+5+5</f>
        <v>65.2</v>
      </c>
      <c r="AE76" s="540">
        <v>4.8</v>
      </c>
      <c r="AF76" s="260">
        <v>46067</v>
      </c>
      <c r="AG76" s="251">
        <v>46056</v>
      </c>
      <c r="AH76" s="335">
        <v>70</v>
      </c>
      <c r="AI76" s="336" t="s">
        <v>56</v>
      </c>
      <c r="AJ76" s="345"/>
      <c r="AK76" s="338"/>
      <c r="AL76" s="339"/>
      <c r="AM76" s="338">
        <f t="shared" si="1"/>
        <v>0</v>
      </c>
      <c r="AN76" s="340" t="s">
        <v>213</v>
      </c>
      <c r="AO76" s="282">
        <f>40.2</f>
        <v>40.2</v>
      </c>
      <c r="AP76" s="540">
        <v>4.8</v>
      </c>
      <c r="AQ76" s="260">
        <v>46095</v>
      </c>
      <c r="AR76" s="485">
        <v>46109.4605228935</v>
      </c>
      <c r="AS76" s="335">
        <v>45</v>
      </c>
      <c r="AT76" s="337" t="s">
        <v>56</v>
      </c>
      <c r="AU76" s="337"/>
      <c r="AV76" s="335"/>
      <c r="AW76" s="337"/>
      <c r="AX76" s="335">
        <f t="shared" si="5"/>
        <v>0</v>
      </c>
      <c r="AY76" s="340" t="s">
        <v>213</v>
      </c>
      <c r="AZ76" s="282">
        <f>40.2</f>
        <v>40.2</v>
      </c>
      <c r="BA76" s="540">
        <v>4.8</v>
      </c>
      <c r="BB76" s="260">
        <v>46126</v>
      </c>
      <c r="BC76" s="340" t="s">
        <v>770</v>
      </c>
      <c r="BD76" s="335">
        <v>45</v>
      </c>
      <c r="BE76" s="337" t="s">
        <v>56</v>
      </c>
      <c r="BF76" s="337"/>
      <c r="BG76" s="335"/>
      <c r="BH76" s="337"/>
      <c r="BI76" s="335">
        <f t="shared" si="3"/>
        <v>0</v>
      </c>
      <c r="BJ76" s="340"/>
      <c r="BK76" s="282">
        <f>40.2</f>
        <v>40.2</v>
      </c>
      <c r="BL76" s="540">
        <v>4.8</v>
      </c>
      <c r="BM76" s="260">
        <v>46156</v>
      </c>
      <c r="BN76" s="340"/>
      <c r="BO76" s="335"/>
      <c r="BP76" s="337"/>
      <c r="BQ76" s="337"/>
      <c r="BR76" s="335"/>
      <c r="BS76" s="337"/>
      <c r="BT76" s="335">
        <f t="shared" si="4"/>
        <v>45</v>
      </c>
      <c r="BU76" s="340"/>
    </row>
    <row r="77" customHeight="1" spans="1:73">
      <c r="A77" s="549" t="s">
        <v>962</v>
      </c>
      <c r="B77" s="611" t="s">
        <v>963</v>
      </c>
      <c r="C77" s="549" t="s">
        <v>964</v>
      </c>
      <c r="D77" s="250" t="s">
        <v>201</v>
      </c>
      <c r="E77" s="550" t="s">
        <v>202</v>
      </c>
      <c r="F77" s="549"/>
      <c r="G77" s="222" t="s">
        <v>965</v>
      </c>
      <c r="H77" s="7" t="s">
        <v>238</v>
      </c>
      <c r="I77" s="7" t="s">
        <v>220</v>
      </c>
      <c r="J77" s="7" t="s">
        <v>865</v>
      </c>
      <c r="K77" s="7"/>
      <c r="L77" s="222" t="s">
        <v>966</v>
      </c>
      <c r="M77" s="7" t="s">
        <v>967</v>
      </c>
      <c r="N77" s="54">
        <v>45738</v>
      </c>
      <c r="O77" s="327" t="s">
        <v>384</v>
      </c>
      <c r="P77" s="538" t="s">
        <v>242</v>
      </c>
      <c r="Q77" s="539">
        <v>0</v>
      </c>
      <c r="R77" s="282" t="s">
        <v>968</v>
      </c>
      <c r="S77" s="282">
        <v>20.54</v>
      </c>
      <c r="T77" s="540">
        <v>0</v>
      </c>
      <c r="U77" s="260">
        <v>46047</v>
      </c>
      <c r="V77" s="331">
        <v>46035</v>
      </c>
      <c r="W77" s="539">
        <v>20.54</v>
      </c>
      <c r="X77" s="543" t="s">
        <v>56</v>
      </c>
      <c r="Y77" s="544"/>
      <c r="Z77" s="545"/>
      <c r="AA77" s="543"/>
      <c r="AB77" s="545">
        <f t="shared" si="0"/>
        <v>0</v>
      </c>
      <c r="AC77" s="250" t="s">
        <v>213</v>
      </c>
      <c r="AD77" s="283">
        <v>20.54</v>
      </c>
      <c r="AE77" s="540">
        <v>0</v>
      </c>
      <c r="AF77" s="260">
        <v>46078</v>
      </c>
      <c r="AG77" s="485">
        <v>46065.6708446296</v>
      </c>
      <c r="AH77" s="335">
        <v>20.54</v>
      </c>
      <c r="AI77" s="336" t="s">
        <v>56</v>
      </c>
      <c r="AJ77" s="345"/>
      <c r="AK77" s="338"/>
      <c r="AL77" s="339"/>
      <c r="AM77" s="338">
        <f t="shared" si="1"/>
        <v>0</v>
      </c>
      <c r="AN77" s="340" t="s">
        <v>969</v>
      </c>
      <c r="AO77" s="282">
        <v>20.54</v>
      </c>
      <c r="AP77" s="540">
        <v>0</v>
      </c>
      <c r="AQ77" s="260">
        <v>46106</v>
      </c>
      <c r="AR77" s="340" t="s">
        <v>267</v>
      </c>
      <c r="AS77" s="335">
        <v>20.54</v>
      </c>
      <c r="AT77" s="337" t="s">
        <v>56</v>
      </c>
      <c r="AU77" s="337"/>
      <c r="AV77" s="335"/>
      <c r="AW77" s="337"/>
      <c r="AX77" s="335">
        <f t="shared" si="5"/>
        <v>0</v>
      </c>
      <c r="AY77" s="340" t="s">
        <v>970</v>
      </c>
      <c r="AZ77" s="282">
        <v>20.54</v>
      </c>
      <c r="BA77" s="540">
        <v>0</v>
      </c>
      <c r="BB77" s="260">
        <v>46137</v>
      </c>
      <c r="BC77" s="485">
        <v>46126.3719779514</v>
      </c>
      <c r="BD77" s="335">
        <v>20.54</v>
      </c>
      <c r="BE77" s="337" t="s">
        <v>56</v>
      </c>
      <c r="BF77" s="337"/>
      <c r="BG77" s="335"/>
      <c r="BH77" s="337"/>
      <c r="BI77" s="335">
        <f t="shared" si="3"/>
        <v>0</v>
      </c>
      <c r="BJ77" s="340" t="s">
        <v>971</v>
      </c>
      <c r="BK77" s="282">
        <v>20.54</v>
      </c>
      <c r="BL77" s="540">
        <v>0</v>
      </c>
      <c r="BM77" s="260">
        <v>46167</v>
      </c>
      <c r="BN77" s="340"/>
      <c r="BO77" s="335"/>
      <c r="BP77" s="337"/>
      <c r="BQ77" s="337"/>
      <c r="BR77" s="335"/>
      <c r="BS77" s="337"/>
      <c r="BT77" s="335">
        <f t="shared" si="4"/>
        <v>20.54</v>
      </c>
      <c r="BU77" s="340"/>
    </row>
    <row r="78" customHeight="1" spans="1:73">
      <c r="A78" s="549" t="s">
        <v>972</v>
      </c>
      <c r="B78" s="375" t="s">
        <v>973</v>
      </c>
      <c r="C78" s="549" t="s">
        <v>974</v>
      </c>
      <c r="D78" s="250" t="s">
        <v>201</v>
      </c>
      <c r="E78" s="352" t="s">
        <v>202</v>
      </c>
      <c r="F78" s="222"/>
      <c r="G78" s="536" t="s">
        <v>975</v>
      </c>
      <c r="H78" s="7" t="s">
        <v>238</v>
      </c>
      <c r="I78" s="7" t="s">
        <v>220</v>
      </c>
      <c r="J78" s="7" t="s">
        <v>865</v>
      </c>
      <c r="K78" s="7" t="s">
        <v>976</v>
      </c>
      <c r="L78" s="222" t="s">
        <v>977</v>
      </c>
      <c r="M78" s="49"/>
      <c r="N78" s="54">
        <v>45084</v>
      </c>
      <c r="O78" s="327" t="s">
        <v>384</v>
      </c>
      <c r="P78" s="538" t="s">
        <v>242</v>
      </c>
      <c r="Q78" s="539">
        <v>-0.1</v>
      </c>
      <c r="R78" s="282"/>
      <c r="S78" s="282">
        <v>20.54</v>
      </c>
      <c r="T78" s="540">
        <v>0</v>
      </c>
      <c r="U78" s="260">
        <v>46041</v>
      </c>
      <c r="V78" s="331">
        <v>46043</v>
      </c>
      <c r="W78" s="539">
        <v>21</v>
      </c>
      <c r="X78" s="543" t="s">
        <v>23</v>
      </c>
      <c r="Y78" s="544"/>
      <c r="Z78" s="545"/>
      <c r="AA78" s="543"/>
      <c r="AB78" s="545">
        <f t="shared" si="0"/>
        <v>-0.560000000000002</v>
      </c>
      <c r="AC78" s="250" t="s">
        <v>213</v>
      </c>
      <c r="AD78" s="283">
        <v>20.54</v>
      </c>
      <c r="AE78" s="540">
        <v>0</v>
      </c>
      <c r="AF78" s="260">
        <v>46072</v>
      </c>
      <c r="AG78" s="251">
        <v>46072</v>
      </c>
      <c r="AH78" s="335">
        <v>20.54</v>
      </c>
      <c r="AI78" s="336" t="s">
        <v>23</v>
      </c>
      <c r="AJ78" s="345"/>
      <c r="AK78" s="338"/>
      <c r="AL78" s="339"/>
      <c r="AM78" s="338">
        <f t="shared" si="1"/>
        <v>-0.560000000000002</v>
      </c>
      <c r="AN78" s="340" t="s">
        <v>213</v>
      </c>
      <c r="AO78" s="282">
        <v>20.54</v>
      </c>
      <c r="AP78" s="540">
        <v>0</v>
      </c>
      <c r="AQ78" s="260">
        <v>46100</v>
      </c>
      <c r="AR78" s="340" t="s">
        <v>267</v>
      </c>
      <c r="AS78" s="335">
        <v>20.35</v>
      </c>
      <c r="AT78" s="337" t="s">
        <v>23</v>
      </c>
      <c r="AU78" s="337"/>
      <c r="AV78" s="335"/>
      <c r="AW78" s="337"/>
      <c r="AX78" s="335">
        <f t="shared" si="5"/>
        <v>-0.370000000000005</v>
      </c>
      <c r="AY78" s="340" t="s">
        <v>213</v>
      </c>
      <c r="AZ78" s="282">
        <v>20.54</v>
      </c>
      <c r="BA78" s="540">
        <v>0</v>
      </c>
      <c r="BB78" s="260">
        <v>46131</v>
      </c>
      <c r="BC78" s="340" t="s">
        <v>978</v>
      </c>
      <c r="BD78" s="335">
        <v>20</v>
      </c>
      <c r="BE78" s="337" t="s">
        <v>23</v>
      </c>
      <c r="BF78" s="337"/>
      <c r="BG78" s="335"/>
      <c r="BH78" s="337"/>
      <c r="BI78" s="335">
        <f t="shared" si="3"/>
        <v>0.169999999999995</v>
      </c>
      <c r="BJ78" s="340"/>
      <c r="BK78" s="282">
        <v>20.54</v>
      </c>
      <c r="BL78" s="540">
        <v>0</v>
      </c>
      <c r="BM78" s="260">
        <v>46161</v>
      </c>
      <c r="BN78" s="340"/>
      <c r="BO78" s="335"/>
      <c r="BP78" s="337"/>
      <c r="BQ78" s="337"/>
      <c r="BR78" s="335"/>
      <c r="BS78" s="337"/>
      <c r="BT78" s="335">
        <f t="shared" si="4"/>
        <v>20.71</v>
      </c>
      <c r="BU78" s="340"/>
    </row>
    <row r="79" customHeight="1" spans="1:73">
      <c r="A79" s="563" t="s">
        <v>979</v>
      </c>
      <c r="B79" s="38" t="s">
        <v>980</v>
      </c>
      <c r="C79" s="549" t="s">
        <v>981</v>
      </c>
      <c r="D79" s="250" t="s">
        <v>201</v>
      </c>
      <c r="E79" s="550" t="s">
        <v>202</v>
      </c>
      <c r="F79" s="549"/>
      <c r="G79" s="536" t="s">
        <v>982</v>
      </c>
      <c r="H79" s="7" t="s">
        <v>238</v>
      </c>
      <c r="I79" s="7" t="s">
        <v>206</v>
      </c>
      <c r="J79" s="7" t="s">
        <v>425</v>
      </c>
      <c r="K79" s="7" t="s">
        <v>335</v>
      </c>
      <c r="L79" s="222" t="s">
        <v>983</v>
      </c>
      <c r="M79" s="49"/>
      <c r="N79" s="54">
        <v>45777</v>
      </c>
      <c r="O79" s="327" t="s">
        <v>210</v>
      </c>
      <c r="P79" s="558">
        <v>15</v>
      </c>
      <c r="Q79" s="539">
        <v>0</v>
      </c>
      <c r="R79" s="282"/>
      <c r="S79" s="282">
        <v>23</v>
      </c>
      <c r="T79" s="540">
        <v>0</v>
      </c>
      <c r="U79" s="260">
        <v>46031</v>
      </c>
      <c r="V79" s="350" t="s">
        <v>429</v>
      </c>
      <c r="W79" s="539">
        <v>23</v>
      </c>
      <c r="X79" s="543" t="s">
        <v>56</v>
      </c>
      <c r="Y79" s="544"/>
      <c r="Z79" s="545"/>
      <c r="AA79" s="543"/>
      <c r="AB79" s="545">
        <f t="shared" si="0"/>
        <v>0</v>
      </c>
      <c r="AC79" s="250" t="s">
        <v>213</v>
      </c>
      <c r="AD79" s="283">
        <v>23</v>
      </c>
      <c r="AE79" s="540">
        <v>0</v>
      </c>
      <c r="AF79" s="260">
        <v>46062</v>
      </c>
      <c r="AG79" s="251">
        <v>46071</v>
      </c>
      <c r="AH79" s="335">
        <v>23</v>
      </c>
      <c r="AI79" s="336" t="s">
        <v>56</v>
      </c>
      <c r="AJ79" s="345"/>
      <c r="AK79" s="338"/>
      <c r="AL79" s="339"/>
      <c r="AM79" s="338">
        <f t="shared" si="1"/>
        <v>0</v>
      </c>
      <c r="AN79" s="340" t="s">
        <v>213</v>
      </c>
      <c r="AO79" s="282">
        <v>23</v>
      </c>
      <c r="AP79" s="540">
        <v>0</v>
      </c>
      <c r="AQ79" s="260">
        <v>46090</v>
      </c>
      <c r="AR79" s="485">
        <v>46099.3983734028</v>
      </c>
      <c r="AS79" s="335">
        <v>23</v>
      </c>
      <c r="AT79" s="337" t="s">
        <v>56</v>
      </c>
      <c r="AU79" s="337"/>
      <c r="AV79" s="335"/>
      <c r="AW79" s="337"/>
      <c r="AX79" s="335">
        <f t="shared" si="5"/>
        <v>0</v>
      </c>
      <c r="AY79" s="340" t="s">
        <v>213</v>
      </c>
      <c r="AZ79" s="282">
        <v>23</v>
      </c>
      <c r="BA79" s="540">
        <v>0</v>
      </c>
      <c r="BB79" s="260">
        <v>46121</v>
      </c>
      <c r="BC79" s="612" t="s">
        <v>984</v>
      </c>
      <c r="BD79" s="335">
        <v>23</v>
      </c>
      <c r="BE79" s="337" t="s">
        <v>56</v>
      </c>
      <c r="BF79" s="337"/>
      <c r="BG79" s="335"/>
      <c r="BH79" s="337"/>
      <c r="BI79" s="335">
        <f t="shared" si="3"/>
        <v>0</v>
      </c>
      <c r="BJ79" s="340"/>
      <c r="BK79" s="282">
        <v>23</v>
      </c>
      <c r="BL79" s="540">
        <v>0</v>
      </c>
      <c r="BM79" s="260">
        <v>46151</v>
      </c>
      <c r="BN79" s="340"/>
      <c r="BO79" s="335"/>
      <c r="BP79" s="337"/>
      <c r="BQ79" s="337"/>
      <c r="BR79" s="335"/>
      <c r="BS79" s="337"/>
      <c r="BT79" s="335">
        <f t="shared" si="4"/>
        <v>23</v>
      </c>
      <c r="BU79" s="340"/>
    </row>
    <row r="80" customHeight="1" spans="1:73">
      <c r="A80" s="549" t="s">
        <v>985</v>
      </c>
      <c r="B80" s="568" t="s">
        <v>986</v>
      </c>
      <c r="C80" s="549" t="s">
        <v>987</v>
      </c>
      <c r="D80" s="250" t="s">
        <v>988</v>
      </c>
      <c r="E80" s="550" t="s">
        <v>226</v>
      </c>
      <c r="F80" s="549"/>
      <c r="G80" s="222"/>
      <c r="H80" s="7" t="s">
        <v>238</v>
      </c>
      <c r="I80" s="7" t="s">
        <v>206</v>
      </c>
      <c r="J80" s="7"/>
      <c r="K80" s="7"/>
      <c r="L80" s="222" t="s">
        <v>989</v>
      </c>
      <c r="M80" s="414" t="s">
        <v>990</v>
      </c>
      <c r="N80" s="54">
        <v>45068</v>
      </c>
      <c r="O80" s="327" t="s">
        <v>232</v>
      </c>
      <c r="P80" s="538" t="s">
        <v>242</v>
      </c>
      <c r="Q80" s="539">
        <v>0</v>
      </c>
      <c r="R80" s="282"/>
      <c r="S80" s="282"/>
      <c r="T80" s="540">
        <v>0</v>
      </c>
      <c r="U80" s="559"/>
      <c r="V80" s="350"/>
      <c r="W80" s="545"/>
      <c r="X80" s="543"/>
      <c r="Y80" s="544"/>
      <c r="Z80" s="545"/>
      <c r="AA80" s="543"/>
      <c r="AB80" s="545">
        <f t="shared" si="0"/>
        <v>0</v>
      </c>
      <c r="AC80" s="250" t="s">
        <v>213</v>
      </c>
      <c r="AD80" s="283"/>
      <c r="AE80" s="540">
        <v>0</v>
      </c>
      <c r="AF80" s="559"/>
      <c r="AH80" s="338"/>
      <c r="AI80" s="339"/>
      <c r="AJ80" s="345"/>
      <c r="AK80" s="338"/>
      <c r="AL80" s="339"/>
      <c r="AM80" s="338">
        <f t="shared" si="1"/>
        <v>0</v>
      </c>
      <c r="AN80" s="340" t="s">
        <v>213</v>
      </c>
      <c r="AO80" s="282"/>
      <c r="AP80" s="540">
        <v>0</v>
      </c>
      <c r="AQ80" s="559"/>
      <c r="AR80" s="340"/>
      <c r="AS80" s="335"/>
      <c r="AT80" s="337"/>
      <c r="AU80" s="337"/>
      <c r="AV80" s="335"/>
      <c r="AW80" s="337"/>
      <c r="AX80" s="335">
        <f t="shared" si="5"/>
        <v>0</v>
      </c>
      <c r="AY80" s="340" t="s">
        <v>213</v>
      </c>
      <c r="AZ80" s="282"/>
      <c r="BA80" s="540">
        <v>0</v>
      </c>
      <c r="BB80" s="559"/>
      <c r="BC80" s="340"/>
      <c r="BD80" s="335"/>
      <c r="BE80" s="337"/>
      <c r="BF80" s="337"/>
      <c r="BG80" s="335"/>
      <c r="BH80" s="337"/>
      <c r="BI80" s="335">
        <f t="shared" si="3"/>
        <v>0</v>
      </c>
      <c r="BJ80" s="340"/>
      <c r="BK80" s="282"/>
      <c r="BL80" s="540">
        <v>0</v>
      </c>
      <c r="BM80" s="559"/>
      <c r="BN80" s="340"/>
      <c r="BO80" s="335"/>
      <c r="BP80" s="337"/>
      <c r="BQ80" s="337"/>
      <c r="BR80" s="335"/>
      <c r="BS80" s="337"/>
      <c r="BT80" s="335">
        <f t="shared" si="4"/>
        <v>0</v>
      </c>
      <c r="BU80" s="340"/>
    </row>
    <row r="81" customHeight="1" spans="1:73">
      <c r="A81" s="563" t="s">
        <v>991</v>
      </c>
      <c r="B81" s="561" t="s">
        <v>992</v>
      </c>
      <c r="C81" s="549" t="s">
        <v>993</v>
      </c>
      <c r="D81" s="250" t="s">
        <v>251</v>
      </c>
      <c r="E81" s="550" t="s">
        <v>226</v>
      </c>
      <c r="F81" s="550" t="s">
        <v>203</v>
      </c>
      <c r="G81" s="536" t="s">
        <v>994</v>
      </c>
      <c r="H81" s="7" t="s">
        <v>274</v>
      </c>
      <c r="I81" s="7" t="s">
        <v>206</v>
      </c>
      <c r="J81" s="7" t="s">
        <v>995</v>
      </c>
      <c r="K81" s="7" t="s">
        <v>996</v>
      </c>
      <c r="L81" s="222" t="s">
        <v>997</v>
      </c>
      <c r="M81" s="49"/>
      <c r="N81" s="54">
        <v>45079</v>
      </c>
      <c r="O81" s="327" t="s">
        <v>210</v>
      </c>
      <c r="P81" s="558">
        <v>15</v>
      </c>
      <c r="Q81" s="539">
        <v>123</v>
      </c>
      <c r="R81" s="282"/>
      <c r="S81" s="282"/>
      <c r="T81" s="540">
        <v>0</v>
      </c>
      <c r="U81" s="260">
        <v>46041</v>
      </c>
      <c r="V81" s="350"/>
      <c r="W81" s="545"/>
      <c r="X81" s="543"/>
      <c r="Y81" s="544"/>
      <c r="Z81" s="545"/>
      <c r="AA81" s="543"/>
      <c r="AB81" s="545">
        <f t="shared" si="0"/>
        <v>123</v>
      </c>
      <c r="AC81" s="250" t="s">
        <v>213</v>
      </c>
      <c r="AD81" s="283"/>
      <c r="AE81" s="540">
        <v>0</v>
      </c>
      <c r="AF81" s="260">
        <v>46072</v>
      </c>
      <c r="AH81" s="338"/>
      <c r="AI81" s="339"/>
      <c r="AJ81" s="345"/>
      <c r="AK81" s="338"/>
      <c r="AL81" s="339"/>
      <c r="AM81" s="338">
        <f t="shared" si="1"/>
        <v>123</v>
      </c>
      <c r="AN81" s="340" t="s">
        <v>213</v>
      </c>
      <c r="AO81" s="282"/>
      <c r="AP81" s="540">
        <v>0</v>
      </c>
      <c r="AQ81" s="260">
        <v>46100</v>
      </c>
      <c r="AR81" s="340"/>
      <c r="AS81" s="335"/>
      <c r="AT81" s="337"/>
      <c r="AU81" s="337"/>
      <c r="AV81" s="335"/>
      <c r="AW81" s="337"/>
      <c r="AX81" s="335">
        <f t="shared" si="5"/>
        <v>123</v>
      </c>
      <c r="AY81" s="340" t="s">
        <v>213</v>
      </c>
      <c r="AZ81" s="282"/>
      <c r="BA81" s="540">
        <v>0</v>
      </c>
      <c r="BB81" s="260">
        <v>46131</v>
      </c>
      <c r="BC81" s="340"/>
      <c r="BD81" s="335"/>
      <c r="BE81" s="337"/>
      <c r="BF81" s="337"/>
      <c r="BG81" s="335"/>
      <c r="BH81" s="337"/>
      <c r="BI81" s="335">
        <f t="shared" si="3"/>
        <v>123</v>
      </c>
      <c r="BJ81" s="340"/>
      <c r="BK81" s="282"/>
      <c r="BL81" s="540">
        <v>0</v>
      </c>
      <c r="BM81" s="260">
        <v>46161</v>
      </c>
      <c r="BN81" s="340"/>
      <c r="BO81" s="335"/>
      <c r="BP81" s="337"/>
      <c r="BQ81" s="337"/>
      <c r="BR81" s="335"/>
      <c r="BS81" s="337"/>
      <c r="BT81" s="335">
        <f t="shared" si="4"/>
        <v>123</v>
      </c>
      <c r="BU81" s="340"/>
    </row>
    <row r="82" customHeight="1" spans="1:73">
      <c r="A82" s="572" t="s">
        <v>998</v>
      </c>
      <c r="B82" s="613" t="s">
        <v>999</v>
      </c>
      <c r="C82" s="549" t="s">
        <v>1000</v>
      </c>
      <c r="D82" s="250" t="s">
        <v>251</v>
      </c>
      <c r="E82" s="550" t="s">
        <v>226</v>
      </c>
      <c r="F82" s="550" t="s">
        <v>203</v>
      </c>
      <c r="G82" s="536" t="s">
        <v>1001</v>
      </c>
      <c r="H82" s="7" t="s">
        <v>238</v>
      </c>
      <c r="I82" s="7" t="s">
        <v>206</v>
      </c>
      <c r="J82" s="7" t="s">
        <v>1002</v>
      </c>
      <c r="K82" s="7" t="s">
        <v>1003</v>
      </c>
      <c r="L82" s="222" t="s">
        <v>1004</v>
      </c>
      <c r="M82" s="49"/>
      <c r="N82" s="54">
        <v>45092</v>
      </c>
      <c r="O82" s="327" t="s">
        <v>232</v>
      </c>
      <c r="P82" s="558">
        <v>15</v>
      </c>
      <c r="Q82" s="539">
        <v>0</v>
      </c>
      <c r="R82" s="282"/>
      <c r="S82" s="282"/>
      <c r="T82" s="540">
        <v>0</v>
      </c>
      <c r="U82" s="559"/>
      <c r="V82" s="350"/>
      <c r="W82" s="545"/>
      <c r="X82" s="543"/>
      <c r="Y82" s="544"/>
      <c r="Z82" s="545"/>
      <c r="AA82" s="543"/>
      <c r="AB82" s="545">
        <f t="shared" si="0"/>
        <v>0</v>
      </c>
      <c r="AC82" s="250" t="s">
        <v>213</v>
      </c>
      <c r="AD82" s="283"/>
      <c r="AE82" s="540">
        <v>0</v>
      </c>
      <c r="AF82" s="559"/>
      <c r="AH82" s="338"/>
      <c r="AI82" s="339"/>
      <c r="AJ82" s="345"/>
      <c r="AK82" s="338"/>
      <c r="AL82" s="339"/>
      <c r="AM82" s="338">
        <f t="shared" si="1"/>
        <v>0</v>
      </c>
      <c r="AN82" s="340" t="s">
        <v>213</v>
      </c>
      <c r="AO82" s="282"/>
      <c r="AP82" s="540">
        <v>0</v>
      </c>
      <c r="AQ82" s="559"/>
      <c r="AR82" s="340"/>
      <c r="AS82" s="335"/>
      <c r="AT82" s="337"/>
      <c r="AU82" s="337"/>
      <c r="AV82" s="335"/>
      <c r="AW82" s="337"/>
      <c r="AX82" s="335">
        <f t="shared" si="5"/>
        <v>0</v>
      </c>
      <c r="AY82" s="340" t="s">
        <v>213</v>
      </c>
      <c r="AZ82" s="282"/>
      <c r="BA82" s="540">
        <v>0</v>
      </c>
      <c r="BB82" s="559"/>
      <c r="BC82" s="340"/>
      <c r="BD82" s="335"/>
      <c r="BE82" s="337"/>
      <c r="BF82" s="337"/>
      <c r="BG82" s="335"/>
      <c r="BH82" s="337"/>
      <c r="BI82" s="335">
        <f t="shared" si="3"/>
        <v>0</v>
      </c>
      <c r="BJ82" s="340"/>
      <c r="BK82" s="282"/>
      <c r="BL82" s="540">
        <v>0</v>
      </c>
      <c r="BM82" s="559"/>
      <c r="BN82" s="340"/>
      <c r="BO82" s="335"/>
      <c r="BP82" s="337"/>
      <c r="BQ82" s="337"/>
      <c r="BR82" s="335"/>
      <c r="BS82" s="337"/>
      <c r="BT82" s="335">
        <f t="shared" si="4"/>
        <v>0</v>
      </c>
      <c r="BU82" s="340"/>
    </row>
    <row r="83" customHeight="1" spans="1:73">
      <c r="A83" s="549" t="s">
        <v>1005</v>
      </c>
      <c r="B83" s="613" t="s">
        <v>1006</v>
      </c>
      <c r="C83" s="549" t="s">
        <v>1007</v>
      </c>
      <c r="D83" s="250" t="s">
        <v>251</v>
      </c>
      <c r="E83" s="549"/>
      <c r="F83" s="549"/>
      <c r="G83" s="614" t="s">
        <v>1008</v>
      </c>
      <c r="H83" s="615" t="s">
        <v>238</v>
      </c>
      <c r="I83" s="615" t="s">
        <v>220</v>
      </c>
      <c r="J83" s="615" t="s">
        <v>1009</v>
      </c>
      <c r="K83" s="615" t="s">
        <v>1010</v>
      </c>
      <c r="L83" s="616" t="s">
        <v>1011</v>
      </c>
      <c r="M83" s="617"/>
      <c r="N83" s="618">
        <v>45104</v>
      </c>
      <c r="O83" s="443" t="s">
        <v>210</v>
      </c>
      <c r="P83" s="619" t="s">
        <v>242</v>
      </c>
      <c r="Q83" s="539">
        <v>0</v>
      </c>
      <c r="R83" s="282"/>
      <c r="S83" s="282"/>
      <c r="T83" s="540">
        <v>0</v>
      </c>
      <c r="U83" s="559"/>
      <c r="V83" s="350"/>
      <c r="W83" s="545"/>
      <c r="X83" s="543"/>
      <c r="Y83" s="544"/>
      <c r="Z83" s="545"/>
      <c r="AA83" s="543"/>
      <c r="AB83" s="545">
        <f t="shared" si="0"/>
        <v>0</v>
      </c>
      <c r="AC83" s="250" t="s">
        <v>213</v>
      </c>
      <c r="AD83" s="283"/>
      <c r="AE83" s="540">
        <v>0</v>
      </c>
      <c r="AF83" s="559"/>
      <c r="AH83" s="338"/>
      <c r="AI83" s="339"/>
      <c r="AJ83" s="345"/>
      <c r="AK83" s="338"/>
      <c r="AL83" s="339"/>
      <c r="AM83" s="338">
        <f t="shared" si="1"/>
        <v>0</v>
      </c>
      <c r="AN83" s="340" t="s">
        <v>213</v>
      </c>
      <c r="AO83" s="282"/>
      <c r="AP83" s="540">
        <v>0</v>
      </c>
      <c r="AQ83" s="559"/>
      <c r="AR83" s="340"/>
      <c r="AS83" s="335"/>
      <c r="AT83" s="337"/>
      <c r="AU83" s="337"/>
      <c r="AV83" s="335"/>
      <c r="AW83" s="337"/>
      <c r="AX83" s="335">
        <f t="shared" si="5"/>
        <v>0</v>
      </c>
      <c r="AY83" s="340" t="s">
        <v>213</v>
      </c>
      <c r="AZ83" s="282"/>
      <c r="BA83" s="540">
        <v>0</v>
      </c>
      <c r="BB83" s="559"/>
      <c r="BC83" s="340"/>
      <c r="BD83" s="335"/>
      <c r="BE83" s="337"/>
      <c r="BF83" s="337"/>
      <c r="BG83" s="335"/>
      <c r="BH83" s="337"/>
      <c r="BI83" s="335">
        <f t="shared" si="3"/>
        <v>0</v>
      </c>
      <c r="BJ83" s="340"/>
      <c r="BK83" s="282"/>
      <c r="BL83" s="540">
        <v>0</v>
      </c>
      <c r="BM83" s="559"/>
      <c r="BN83" s="340"/>
      <c r="BO83" s="335"/>
      <c r="BP83" s="337"/>
      <c r="BQ83" s="337"/>
      <c r="BR83" s="335"/>
      <c r="BS83" s="337"/>
      <c r="BT83" s="335">
        <f t="shared" si="4"/>
        <v>0</v>
      </c>
      <c r="BU83" s="340"/>
    </row>
    <row r="84" customHeight="1" spans="1:73">
      <c r="A84" s="549" t="s">
        <v>1012</v>
      </c>
      <c r="B84" s="561" t="s">
        <v>1013</v>
      </c>
      <c r="C84" s="549" t="s">
        <v>1014</v>
      </c>
      <c r="D84" s="250" t="s">
        <v>251</v>
      </c>
      <c r="E84" s="549"/>
      <c r="F84" s="550" t="s">
        <v>170</v>
      </c>
      <c r="G84" s="222" t="s">
        <v>1015</v>
      </c>
      <c r="H84" s="7" t="s">
        <v>238</v>
      </c>
      <c r="I84" s="7" t="s">
        <v>220</v>
      </c>
      <c r="J84" s="7" t="s">
        <v>1016</v>
      </c>
      <c r="K84" s="7" t="s">
        <v>1017</v>
      </c>
      <c r="L84" s="222" t="s">
        <v>1018</v>
      </c>
      <c r="M84" s="232"/>
      <c r="N84" s="355">
        <v>45113</v>
      </c>
      <c r="O84" s="327" t="s">
        <v>210</v>
      </c>
      <c r="P84" s="538" t="s">
        <v>242</v>
      </c>
      <c r="Q84" s="539">
        <v>0</v>
      </c>
      <c r="R84" s="282"/>
      <c r="S84" s="282"/>
      <c r="T84" s="540">
        <v>0</v>
      </c>
      <c r="U84" s="559"/>
      <c r="V84" s="350"/>
      <c r="W84" s="545"/>
      <c r="X84" s="543"/>
      <c r="Y84" s="544"/>
      <c r="Z84" s="545"/>
      <c r="AA84" s="543"/>
      <c r="AB84" s="545">
        <f t="shared" si="0"/>
        <v>0</v>
      </c>
      <c r="AC84" s="250" t="s">
        <v>213</v>
      </c>
      <c r="AD84" s="283"/>
      <c r="AE84" s="540">
        <v>0</v>
      </c>
      <c r="AF84" s="559"/>
      <c r="AH84" s="338"/>
      <c r="AI84" s="339"/>
      <c r="AJ84" s="345"/>
      <c r="AK84" s="338"/>
      <c r="AL84" s="339"/>
      <c r="AM84" s="338">
        <f t="shared" si="1"/>
        <v>0</v>
      </c>
      <c r="AN84" s="340" t="s">
        <v>213</v>
      </c>
      <c r="AO84" s="282"/>
      <c r="AP84" s="540">
        <v>0</v>
      </c>
      <c r="AQ84" s="559"/>
      <c r="AR84" s="340"/>
      <c r="AS84" s="335"/>
      <c r="AT84" s="337"/>
      <c r="AU84" s="337"/>
      <c r="AV84" s="335"/>
      <c r="AW84" s="337"/>
      <c r="AX84" s="335">
        <f t="shared" si="5"/>
        <v>0</v>
      </c>
      <c r="AY84" s="340" t="s">
        <v>213</v>
      </c>
      <c r="AZ84" s="282"/>
      <c r="BA84" s="540">
        <v>0</v>
      </c>
      <c r="BB84" s="559"/>
      <c r="BC84" s="340"/>
      <c r="BD84" s="335"/>
      <c r="BE84" s="337"/>
      <c r="BF84" s="337"/>
      <c r="BG84" s="335"/>
      <c r="BH84" s="337"/>
      <c r="BI84" s="335">
        <f t="shared" si="3"/>
        <v>0</v>
      </c>
      <c r="BJ84" s="340"/>
      <c r="BK84" s="282"/>
      <c r="BL84" s="540">
        <v>0</v>
      </c>
      <c r="BM84" s="559"/>
      <c r="BN84" s="340"/>
      <c r="BO84" s="335"/>
      <c r="BP84" s="337"/>
      <c r="BQ84" s="337"/>
      <c r="BR84" s="335"/>
      <c r="BS84" s="337"/>
      <c r="BT84" s="335">
        <f t="shared" si="4"/>
        <v>0</v>
      </c>
      <c r="BU84" s="340"/>
    </row>
    <row r="85" customHeight="1" spans="1:73">
      <c r="A85" s="563" t="s">
        <v>1019</v>
      </c>
      <c r="B85" s="620" t="s">
        <v>1020</v>
      </c>
      <c r="C85" s="621" t="s">
        <v>1021</v>
      </c>
      <c r="D85" s="486" t="s">
        <v>472</v>
      </c>
      <c r="E85" s="622" t="s">
        <v>202</v>
      </c>
      <c r="F85" s="581"/>
      <c r="G85" s="536" t="s">
        <v>1022</v>
      </c>
      <c r="H85" s="7" t="s">
        <v>238</v>
      </c>
      <c r="I85" s="7" t="s">
        <v>220</v>
      </c>
      <c r="J85" s="7" t="s">
        <v>1023</v>
      </c>
      <c r="K85" s="7" t="s">
        <v>1024</v>
      </c>
      <c r="L85" s="222" t="s">
        <v>1025</v>
      </c>
      <c r="M85" s="49"/>
      <c r="N85" s="54">
        <v>45118</v>
      </c>
      <c r="O85" s="327" t="s">
        <v>210</v>
      </c>
      <c r="P85" s="538" t="s">
        <v>242</v>
      </c>
      <c r="Q85" s="539">
        <v>0</v>
      </c>
      <c r="R85" s="282" t="s">
        <v>1026</v>
      </c>
      <c r="S85" s="282">
        <v>23</v>
      </c>
      <c r="T85" s="540">
        <v>0</v>
      </c>
      <c r="U85" s="260">
        <v>46041</v>
      </c>
      <c r="V85" s="350"/>
      <c r="W85" s="545"/>
      <c r="X85" s="543"/>
      <c r="Y85" s="544"/>
      <c r="Z85" s="545"/>
      <c r="AA85" s="543"/>
      <c r="AB85" s="545">
        <f t="shared" si="0"/>
        <v>23</v>
      </c>
      <c r="AC85" s="250" t="s">
        <v>1027</v>
      </c>
      <c r="AD85" s="283">
        <v>10</v>
      </c>
      <c r="AE85" s="540">
        <v>0</v>
      </c>
      <c r="AF85" s="260">
        <v>46072</v>
      </c>
      <c r="AG85" s="250"/>
      <c r="AH85" s="335"/>
      <c r="AI85" s="336"/>
      <c r="AJ85" s="337"/>
      <c r="AK85" s="335"/>
      <c r="AL85" s="336"/>
      <c r="AM85" s="335">
        <f t="shared" si="1"/>
        <v>33</v>
      </c>
      <c r="AN85" s="340" t="s">
        <v>213</v>
      </c>
      <c r="AO85" s="282">
        <f>10+15</f>
        <v>25</v>
      </c>
      <c r="AP85" s="540">
        <v>0</v>
      </c>
      <c r="AQ85" s="260">
        <v>46100</v>
      </c>
      <c r="AR85" s="340" t="s">
        <v>1028</v>
      </c>
      <c r="AS85" s="335">
        <v>58</v>
      </c>
      <c r="AT85" s="337" t="s">
        <v>56</v>
      </c>
      <c r="AU85" s="337"/>
      <c r="AV85" s="335"/>
      <c r="AW85" s="337"/>
      <c r="AX85" s="335">
        <f t="shared" si="5"/>
        <v>0</v>
      </c>
      <c r="AY85" s="340" t="s">
        <v>213</v>
      </c>
      <c r="AZ85" s="282">
        <v>0</v>
      </c>
      <c r="BA85" s="540">
        <v>0</v>
      </c>
      <c r="BB85" s="260">
        <v>46131</v>
      </c>
      <c r="BC85" s="340"/>
      <c r="BD85" s="335"/>
      <c r="BE85" s="337"/>
      <c r="BF85" s="337"/>
      <c r="BG85" s="335"/>
      <c r="BH85" s="337"/>
      <c r="BI85" s="335">
        <f t="shared" si="3"/>
        <v>0</v>
      </c>
      <c r="BJ85" s="340"/>
      <c r="BK85" s="282">
        <v>0</v>
      </c>
      <c r="BL85" s="540">
        <v>0</v>
      </c>
      <c r="BM85" s="260">
        <v>46161</v>
      </c>
      <c r="BN85" s="340"/>
      <c r="BO85" s="335"/>
      <c r="BP85" s="337"/>
      <c r="BQ85" s="337"/>
      <c r="BR85" s="335"/>
      <c r="BS85" s="337"/>
      <c r="BT85" s="335">
        <f t="shared" si="4"/>
        <v>0</v>
      </c>
      <c r="BU85" s="340"/>
    </row>
    <row r="86" customHeight="1" spans="1:73">
      <c r="A86" s="563" t="s">
        <v>1029</v>
      </c>
      <c r="B86" s="561" t="s">
        <v>1030</v>
      </c>
      <c r="C86" s="549" t="s">
        <v>1031</v>
      </c>
      <c r="D86" s="250" t="s">
        <v>251</v>
      </c>
      <c r="E86" s="550" t="s">
        <v>202</v>
      </c>
      <c r="F86" s="549"/>
      <c r="G86" s="536" t="s">
        <v>1032</v>
      </c>
      <c r="H86" s="7" t="s">
        <v>238</v>
      </c>
      <c r="I86" s="7" t="s">
        <v>220</v>
      </c>
      <c r="J86" s="7" t="s">
        <v>239</v>
      </c>
      <c r="K86" s="7" t="s">
        <v>1033</v>
      </c>
      <c r="L86" s="222" t="s">
        <v>1034</v>
      </c>
      <c r="M86" s="7" t="s">
        <v>1035</v>
      </c>
      <c r="N86" s="54">
        <v>45120</v>
      </c>
      <c r="O86" s="327" t="s">
        <v>210</v>
      </c>
      <c r="P86" s="538" t="s">
        <v>242</v>
      </c>
      <c r="Q86" s="539">
        <v>0</v>
      </c>
      <c r="R86" s="282" t="s">
        <v>1036</v>
      </c>
      <c r="S86" s="282">
        <v>10</v>
      </c>
      <c r="T86" s="540">
        <v>0</v>
      </c>
      <c r="U86" s="260">
        <v>46052</v>
      </c>
      <c r="V86" s="361">
        <v>46174</v>
      </c>
      <c r="W86" s="539">
        <v>10</v>
      </c>
      <c r="X86" s="543" t="s">
        <v>56</v>
      </c>
      <c r="Y86" s="544"/>
      <c r="Z86" s="545"/>
      <c r="AA86" s="543"/>
      <c r="AB86" s="545">
        <f t="shared" si="0"/>
        <v>0</v>
      </c>
      <c r="AC86" s="250" t="s">
        <v>213</v>
      </c>
      <c r="AD86" s="283">
        <v>0</v>
      </c>
      <c r="AE86" s="540">
        <v>0</v>
      </c>
      <c r="AF86" s="260">
        <v>46083</v>
      </c>
      <c r="AH86" s="338"/>
      <c r="AI86" s="339"/>
      <c r="AJ86" s="345"/>
      <c r="AK86" s="338"/>
      <c r="AL86" s="339"/>
      <c r="AM86" s="338">
        <f t="shared" si="1"/>
        <v>0</v>
      </c>
      <c r="AN86" s="340" t="s">
        <v>213</v>
      </c>
      <c r="AO86" s="282">
        <v>0</v>
      </c>
      <c r="AP86" s="540">
        <v>0</v>
      </c>
      <c r="AQ86" s="260">
        <v>46114</v>
      </c>
      <c r="AR86" s="340"/>
      <c r="AS86" s="335"/>
      <c r="AT86" s="337"/>
      <c r="AU86" s="337"/>
      <c r="AV86" s="335"/>
      <c r="AW86" s="337"/>
      <c r="AX86" s="335">
        <f t="shared" si="5"/>
        <v>0</v>
      </c>
      <c r="AY86" s="340" t="s">
        <v>213</v>
      </c>
      <c r="AZ86" s="282">
        <v>0</v>
      </c>
      <c r="BA86" s="540">
        <v>0</v>
      </c>
      <c r="BB86" s="260">
        <v>46144</v>
      </c>
      <c r="BC86" s="340"/>
      <c r="BD86" s="335"/>
      <c r="BE86" s="337"/>
      <c r="BF86" s="337"/>
      <c r="BG86" s="335"/>
      <c r="BH86" s="337"/>
      <c r="BI86" s="335">
        <f t="shared" si="3"/>
        <v>0</v>
      </c>
      <c r="BJ86" s="340"/>
      <c r="BK86" s="282">
        <v>0</v>
      </c>
      <c r="BL86" s="540">
        <v>0</v>
      </c>
      <c r="BM86" s="260">
        <v>46175</v>
      </c>
      <c r="BN86" s="340"/>
      <c r="BO86" s="335"/>
      <c r="BP86" s="337"/>
      <c r="BQ86" s="337"/>
      <c r="BR86" s="335"/>
      <c r="BS86" s="337"/>
      <c r="BT86" s="335">
        <f t="shared" si="4"/>
        <v>0</v>
      </c>
      <c r="BU86" s="340"/>
    </row>
    <row r="87" customHeight="1" spans="1:73">
      <c r="A87" s="563" t="s">
        <v>1037</v>
      </c>
      <c r="B87" s="561" t="s">
        <v>1038</v>
      </c>
      <c r="C87" s="596" t="s">
        <v>1039</v>
      </c>
      <c r="D87" s="250" t="s">
        <v>251</v>
      </c>
      <c r="E87" s="38"/>
      <c r="F87" s="38"/>
      <c r="G87" s="536" t="s">
        <v>1040</v>
      </c>
      <c r="H87" s="7" t="s">
        <v>238</v>
      </c>
      <c r="I87" s="7" t="s">
        <v>220</v>
      </c>
      <c r="J87" s="7" t="s">
        <v>239</v>
      </c>
      <c r="K87" s="7" t="s">
        <v>1041</v>
      </c>
      <c r="L87" s="222" t="s">
        <v>1042</v>
      </c>
      <c r="M87" s="565" t="s">
        <v>1043</v>
      </c>
      <c r="N87" s="54">
        <v>45127</v>
      </c>
      <c r="O87" s="327" t="s">
        <v>210</v>
      </c>
      <c r="P87" s="538" t="s">
        <v>242</v>
      </c>
      <c r="Q87" s="539">
        <v>0</v>
      </c>
      <c r="R87" s="282"/>
      <c r="T87" s="540">
        <v>0</v>
      </c>
      <c r="U87" s="559"/>
      <c r="V87" s="350"/>
      <c r="W87" s="545"/>
      <c r="X87" s="543"/>
      <c r="Y87" s="544"/>
      <c r="Z87" s="545"/>
      <c r="AA87" s="543"/>
      <c r="AB87" s="545">
        <f t="shared" si="0"/>
        <v>0</v>
      </c>
      <c r="AC87" s="250" t="s">
        <v>213</v>
      </c>
      <c r="AD87" s="280"/>
      <c r="AE87" s="540">
        <v>0</v>
      </c>
      <c r="AF87" s="559"/>
      <c r="AH87" s="338"/>
      <c r="AI87" s="339"/>
      <c r="AJ87" s="345"/>
      <c r="AK87" s="338"/>
      <c r="AL87" s="339"/>
      <c r="AM87" s="338">
        <f t="shared" si="1"/>
        <v>0</v>
      </c>
      <c r="AN87" s="340" t="s">
        <v>213</v>
      </c>
      <c r="AP87" s="540">
        <v>0</v>
      </c>
      <c r="AQ87" s="559"/>
      <c r="AR87" s="340"/>
      <c r="AS87" s="335"/>
      <c r="AT87" s="337"/>
      <c r="AU87" s="337"/>
      <c r="AV87" s="335"/>
      <c r="AW87" s="337"/>
      <c r="AX87" s="335">
        <f t="shared" si="5"/>
        <v>0</v>
      </c>
      <c r="AY87" s="340" t="s">
        <v>213</v>
      </c>
      <c r="BA87" s="540">
        <v>0</v>
      </c>
      <c r="BB87" s="559"/>
      <c r="BC87" s="340"/>
      <c r="BD87" s="335"/>
      <c r="BE87" s="337"/>
      <c r="BF87" s="337"/>
      <c r="BG87" s="335"/>
      <c r="BH87" s="337"/>
      <c r="BI87" s="335">
        <f t="shared" si="3"/>
        <v>0</v>
      </c>
      <c r="BJ87" s="340"/>
      <c r="BL87" s="540">
        <v>0</v>
      </c>
      <c r="BM87" s="559"/>
      <c r="BN87" s="340"/>
      <c r="BO87" s="335"/>
      <c r="BP87" s="337"/>
      <c r="BQ87" s="337"/>
      <c r="BR87" s="335"/>
      <c r="BS87" s="337"/>
      <c r="BT87" s="335">
        <f t="shared" si="4"/>
        <v>0</v>
      </c>
      <c r="BU87" s="340"/>
    </row>
    <row r="88" customHeight="1" spans="1:73">
      <c r="A88" s="563" t="s">
        <v>1044</v>
      </c>
      <c r="B88" s="561" t="s">
        <v>1045</v>
      </c>
      <c r="C88" s="596" t="s">
        <v>1046</v>
      </c>
      <c r="D88" s="250" t="s">
        <v>251</v>
      </c>
      <c r="E88" s="596" t="s">
        <v>226</v>
      </c>
      <c r="F88" s="38"/>
      <c r="G88" s="623" t="s">
        <v>1047</v>
      </c>
      <c r="H88" s="615" t="s">
        <v>238</v>
      </c>
      <c r="I88" s="615" t="s">
        <v>220</v>
      </c>
      <c r="J88" s="615" t="s">
        <v>1048</v>
      </c>
      <c r="K88" s="615" t="s">
        <v>1049</v>
      </c>
      <c r="L88" s="616" t="s">
        <v>1050</v>
      </c>
      <c r="M88" s="617"/>
      <c r="N88" s="618">
        <v>45132</v>
      </c>
      <c r="O88" s="443" t="s">
        <v>210</v>
      </c>
      <c r="P88" s="624">
        <v>20</v>
      </c>
      <c r="Q88" s="539">
        <v>0</v>
      </c>
      <c r="R88" s="282"/>
      <c r="T88" s="540">
        <v>0</v>
      </c>
      <c r="U88" s="559"/>
      <c r="V88" s="350"/>
      <c r="W88" s="545"/>
      <c r="X88" s="543"/>
      <c r="Y88" s="544"/>
      <c r="Z88" s="545"/>
      <c r="AA88" s="543"/>
      <c r="AB88" s="545">
        <f t="shared" si="0"/>
        <v>0</v>
      </c>
      <c r="AC88" s="250" t="s">
        <v>213</v>
      </c>
      <c r="AD88" s="280"/>
      <c r="AE88" s="540">
        <v>0</v>
      </c>
      <c r="AF88" s="559"/>
      <c r="AH88" s="338"/>
      <c r="AI88" s="339"/>
      <c r="AJ88" s="345"/>
      <c r="AK88" s="338"/>
      <c r="AL88" s="339"/>
      <c r="AM88" s="338">
        <f t="shared" si="1"/>
        <v>0</v>
      </c>
      <c r="AN88" s="340" t="s">
        <v>213</v>
      </c>
      <c r="AP88" s="540">
        <v>0</v>
      </c>
      <c r="AQ88" s="559"/>
      <c r="AR88" s="340"/>
      <c r="AS88" s="335"/>
      <c r="AT88" s="337"/>
      <c r="AU88" s="337"/>
      <c r="AV88" s="335"/>
      <c r="AW88" s="337"/>
      <c r="AX88" s="335">
        <f t="shared" si="5"/>
        <v>0</v>
      </c>
      <c r="AY88" s="340" t="s">
        <v>213</v>
      </c>
      <c r="BA88" s="540">
        <v>0</v>
      </c>
      <c r="BB88" s="559"/>
      <c r="BC88" s="340"/>
      <c r="BD88" s="335"/>
      <c r="BE88" s="337"/>
      <c r="BF88" s="337"/>
      <c r="BG88" s="335"/>
      <c r="BH88" s="337"/>
      <c r="BI88" s="335">
        <f t="shared" si="3"/>
        <v>0</v>
      </c>
      <c r="BJ88" s="340"/>
      <c r="BL88" s="540">
        <v>0</v>
      </c>
      <c r="BM88" s="559"/>
      <c r="BN88" s="340"/>
      <c r="BO88" s="335"/>
      <c r="BP88" s="337"/>
      <c r="BQ88" s="337"/>
      <c r="BR88" s="335"/>
      <c r="BS88" s="337"/>
      <c r="BT88" s="335">
        <f t="shared" si="4"/>
        <v>0</v>
      </c>
      <c r="BU88" s="340"/>
    </row>
    <row r="89" customHeight="1" spans="1:73">
      <c r="A89" s="549" t="s">
        <v>1051</v>
      </c>
      <c r="B89" s="620" t="s">
        <v>1052</v>
      </c>
      <c r="C89" s="549" t="s">
        <v>1053</v>
      </c>
      <c r="D89" s="250" t="s">
        <v>201</v>
      </c>
      <c r="E89" s="550" t="s">
        <v>202</v>
      </c>
      <c r="F89" s="549"/>
      <c r="G89" s="536" t="s">
        <v>1054</v>
      </c>
      <c r="H89" s="7" t="s">
        <v>238</v>
      </c>
      <c r="I89" s="7" t="s">
        <v>206</v>
      </c>
      <c r="J89" s="7" t="s">
        <v>1055</v>
      </c>
      <c r="K89" s="7" t="s">
        <v>1056</v>
      </c>
      <c r="L89" s="222" t="s">
        <v>1057</v>
      </c>
      <c r="M89" s="414" t="s">
        <v>1058</v>
      </c>
      <c r="N89" s="355">
        <v>45916</v>
      </c>
      <c r="O89" s="327" t="s">
        <v>210</v>
      </c>
      <c r="P89" s="538" t="s">
        <v>242</v>
      </c>
      <c r="Q89" s="539">
        <v>0</v>
      </c>
      <c r="R89" s="282"/>
      <c r="S89" s="282">
        <v>25</v>
      </c>
      <c r="T89" s="540">
        <v>0</v>
      </c>
      <c r="U89" s="260">
        <v>46041</v>
      </c>
      <c r="V89" s="331">
        <v>46037</v>
      </c>
      <c r="W89" s="539">
        <v>25</v>
      </c>
      <c r="X89" s="543" t="s">
        <v>23</v>
      </c>
      <c r="Y89" s="544"/>
      <c r="Z89" s="545"/>
      <c r="AA89" s="543"/>
      <c r="AB89" s="545">
        <f t="shared" si="0"/>
        <v>0</v>
      </c>
      <c r="AC89" s="250" t="s">
        <v>213</v>
      </c>
      <c r="AD89" s="283">
        <v>25</v>
      </c>
      <c r="AE89" s="540">
        <v>0</v>
      </c>
      <c r="AF89" s="260">
        <v>46072</v>
      </c>
      <c r="AG89" s="251">
        <v>46076</v>
      </c>
      <c r="AH89" s="335">
        <v>25</v>
      </c>
      <c r="AI89" s="336" t="s">
        <v>23</v>
      </c>
      <c r="AJ89" s="345"/>
      <c r="AK89" s="338"/>
      <c r="AL89" s="339"/>
      <c r="AM89" s="338">
        <f t="shared" si="1"/>
        <v>0</v>
      </c>
      <c r="AN89" s="340" t="s">
        <v>1059</v>
      </c>
      <c r="AO89" s="282">
        <v>25</v>
      </c>
      <c r="AP89" s="540">
        <v>0</v>
      </c>
      <c r="AQ89" s="260">
        <v>46100</v>
      </c>
      <c r="AR89" s="340" t="s">
        <v>1060</v>
      </c>
      <c r="AS89" s="335">
        <v>25</v>
      </c>
      <c r="AT89" s="337" t="s">
        <v>35</v>
      </c>
      <c r="AU89" s="337"/>
      <c r="AV89" s="335"/>
      <c r="AW89" s="337"/>
      <c r="AX89" s="335">
        <f t="shared" si="5"/>
        <v>0</v>
      </c>
      <c r="AY89" s="340" t="s">
        <v>1061</v>
      </c>
      <c r="AZ89" s="282">
        <f>25+35</f>
        <v>60</v>
      </c>
      <c r="BA89" s="540">
        <v>0</v>
      </c>
      <c r="BB89" s="260">
        <v>46131</v>
      </c>
      <c r="BC89" s="340" t="s">
        <v>1062</v>
      </c>
      <c r="BD89" s="335">
        <v>25</v>
      </c>
      <c r="BE89" s="337" t="s">
        <v>35</v>
      </c>
      <c r="BF89" s="337"/>
      <c r="BG89" s="335"/>
      <c r="BH89" s="337"/>
      <c r="BI89" s="335">
        <f t="shared" si="3"/>
        <v>35</v>
      </c>
      <c r="BJ89" s="340"/>
      <c r="BK89" s="282">
        <f>25+35</f>
        <v>60</v>
      </c>
      <c r="BL89" s="540">
        <v>0</v>
      </c>
      <c r="BM89" s="260">
        <v>46161</v>
      </c>
      <c r="BN89" s="340"/>
      <c r="BO89" s="335"/>
      <c r="BP89" s="337"/>
      <c r="BQ89" s="337"/>
      <c r="BR89" s="335"/>
      <c r="BS89" s="337"/>
      <c r="BT89" s="335">
        <f t="shared" si="4"/>
        <v>95</v>
      </c>
      <c r="BU89" s="340"/>
    </row>
    <row r="90" customHeight="1" spans="1:73">
      <c r="A90" s="549" t="s">
        <v>1063</v>
      </c>
      <c r="B90" s="620" t="s">
        <v>1064</v>
      </c>
      <c r="C90" s="549" t="s">
        <v>1065</v>
      </c>
      <c r="D90" s="250" t="s">
        <v>201</v>
      </c>
      <c r="E90" s="550" t="s">
        <v>1066</v>
      </c>
      <c r="F90" s="550" t="s">
        <v>227</v>
      </c>
      <c r="G90" s="536" t="s">
        <v>1067</v>
      </c>
      <c r="H90" s="7" t="s">
        <v>238</v>
      </c>
      <c r="I90" s="7" t="s">
        <v>220</v>
      </c>
      <c r="J90" s="7" t="s">
        <v>391</v>
      </c>
      <c r="K90" s="7" t="s">
        <v>1068</v>
      </c>
      <c r="L90" s="222" t="s">
        <v>1069</v>
      </c>
      <c r="M90" s="7" t="s">
        <v>1070</v>
      </c>
      <c r="N90" s="54">
        <v>46051</v>
      </c>
      <c r="O90" s="327" t="s">
        <v>210</v>
      </c>
      <c r="P90" s="538" t="s">
        <v>242</v>
      </c>
      <c r="Q90" s="539">
        <v>-0.2</v>
      </c>
      <c r="R90" s="282" t="s">
        <v>1071</v>
      </c>
      <c r="S90" s="282">
        <v>23</v>
      </c>
      <c r="T90" s="540">
        <v>0</v>
      </c>
      <c r="U90" s="260">
        <v>46041</v>
      </c>
      <c r="V90" s="350" t="s">
        <v>429</v>
      </c>
      <c r="W90" s="539">
        <v>23</v>
      </c>
      <c r="X90" s="543" t="s">
        <v>35</v>
      </c>
      <c r="Y90" s="544"/>
      <c r="Z90" s="545"/>
      <c r="AA90" s="543"/>
      <c r="AB90" s="545">
        <f t="shared" si="0"/>
        <v>-0.199999999999999</v>
      </c>
      <c r="AC90" s="250" t="s">
        <v>1072</v>
      </c>
      <c r="AD90" s="283">
        <v>23</v>
      </c>
      <c r="AE90" s="540">
        <v>0</v>
      </c>
      <c r="AF90" s="260">
        <v>46072</v>
      </c>
      <c r="AG90" s="251">
        <v>46076</v>
      </c>
      <c r="AH90" s="335">
        <v>23</v>
      </c>
      <c r="AI90" s="336" t="s">
        <v>35</v>
      </c>
      <c r="AJ90" s="337"/>
      <c r="AK90" s="335"/>
      <c r="AL90" s="336"/>
      <c r="AM90" s="335">
        <f t="shared" si="1"/>
        <v>-0.199999999999999</v>
      </c>
      <c r="AN90" s="340" t="s">
        <v>1073</v>
      </c>
      <c r="AO90" s="282">
        <v>23</v>
      </c>
      <c r="AP90" s="540">
        <v>0</v>
      </c>
      <c r="AQ90" s="260">
        <v>46100</v>
      </c>
      <c r="AR90" s="340" t="s">
        <v>914</v>
      </c>
      <c r="AS90" s="335">
        <v>23</v>
      </c>
      <c r="AT90" s="337" t="s">
        <v>35</v>
      </c>
      <c r="AU90" s="337"/>
      <c r="AV90" s="335"/>
      <c r="AW90" s="337"/>
      <c r="AX90" s="335">
        <f t="shared" si="5"/>
        <v>-0.199999999999999</v>
      </c>
      <c r="AY90" s="340" t="s">
        <v>1074</v>
      </c>
      <c r="AZ90" s="282">
        <v>23</v>
      </c>
      <c r="BA90" s="540">
        <v>0</v>
      </c>
      <c r="BB90" s="260">
        <v>46131</v>
      </c>
      <c r="BC90" s="340" t="s">
        <v>1062</v>
      </c>
      <c r="BD90" s="335">
        <v>25</v>
      </c>
      <c r="BE90" s="337" t="s">
        <v>35</v>
      </c>
      <c r="BF90" s="337"/>
      <c r="BG90" s="335"/>
      <c r="BH90" s="337"/>
      <c r="BI90" s="335">
        <f t="shared" si="3"/>
        <v>-2.2</v>
      </c>
      <c r="BJ90" s="340" t="s">
        <v>1075</v>
      </c>
      <c r="BK90" s="282">
        <v>23</v>
      </c>
      <c r="BL90" s="540">
        <v>0</v>
      </c>
      <c r="BM90" s="260">
        <v>46161</v>
      </c>
      <c r="BN90" s="340"/>
      <c r="BO90" s="335"/>
      <c r="BP90" s="337"/>
      <c r="BQ90" s="337"/>
      <c r="BR90" s="335"/>
      <c r="BS90" s="337"/>
      <c r="BT90" s="335">
        <f t="shared" si="4"/>
        <v>20.8</v>
      </c>
      <c r="BU90" s="340"/>
    </row>
    <row r="91" customHeight="1" spans="1:73">
      <c r="A91" s="549" t="s">
        <v>1076</v>
      </c>
      <c r="B91" s="561" t="s">
        <v>1077</v>
      </c>
      <c r="C91" s="549" t="s">
        <v>1078</v>
      </c>
      <c r="D91" s="250" t="s">
        <v>251</v>
      </c>
      <c r="E91" s="550" t="s">
        <v>202</v>
      </c>
      <c r="F91" s="549"/>
      <c r="G91" s="536" t="s">
        <v>1079</v>
      </c>
      <c r="H91" s="7" t="s">
        <v>238</v>
      </c>
      <c r="I91" s="7" t="s">
        <v>220</v>
      </c>
      <c r="J91" s="7" t="s">
        <v>1080</v>
      </c>
      <c r="K91" s="7" t="s">
        <v>1081</v>
      </c>
      <c r="L91" s="222" t="s">
        <v>1082</v>
      </c>
      <c r="M91" s="232"/>
      <c r="N91" s="355">
        <v>45163</v>
      </c>
      <c r="O91" s="327" t="s">
        <v>210</v>
      </c>
      <c r="P91" s="558">
        <v>15</v>
      </c>
      <c r="Q91" s="539">
        <v>0</v>
      </c>
      <c r="R91" s="282"/>
      <c r="S91" s="282"/>
      <c r="T91" s="540">
        <v>0</v>
      </c>
      <c r="U91" s="559"/>
      <c r="V91" s="350"/>
      <c r="W91" s="545"/>
      <c r="X91" s="543"/>
      <c r="Y91" s="544"/>
      <c r="Z91" s="545"/>
      <c r="AA91" s="543"/>
      <c r="AB91" s="545">
        <f t="shared" si="0"/>
        <v>0</v>
      </c>
      <c r="AC91" s="250" t="s">
        <v>213</v>
      </c>
      <c r="AD91" s="283"/>
      <c r="AE91" s="540">
        <v>0</v>
      </c>
      <c r="AF91" s="559"/>
      <c r="AH91" s="338"/>
      <c r="AI91" s="339"/>
      <c r="AJ91" s="345"/>
      <c r="AK91" s="338"/>
      <c r="AL91" s="339"/>
      <c r="AM91" s="338">
        <f t="shared" si="1"/>
        <v>0</v>
      </c>
      <c r="AN91" s="340" t="s">
        <v>213</v>
      </c>
      <c r="AO91" s="282"/>
      <c r="AP91" s="540">
        <v>0</v>
      </c>
      <c r="AQ91" s="559"/>
      <c r="AR91" s="340"/>
      <c r="AS91" s="335"/>
      <c r="AT91" s="337"/>
      <c r="AU91" s="337"/>
      <c r="AV91" s="335"/>
      <c r="AW91" s="337"/>
      <c r="AX91" s="335">
        <f t="shared" si="5"/>
        <v>0</v>
      </c>
      <c r="AY91" s="340" t="s">
        <v>213</v>
      </c>
      <c r="AZ91" s="282"/>
      <c r="BA91" s="540">
        <v>0</v>
      </c>
      <c r="BB91" s="559"/>
      <c r="BC91" s="340"/>
      <c r="BD91" s="335"/>
      <c r="BE91" s="337"/>
      <c r="BF91" s="337"/>
      <c r="BG91" s="335"/>
      <c r="BH91" s="337"/>
      <c r="BI91" s="335">
        <f t="shared" si="3"/>
        <v>0</v>
      </c>
      <c r="BJ91" s="340"/>
      <c r="BK91" s="282"/>
      <c r="BL91" s="540">
        <v>0</v>
      </c>
      <c r="BM91" s="559"/>
      <c r="BN91" s="340"/>
      <c r="BO91" s="335"/>
      <c r="BP91" s="337"/>
      <c r="BQ91" s="337"/>
      <c r="BR91" s="335"/>
      <c r="BS91" s="337"/>
      <c r="BT91" s="335">
        <f t="shared" si="4"/>
        <v>0</v>
      </c>
      <c r="BU91" s="340"/>
    </row>
    <row r="92" customHeight="1" spans="1:73">
      <c r="A92" s="549" t="s">
        <v>1083</v>
      </c>
      <c r="B92" s="625" t="s">
        <v>1084</v>
      </c>
      <c r="C92" s="549" t="s">
        <v>1085</v>
      </c>
      <c r="D92" s="250" t="s">
        <v>201</v>
      </c>
      <c r="E92" s="550" t="s">
        <v>1066</v>
      </c>
      <c r="F92" s="549"/>
      <c r="G92" s="551" t="s">
        <v>1086</v>
      </c>
      <c r="H92" s="1" t="s">
        <v>238</v>
      </c>
      <c r="I92" s="1" t="s">
        <v>206</v>
      </c>
      <c r="J92" s="1" t="s">
        <v>1087</v>
      </c>
      <c r="K92" s="1" t="s">
        <v>1088</v>
      </c>
      <c r="L92" s="380" t="s">
        <v>1089</v>
      </c>
      <c r="M92" s="626"/>
      <c r="N92" s="627">
        <v>45169</v>
      </c>
      <c r="O92" s="552" t="s">
        <v>210</v>
      </c>
      <c r="P92" s="553" t="s">
        <v>242</v>
      </c>
      <c r="Q92" s="539">
        <v>0</v>
      </c>
      <c r="R92" s="282" t="s">
        <v>1090</v>
      </c>
      <c r="S92" s="282">
        <v>23</v>
      </c>
      <c r="T92" s="540">
        <v>0</v>
      </c>
      <c r="U92" s="260">
        <v>46031</v>
      </c>
      <c r="V92" s="331">
        <v>46031</v>
      </c>
      <c r="W92" s="539">
        <v>25</v>
      </c>
      <c r="X92" s="543" t="s">
        <v>35</v>
      </c>
      <c r="Y92" s="544"/>
      <c r="Z92" s="545"/>
      <c r="AA92" s="543"/>
      <c r="AB92" s="545">
        <f t="shared" si="0"/>
        <v>-2</v>
      </c>
      <c r="AC92" s="250" t="s">
        <v>1091</v>
      </c>
      <c r="AD92" s="283">
        <v>23</v>
      </c>
      <c r="AE92" s="540">
        <v>0</v>
      </c>
      <c r="AF92" s="260">
        <v>46062</v>
      </c>
      <c r="AG92" s="251">
        <v>46066</v>
      </c>
      <c r="AH92" s="335">
        <f>21+23</f>
        <v>44</v>
      </c>
      <c r="AI92" s="336" t="s">
        <v>35</v>
      </c>
      <c r="AJ92" s="337"/>
      <c r="AK92" s="335"/>
      <c r="AL92" s="336"/>
      <c r="AM92" s="335">
        <f t="shared" si="1"/>
        <v>-23</v>
      </c>
      <c r="AN92" s="340" t="s">
        <v>1092</v>
      </c>
      <c r="AO92" s="282">
        <v>23</v>
      </c>
      <c r="AP92" s="540">
        <v>0</v>
      </c>
      <c r="AQ92" s="260">
        <v>46090</v>
      </c>
      <c r="AR92" s="340"/>
      <c r="AS92" s="335"/>
      <c r="AT92" s="337"/>
      <c r="AU92" s="337"/>
      <c r="AV92" s="335"/>
      <c r="AW92" s="337"/>
      <c r="AX92" s="335">
        <f t="shared" si="5"/>
        <v>0</v>
      </c>
      <c r="AY92" s="340" t="s">
        <v>1093</v>
      </c>
      <c r="AZ92" s="282">
        <v>23</v>
      </c>
      <c r="BA92" s="540">
        <v>0</v>
      </c>
      <c r="BB92" s="260">
        <v>46121</v>
      </c>
      <c r="BC92" s="340" t="s">
        <v>626</v>
      </c>
      <c r="BD92" s="335">
        <v>23</v>
      </c>
      <c r="BE92" s="337" t="s">
        <v>35</v>
      </c>
      <c r="BF92" s="337"/>
      <c r="BG92" s="335"/>
      <c r="BH92" s="337"/>
      <c r="BI92" s="335">
        <f t="shared" si="3"/>
        <v>0</v>
      </c>
      <c r="BJ92" s="340" t="s">
        <v>1094</v>
      </c>
      <c r="BK92" s="282">
        <v>23</v>
      </c>
      <c r="BL92" s="540">
        <v>0</v>
      </c>
      <c r="BM92" s="260">
        <v>46151</v>
      </c>
      <c r="BN92" s="340"/>
      <c r="BO92" s="335"/>
      <c r="BP92" s="337"/>
      <c r="BQ92" s="337"/>
      <c r="BR92" s="335"/>
      <c r="BS92" s="337"/>
      <c r="BT92" s="335">
        <f t="shared" si="4"/>
        <v>23</v>
      </c>
      <c r="BU92" s="340"/>
    </row>
    <row r="93" customHeight="1" spans="1:73">
      <c r="A93" s="549" t="s">
        <v>1095</v>
      </c>
      <c r="B93" s="608" t="s">
        <v>1096</v>
      </c>
      <c r="C93" s="549" t="s">
        <v>1097</v>
      </c>
      <c r="D93" s="250" t="s">
        <v>201</v>
      </c>
      <c r="E93" s="550" t="s">
        <v>1098</v>
      </c>
      <c r="F93" s="549"/>
      <c r="G93" s="536" t="s">
        <v>1099</v>
      </c>
      <c r="H93" s="7" t="s">
        <v>238</v>
      </c>
      <c r="I93" s="7" t="s">
        <v>206</v>
      </c>
      <c r="J93" s="7" t="s">
        <v>1100</v>
      </c>
      <c r="K93" s="7" t="s">
        <v>1101</v>
      </c>
      <c r="L93" s="222" t="s">
        <v>1102</v>
      </c>
      <c r="M93" s="414" t="s">
        <v>1103</v>
      </c>
      <c r="N93" s="355">
        <v>6692583</v>
      </c>
      <c r="O93" s="327" t="s">
        <v>210</v>
      </c>
      <c r="P93" s="538" t="s">
        <v>242</v>
      </c>
      <c r="Q93" s="539">
        <v>0.2</v>
      </c>
      <c r="R93" s="282" t="s">
        <v>1104</v>
      </c>
      <c r="S93" s="282">
        <v>23</v>
      </c>
      <c r="T93" s="540">
        <v>0</v>
      </c>
      <c r="U93" s="260">
        <v>46041</v>
      </c>
      <c r="V93" s="331">
        <v>46034</v>
      </c>
      <c r="W93" s="539">
        <v>23</v>
      </c>
      <c r="X93" s="543" t="s">
        <v>23</v>
      </c>
      <c r="Y93" s="544"/>
      <c r="Z93" s="545"/>
      <c r="AA93" s="543"/>
      <c r="AB93" s="545">
        <f t="shared" si="0"/>
        <v>0.199999999999999</v>
      </c>
      <c r="AC93" s="250" t="s">
        <v>1105</v>
      </c>
      <c r="AD93" s="283">
        <v>23</v>
      </c>
      <c r="AE93" s="540">
        <v>0</v>
      </c>
      <c r="AF93" s="260">
        <v>46072</v>
      </c>
      <c r="AG93" s="251">
        <v>46066</v>
      </c>
      <c r="AH93" s="335">
        <v>23</v>
      </c>
      <c r="AI93" s="336" t="s">
        <v>23</v>
      </c>
      <c r="AJ93" s="337"/>
      <c r="AK93" s="335"/>
      <c r="AL93" s="336"/>
      <c r="AM93" s="335">
        <f t="shared" si="1"/>
        <v>0.199999999999999</v>
      </c>
      <c r="AN93" s="340" t="s">
        <v>1106</v>
      </c>
      <c r="AO93" s="282">
        <v>23</v>
      </c>
      <c r="AP93" s="540">
        <v>0</v>
      </c>
      <c r="AQ93" s="260">
        <v>46100</v>
      </c>
      <c r="AR93" s="340"/>
      <c r="AS93" s="335"/>
      <c r="AT93" s="337"/>
      <c r="AU93" s="337"/>
      <c r="AV93" s="335"/>
      <c r="AW93" s="337"/>
      <c r="AX93" s="335">
        <v>10</v>
      </c>
      <c r="AY93" s="340" t="s">
        <v>1107</v>
      </c>
      <c r="AZ93" s="282">
        <v>23</v>
      </c>
      <c r="BA93" s="540">
        <v>0</v>
      </c>
      <c r="BB93" s="260">
        <v>46131</v>
      </c>
      <c r="BC93" s="340"/>
      <c r="BD93" s="335"/>
      <c r="BE93" s="337"/>
      <c r="BF93" s="337"/>
      <c r="BG93" s="335"/>
      <c r="BH93" s="337"/>
      <c r="BI93" s="335">
        <f t="shared" si="3"/>
        <v>33</v>
      </c>
      <c r="BJ93" s="340" t="s">
        <v>1108</v>
      </c>
      <c r="BK93" s="282">
        <v>23</v>
      </c>
      <c r="BL93" s="540">
        <v>0</v>
      </c>
      <c r="BM93" s="260">
        <v>46161</v>
      </c>
      <c r="BN93" s="340"/>
      <c r="BO93" s="335"/>
      <c r="BP93" s="337"/>
      <c r="BQ93" s="337"/>
      <c r="BR93" s="335"/>
      <c r="BS93" s="337"/>
      <c r="BT93" s="335">
        <f t="shared" si="4"/>
        <v>56</v>
      </c>
      <c r="BU93" s="340"/>
    </row>
    <row r="94" customHeight="1" spans="1:73">
      <c r="A94" s="563" t="s">
        <v>1109</v>
      </c>
      <c r="B94" s="561" t="s">
        <v>1110</v>
      </c>
      <c r="C94" s="549" t="s">
        <v>1111</v>
      </c>
      <c r="D94" s="250" t="s">
        <v>251</v>
      </c>
      <c r="E94" s="549"/>
      <c r="F94" s="549"/>
      <c r="G94" s="536" t="s">
        <v>1112</v>
      </c>
      <c r="H94" s="7" t="s">
        <v>238</v>
      </c>
      <c r="I94" s="7" t="s">
        <v>220</v>
      </c>
      <c r="J94" s="7" t="s">
        <v>1113</v>
      </c>
      <c r="K94" s="7" t="s">
        <v>1114</v>
      </c>
      <c r="L94" s="222" t="s">
        <v>1115</v>
      </c>
      <c r="M94" s="414" t="s">
        <v>1116</v>
      </c>
      <c r="N94" s="355">
        <v>45175</v>
      </c>
      <c r="O94" s="327" t="s">
        <v>210</v>
      </c>
      <c r="P94" s="558">
        <v>45</v>
      </c>
      <c r="Q94" s="539">
        <v>0</v>
      </c>
      <c r="R94" s="282"/>
      <c r="S94" s="282"/>
      <c r="T94" s="540">
        <v>0</v>
      </c>
      <c r="U94" s="559"/>
      <c r="V94" s="350"/>
      <c r="W94" s="545"/>
      <c r="X94" s="543"/>
      <c r="Y94" s="544"/>
      <c r="Z94" s="545"/>
      <c r="AA94" s="543"/>
      <c r="AB94" s="545">
        <f t="shared" si="0"/>
        <v>0</v>
      </c>
      <c r="AC94" s="250" t="s">
        <v>213</v>
      </c>
      <c r="AD94" s="283"/>
      <c r="AE94" s="540">
        <v>0</v>
      </c>
      <c r="AF94" s="559"/>
      <c r="AH94" s="338"/>
      <c r="AI94" s="339"/>
      <c r="AJ94" s="345"/>
      <c r="AK94" s="338"/>
      <c r="AL94" s="339"/>
      <c r="AM94" s="338">
        <f t="shared" si="1"/>
        <v>0</v>
      </c>
      <c r="AN94" s="340" t="s">
        <v>213</v>
      </c>
      <c r="AO94" s="282"/>
      <c r="AP94" s="540">
        <v>0</v>
      </c>
      <c r="AQ94" s="559"/>
      <c r="AR94" s="340"/>
      <c r="AS94" s="335"/>
      <c r="AT94" s="337"/>
      <c r="AU94" s="337"/>
      <c r="AV94" s="335"/>
      <c r="AW94" s="337"/>
      <c r="AX94" s="335">
        <f t="shared" ref="AX94:AX265" si="6">(AM94+AO94+AP94)-(AS94+AV94)</f>
        <v>0</v>
      </c>
      <c r="AY94" s="340" t="s">
        <v>213</v>
      </c>
      <c r="AZ94" s="282"/>
      <c r="BA94" s="540">
        <v>0</v>
      </c>
      <c r="BB94" s="559"/>
      <c r="BC94" s="340"/>
      <c r="BD94" s="335"/>
      <c r="BE94" s="337"/>
      <c r="BF94" s="337"/>
      <c r="BG94" s="335"/>
      <c r="BH94" s="337"/>
      <c r="BI94" s="335">
        <f t="shared" si="3"/>
        <v>0</v>
      </c>
      <c r="BJ94" s="340"/>
      <c r="BK94" s="282"/>
      <c r="BL94" s="540">
        <v>0</v>
      </c>
      <c r="BM94" s="559"/>
      <c r="BN94" s="340"/>
      <c r="BO94" s="335"/>
      <c r="BP94" s="337"/>
      <c r="BQ94" s="337"/>
      <c r="BR94" s="335"/>
      <c r="BS94" s="337"/>
      <c r="BT94" s="335">
        <f t="shared" si="4"/>
        <v>0</v>
      </c>
      <c r="BU94" s="340"/>
    </row>
    <row r="95" customHeight="1" spans="1:73">
      <c r="A95" s="549" t="s">
        <v>1117</v>
      </c>
      <c r="B95" s="628" t="s">
        <v>1118</v>
      </c>
      <c r="C95" s="549" t="s">
        <v>1119</v>
      </c>
      <c r="D95" s="250" t="s">
        <v>201</v>
      </c>
      <c r="E95" s="550" t="s">
        <v>1098</v>
      </c>
      <c r="F95" s="549"/>
      <c r="G95" s="536" t="s">
        <v>1120</v>
      </c>
      <c r="H95" s="7" t="s">
        <v>238</v>
      </c>
      <c r="I95" s="7" t="s">
        <v>206</v>
      </c>
      <c r="J95" s="7" t="s">
        <v>1023</v>
      </c>
      <c r="K95" s="444" t="s">
        <v>1121</v>
      </c>
      <c r="L95" s="222" t="s">
        <v>1122</v>
      </c>
      <c r="M95" s="414" t="s">
        <v>1123</v>
      </c>
      <c r="N95" s="54">
        <v>45176</v>
      </c>
      <c r="O95" s="327" t="s">
        <v>210</v>
      </c>
      <c r="P95" s="538" t="s">
        <v>242</v>
      </c>
      <c r="Q95" s="539">
        <v>0</v>
      </c>
      <c r="R95" s="282"/>
      <c r="S95" s="282">
        <v>23</v>
      </c>
      <c r="T95" s="540">
        <v>0</v>
      </c>
      <c r="U95" s="260">
        <v>46041</v>
      </c>
      <c r="V95" s="542">
        <v>46046.7557866782</v>
      </c>
      <c r="W95" s="539">
        <v>23</v>
      </c>
      <c r="X95" s="543" t="s">
        <v>56</v>
      </c>
      <c r="Y95" s="544"/>
      <c r="Z95" s="545"/>
      <c r="AA95" s="543"/>
      <c r="AB95" s="545">
        <f t="shared" si="0"/>
        <v>0</v>
      </c>
      <c r="AC95" s="250" t="s">
        <v>1124</v>
      </c>
      <c r="AD95" s="283">
        <v>23</v>
      </c>
      <c r="AE95" s="540">
        <v>0</v>
      </c>
      <c r="AF95" s="260">
        <v>46072</v>
      </c>
      <c r="AG95" s="485">
        <v>46075.8641393518</v>
      </c>
      <c r="AH95" s="335">
        <v>20</v>
      </c>
      <c r="AI95" s="336" t="s">
        <v>56</v>
      </c>
      <c r="AJ95" s="337"/>
      <c r="AK95" s="335"/>
      <c r="AL95" s="336"/>
      <c r="AM95" s="335">
        <f t="shared" si="1"/>
        <v>3</v>
      </c>
      <c r="AN95" s="340" t="s">
        <v>1125</v>
      </c>
      <c r="AO95" s="282">
        <v>23</v>
      </c>
      <c r="AP95" s="540">
        <v>0</v>
      </c>
      <c r="AQ95" s="260">
        <v>46100</v>
      </c>
      <c r="AR95" s="485">
        <v>46111.7774346412</v>
      </c>
      <c r="AS95" s="335">
        <v>26</v>
      </c>
      <c r="AT95" s="337" t="s">
        <v>56</v>
      </c>
      <c r="AU95" s="337"/>
      <c r="AV95" s="335"/>
      <c r="AW95" s="337"/>
      <c r="AX95" s="335">
        <f t="shared" si="6"/>
        <v>0</v>
      </c>
      <c r="AY95" s="340" t="s">
        <v>1126</v>
      </c>
      <c r="AZ95" s="282">
        <v>23</v>
      </c>
      <c r="BA95" s="540">
        <v>0</v>
      </c>
      <c r="BB95" s="260">
        <v>46131</v>
      </c>
      <c r="BC95" s="340" t="s">
        <v>398</v>
      </c>
      <c r="BD95" s="335">
        <v>23</v>
      </c>
      <c r="BE95" s="337" t="s">
        <v>56</v>
      </c>
      <c r="BF95" s="337"/>
      <c r="BG95" s="335"/>
      <c r="BH95" s="337"/>
      <c r="BI95" s="335">
        <f t="shared" si="3"/>
        <v>0</v>
      </c>
      <c r="BJ95" s="340" t="s">
        <v>1127</v>
      </c>
      <c r="BK95" s="282">
        <v>23</v>
      </c>
      <c r="BL95" s="540">
        <v>0</v>
      </c>
      <c r="BM95" s="260">
        <v>46161</v>
      </c>
      <c r="BN95" s="340"/>
      <c r="BO95" s="335"/>
      <c r="BP95" s="337"/>
      <c r="BQ95" s="337"/>
      <c r="BR95" s="335"/>
      <c r="BS95" s="337"/>
      <c r="BT95" s="335">
        <f t="shared" si="4"/>
        <v>23</v>
      </c>
      <c r="BU95" s="340"/>
    </row>
    <row r="96" customHeight="1" spans="1:73">
      <c r="A96" s="549" t="s">
        <v>1128</v>
      </c>
      <c r="B96" s="629" t="s">
        <v>1129</v>
      </c>
      <c r="C96" s="549" t="s">
        <v>1130</v>
      </c>
      <c r="D96" s="250" t="s">
        <v>472</v>
      </c>
      <c r="E96" s="550" t="s">
        <v>202</v>
      </c>
      <c r="F96" s="549"/>
      <c r="G96" s="50"/>
      <c r="H96" s="7" t="s">
        <v>238</v>
      </c>
      <c r="I96" s="7" t="s">
        <v>206</v>
      </c>
      <c r="J96" s="7" t="s">
        <v>1131</v>
      </c>
      <c r="K96" s="7"/>
      <c r="L96" s="222"/>
      <c r="M96" s="49"/>
      <c r="N96" s="54">
        <v>45181</v>
      </c>
      <c r="O96" s="327" t="s">
        <v>384</v>
      </c>
      <c r="P96" s="538" t="s">
        <v>242</v>
      </c>
      <c r="Q96" s="539">
        <v>40.54</v>
      </c>
      <c r="R96" s="282"/>
      <c r="S96" s="282"/>
      <c r="T96" s="540">
        <v>0</v>
      </c>
      <c r="U96" s="260">
        <v>46036</v>
      </c>
      <c r="V96" s="350"/>
      <c r="W96" s="545"/>
      <c r="X96" s="543"/>
      <c r="Y96" s="544"/>
      <c r="Z96" s="545"/>
      <c r="AA96" s="543"/>
      <c r="AB96" s="545">
        <f t="shared" si="0"/>
        <v>40.54</v>
      </c>
      <c r="AC96" s="250" t="s">
        <v>213</v>
      </c>
      <c r="AD96" s="283"/>
      <c r="AE96" s="540">
        <v>0</v>
      </c>
      <c r="AF96" s="260">
        <v>46067</v>
      </c>
      <c r="AH96" s="338"/>
      <c r="AI96" s="339"/>
      <c r="AJ96" s="345"/>
      <c r="AK96" s="338"/>
      <c r="AL96" s="339"/>
      <c r="AM96" s="338">
        <f t="shared" si="1"/>
        <v>40.54</v>
      </c>
      <c r="AN96" s="340" t="s">
        <v>213</v>
      </c>
      <c r="AO96" s="282"/>
      <c r="AP96" s="540">
        <v>0</v>
      </c>
      <c r="AQ96" s="260">
        <v>46095</v>
      </c>
      <c r="AR96" s="340"/>
      <c r="AS96" s="335"/>
      <c r="AT96" s="337"/>
      <c r="AU96" s="337"/>
      <c r="AV96" s="335"/>
      <c r="AW96" s="337"/>
      <c r="AX96" s="335">
        <f t="shared" si="6"/>
        <v>40.54</v>
      </c>
      <c r="AY96" s="340" t="s">
        <v>213</v>
      </c>
      <c r="AZ96" s="282"/>
      <c r="BA96" s="540">
        <v>0</v>
      </c>
      <c r="BB96" s="260">
        <v>46126</v>
      </c>
      <c r="BC96" s="340"/>
      <c r="BD96" s="335"/>
      <c r="BE96" s="337"/>
      <c r="BF96" s="337"/>
      <c r="BG96" s="335"/>
      <c r="BH96" s="337"/>
      <c r="BI96" s="335">
        <f t="shared" si="3"/>
        <v>40.54</v>
      </c>
      <c r="BJ96" s="340"/>
      <c r="BK96" s="282"/>
      <c r="BL96" s="540">
        <v>0</v>
      </c>
      <c r="BM96" s="260">
        <v>46156</v>
      </c>
      <c r="BN96" s="340"/>
      <c r="BO96" s="335"/>
      <c r="BP96" s="337"/>
      <c r="BQ96" s="337"/>
      <c r="BR96" s="335"/>
      <c r="BS96" s="337"/>
      <c r="BT96" s="335">
        <f t="shared" si="4"/>
        <v>40.54</v>
      </c>
      <c r="BU96" s="340"/>
    </row>
    <row r="97" customHeight="1" spans="1:73">
      <c r="A97" s="563" t="s">
        <v>1132</v>
      </c>
      <c r="B97" s="630" t="s">
        <v>1133</v>
      </c>
      <c r="C97" s="549" t="s">
        <v>1134</v>
      </c>
      <c r="D97" s="250" t="s">
        <v>201</v>
      </c>
      <c r="E97" s="550" t="s">
        <v>226</v>
      </c>
      <c r="F97" s="549"/>
      <c r="G97" s="631" t="s">
        <v>878</v>
      </c>
      <c r="H97" s="7" t="s">
        <v>238</v>
      </c>
      <c r="I97" s="7" t="s">
        <v>206</v>
      </c>
      <c r="J97" s="7" t="s">
        <v>1135</v>
      </c>
      <c r="K97" s="7" t="s">
        <v>880</v>
      </c>
      <c r="L97" s="222"/>
      <c r="M97" s="49"/>
      <c r="N97" s="54">
        <v>45189</v>
      </c>
      <c r="O97" s="327" t="s">
        <v>210</v>
      </c>
      <c r="P97" s="538" t="s">
        <v>242</v>
      </c>
      <c r="Q97" s="539">
        <v>0</v>
      </c>
      <c r="R97" s="282"/>
      <c r="S97" s="282">
        <v>27</v>
      </c>
      <c r="T97" s="540">
        <v>4</v>
      </c>
      <c r="U97" s="260">
        <v>46036</v>
      </c>
      <c r="V97" s="331"/>
      <c r="W97" s="539">
        <v>31</v>
      </c>
      <c r="X97" s="543"/>
      <c r="Y97" s="544"/>
      <c r="Z97" s="545"/>
      <c r="AA97" s="543"/>
      <c r="AB97" s="545">
        <f t="shared" si="0"/>
        <v>0</v>
      </c>
      <c r="AC97" s="250" t="s">
        <v>213</v>
      </c>
      <c r="AD97" s="283">
        <v>27</v>
      </c>
      <c r="AE97" s="540">
        <v>4</v>
      </c>
      <c r="AF97" s="260">
        <v>46067</v>
      </c>
      <c r="AG97" s="251">
        <v>46090</v>
      </c>
      <c r="AH97" s="335">
        <v>30.4</v>
      </c>
      <c r="AI97" s="336" t="s">
        <v>56</v>
      </c>
      <c r="AJ97" s="345"/>
      <c r="AK97" s="338"/>
      <c r="AL97" s="339"/>
      <c r="AM97" s="338">
        <f t="shared" si="1"/>
        <v>0.600000000000001</v>
      </c>
      <c r="AN97" s="340" t="s">
        <v>213</v>
      </c>
      <c r="AO97" s="282">
        <v>27</v>
      </c>
      <c r="AP97" s="540">
        <v>4</v>
      </c>
      <c r="AQ97" s="260">
        <v>46095</v>
      </c>
      <c r="AR97" s="340" t="s">
        <v>510</v>
      </c>
      <c r="AS97" s="335">
        <v>27</v>
      </c>
      <c r="AT97" s="337" t="s">
        <v>56</v>
      </c>
      <c r="AU97" s="337"/>
      <c r="AV97" s="335">
        <v>4.6</v>
      </c>
      <c r="AW97" s="337" t="s">
        <v>56</v>
      </c>
      <c r="AX97" s="335">
        <f t="shared" si="6"/>
        <v>0</v>
      </c>
      <c r="AY97" s="340" t="s">
        <v>213</v>
      </c>
      <c r="AZ97" s="282">
        <v>27</v>
      </c>
      <c r="BA97" s="540">
        <v>4</v>
      </c>
      <c r="BB97" s="260">
        <v>46126</v>
      </c>
      <c r="BC97" s="485">
        <v>46135.40923625</v>
      </c>
      <c r="BD97" s="335">
        <v>31</v>
      </c>
      <c r="BE97" s="337" t="s">
        <v>56</v>
      </c>
      <c r="BF97" s="337"/>
      <c r="BG97" s="335"/>
      <c r="BH97" s="337"/>
      <c r="BI97" s="335">
        <f t="shared" si="3"/>
        <v>0</v>
      </c>
      <c r="BJ97" s="340"/>
      <c r="BK97" s="282">
        <v>27</v>
      </c>
      <c r="BL97" s="540">
        <v>4</v>
      </c>
      <c r="BM97" s="260">
        <v>46156</v>
      </c>
      <c r="BN97" s="340"/>
      <c r="BO97" s="335"/>
      <c r="BP97" s="337"/>
      <c r="BQ97" s="337"/>
      <c r="BR97" s="335"/>
      <c r="BS97" s="337"/>
      <c r="BT97" s="335">
        <f t="shared" si="4"/>
        <v>31</v>
      </c>
      <c r="BU97" s="340"/>
    </row>
    <row r="98" customHeight="1" spans="1:73">
      <c r="A98" s="549" t="s">
        <v>1136</v>
      </c>
      <c r="B98" s="632" t="s">
        <v>1137</v>
      </c>
      <c r="C98" s="549" t="s">
        <v>1138</v>
      </c>
      <c r="D98" s="250" t="s">
        <v>472</v>
      </c>
      <c r="E98" s="550" t="s">
        <v>202</v>
      </c>
      <c r="F98" s="549"/>
      <c r="G98" s="536" t="s">
        <v>1139</v>
      </c>
      <c r="H98" s="7" t="s">
        <v>238</v>
      </c>
      <c r="I98" s="7" t="s">
        <v>206</v>
      </c>
      <c r="J98" s="7" t="s">
        <v>1023</v>
      </c>
      <c r="K98" s="7" t="s">
        <v>335</v>
      </c>
      <c r="L98" s="222" t="s">
        <v>1140</v>
      </c>
      <c r="M98" s="49"/>
      <c r="N98" s="54">
        <v>45183</v>
      </c>
      <c r="O98" s="327" t="s">
        <v>232</v>
      </c>
      <c r="P98" s="538" t="s">
        <v>242</v>
      </c>
      <c r="Q98" s="539">
        <v>0</v>
      </c>
      <c r="R98" s="282"/>
      <c r="S98" s="282"/>
      <c r="T98" s="540">
        <v>0</v>
      </c>
      <c r="U98" s="559"/>
      <c r="V98" s="350"/>
      <c r="W98" s="545"/>
      <c r="X98" s="543"/>
      <c r="Y98" s="544"/>
      <c r="Z98" s="545"/>
      <c r="AA98" s="543"/>
      <c r="AB98" s="545">
        <f t="shared" si="0"/>
        <v>0</v>
      </c>
      <c r="AC98" s="250" t="s">
        <v>213</v>
      </c>
      <c r="AD98" s="283"/>
      <c r="AE98" s="540">
        <v>0</v>
      </c>
      <c r="AF98" s="559"/>
      <c r="AH98" s="338"/>
      <c r="AI98" s="339"/>
      <c r="AJ98" s="345"/>
      <c r="AK98" s="338"/>
      <c r="AL98" s="339"/>
      <c r="AM98" s="338">
        <f t="shared" si="1"/>
        <v>0</v>
      </c>
      <c r="AN98" s="340" t="s">
        <v>213</v>
      </c>
      <c r="AO98" s="282"/>
      <c r="AP98" s="540">
        <v>0</v>
      </c>
      <c r="AQ98" s="559"/>
      <c r="AR98" s="340"/>
      <c r="AS98" s="335"/>
      <c r="AT98" s="337"/>
      <c r="AU98" s="337"/>
      <c r="AV98" s="335"/>
      <c r="AW98" s="337"/>
      <c r="AX98" s="335">
        <f t="shared" si="6"/>
        <v>0</v>
      </c>
      <c r="AY98" s="340" t="s">
        <v>213</v>
      </c>
      <c r="AZ98" s="282"/>
      <c r="BA98" s="540">
        <v>0</v>
      </c>
      <c r="BB98" s="559"/>
      <c r="BC98" s="340"/>
      <c r="BD98" s="335"/>
      <c r="BE98" s="337"/>
      <c r="BF98" s="337"/>
      <c r="BG98" s="335"/>
      <c r="BH98" s="337"/>
      <c r="BI98" s="335">
        <f t="shared" si="3"/>
        <v>0</v>
      </c>
      <c r="BJ98" s="340"/>
      <c r="BK98" s="282"/>
      <c r="BL98" s="540">
        <v>0</v>
      </c>
      <c r="BM98" s="559"/>
      <c r="BN98" s="340"/>
      <c r="BO98" s="335"/>
      <c r="BP98" s="337"/>
      <c r="BQ98" s="337"/>
      <c r="BR98" s="335"/>
      <c r="BS98" s="337"/>
      <c r="BT98" s="335">
        <f t="shared" si="4"/>
        <v>0</v>
      </c>
      <c r="BU98" s="340"/>
    </row>
    <row r="99" customHeight="1" spans="1:73">
      <c r="A99" s="549" t="s">
        <v>1141</v>
      </c>
      <c r="B99" s="561" t="s">
        <v>1142</v>
      </c>
      <c r="C99" s="549" t="s">
        <v>1143</v>
      </c>
      <c r="D99" s="250" t="s">
        <v>251</v>
      </c>
      <c r="E99" s="549"/>
      <c r="F99" s="549"/>
      <c r="G99" s="222" t="s">
        <v>1144</v>
      </c>
      <c r="H99" s="7" t="s">
        <v>238</v>
      </c>
      <c r="I99" s="7" t="s">
        <v>220</v>
      </c>
      <c r="J99" s="7" t="s">
        <v>1145</v>
      </c>
      <c r="K99" s="7" t="s">
        <v>1146</v>
      </c>
      <c r="L99" s="222" t="s">
        <v>1147</v>
      </c>
      <c r="M99" s="565" t="s">
        <v>1148</v>
      </c>
      <c r="N99" s="54">
        <v>45193</v>
      </c>
      <c r="O99" s="327" t="s">
        <v>210</v>
      </c>
      <c r="P99" s="538" t="s">
        <v>242</v>
      </c>
      <c r="Q99" s="539">
        <v>0</v>
      </c>
      <c r="R99" s="282"/>
      <c r="S99" s="282"/>
      <c r="T99" s="540">
        <v>0</v>
      </c>
      <c r="U99" s="559"/>
      <c r="V99" s="350"/>
      <c r="W99" s="545"/>
      <c r="X99" s="543"/>
      <c r="Y99" s="544"/>
      <c r="Z99" s="545"/>
      <c r="AA99" s="543"/>
      <c r="AB99" s="545">
        <f t="shared" si="0"/>
        <v>0</v>
      </c>
      <c r="AC99" s="250" t="s">
        <v>213</v>
      </c>
      <c r="AD99" s="283"/>
      <c r="AE99" s="540">
        <v>0</v>
      </c>
      <c r="AF99" s="559"/>
      <c r="AH99" s="338"/>
      <c r="AI99" s="339"/>
      <c r="AJ99" s="345"/>
      <c r="AK99" s="338"/>
      <c r="AL99" s="339"/>
      <c r="AM99" s="338">
        <f t="shared" si="1"/>
        <v>0</v>
      </c>
      <c r="AN99" s="340" t="s">
        <v>213</v>
      </c>
      <c r="AO99" s="282"/>
      <c r="AP99" s="540">
        <v>0</v>
      </c>
      <c r="AQ99" s="559"/>
      <c r="AR99" s="340"/>
      <c r="AS99" s="335"/>
      <c r="AT99" s="337"/>
      <c r="AU99" s="337"/>
      <c r="AV99" s="335"/>
      <c r="AW99" s="337"/>
      <c r="AX99" s="335">
        <f t="shared" si="6"/>
        <v>0</v>
      </c>
      <c r="AY99" s="340" t="s">
        <v>213</v>
      </c>
      <c r="AZ99" s="282"/>
      <c r="BA99" s="540">
        <v>0</v>
      </c>
      <c r="BB99" s="559"/>
      <c r="BC99" s="340"/>
      <c r="BD99" s="335"/>
      <c r="BE99" s="337"/>
      <c r="BF99" s="337"/>
      <c r="BG99" s="335"/>
      <c r="BH99" s="337"/>
      <c r="BI99" s="335">
        <f t="shared" si="3"/>
        <v>0</v>
      </c>
      <c r="BJ99" s="340"/>
      <c r="BK99" s="282"/>
      <c r="BL99" s="540">
        <v>0</v>
      </c>
      <c r="BM99" s="559"/>
      <c r="BN99" s="340"/>
      <c r="BO99" s="335"/>
      <c r="BP99" s="337"/>
      <c r="BQ99" s="337"/>
      <c r="BR99" s="335"/>
      <c r="BS99" s="337"/>
      <c r="BT99" s="335">
        <f t="shared" si="4"/>
        <v>0</v>
      </c>
      <c r="BU99" s="340"/>
    </row>
    <row r="100" customHeight="1" spans="1:73">
      <c r="A100" s="563" t="s">
        <v>1149</v>
      </c>
      <c r="B100" s="548" t="s">
        <v>1150</v>
      </c>
      <c r="C100" s="549" t="s">
        <v>1151</v>
      </c>
      <c r="D100" s="250" t="s">
        <v>201</v>
      </c>
      <c r="E100" s="550" t="s">
        <v>202</v>
      </c>
      <c r="F100" s="549"/>
      <c r="G100" s="536" t="s">
        <v>1152</v>
      </c>
      <c r="H100" s="7" t="s">
        <v>238</v>
      </c>
      <c r="I100" s="7" t="s">
        <v>220</v>
      </c>
      <c r="J100" s="7" t="s">
        <v>1145</v>
      </c>
      <c r="K100" s="7" t="s">
        <v>1153</v>
      </c>
      <c r="L100" s="222" t="s">
        <v>1154</v>
      </c>
      <c r="M100" s="414" t="s">
        <v>1155</v>
      </c>
      <c r="N100" s="54">
        <v>46177</v>
      </c>
      <c r="O100" s="327" t="s">
        <v>210</v>
      </c>
      <c r="P100" s="538" t="s">
        <v>242</v>
      </c>
      <c r="Q100" s="539">
        <v>0</v>
      </c>
      <c r="R100" s="282" t="s">
        <v>1156</v>
      </c>
      <c r="S100" s="282">
        <v>17.25</v>
      </c>
      <c r="T100" s="540">
        <v>0</v>
      </c>
      <c r="U100" s="260">
        <v>46032</v>
      </c>
      <c r="V100" s="331">
        <v>46036</v>
      </c>
      <c r="W100" s="539">
        <v>17.25</v>
      </c>
      <c r="X100" s="543" t="s">
        <v>56</v>
      </c>
      <c r="Y100" s="544"/>
      <c r="Z100" s="545"/>
      <c r="AA100" s="543"/>
      <c r="AB100" s="545">
        <f t="shared" si="0"/>
        <v>0</v>
      </c>
      <c r="AC100" s="250" t="s">
        <v>1157</v>
      </c>
      <c r="AD100" s="283">
        <v>17.25</v>
      </c>
      <c r="AE100" s="540">
        <v>0</v>
      </c>
      <c r="AF100" s="260">
        <v>46063</v>
      </c>
      <c r="AG100" s="251">
        <v>46062</v>
      </c>
      <c r="AH100" s="335">
        <v>17.25</v>
      </c>
      <c r="AI100" s="336" t="s">
        <v>56</v>
      </c>
      <c r="AJ100" s="337"/>
      <c r="AK100" s="335"/>
      <c r="AL100" s="336"/>
      <c r="AM100" s="335">
        <f t="shared" si="1"/>
        <v>0</v>
      </c>
      <c r="AN100" s="340" t="s">
        <v>1158</v>
      </c>
      <c r="AO100" s="282">
        <v>17.25</v>
      </c>
      <c r="AP100" s="540">
        <v>0</v>
      </c>
      <c r="AQ100" s="260">
        <v>46091</v>
      </c>
      <c r="AR100" s="340" t="s">
        <v>267</v>
      </c>
      <c r="AS100" s="335">
        <v>17.25</v>
      </c>
      <c r="AT100" s="337" t="s">
        <v>56</v>
      </c>
      <c r="AU100" s="337"/>
      <c r="AV100" s="335"/>
      <c r="AW100" s="337"/>
      <c r="AX100" s="335">
        <f t="shared" si="6"/>
        <v>0</v>
      </c>
      <c r="AY100" s="340" t="s">
        <v>1159</v>
      </c>
      <c r="AZ100" s="282">
        <v>17.25</v>
      </c>
      <c r="BA100" s="540">
        <v>0</v>
      </c>
      <c r="BB100" s="260">
        <v>46122</v>
      </c>
      <c r="BC100" s="340" t="s">
        <v>215</v>
      </c>
      <c r="BD100" s="335">
        <v>17.25</v>
      </c>
      <c r="BE100" s="337" t="s">
        <v>56</v>
      </c>
      <c r="BF100" s="337"/>
      <c r="BG100" s="335"/>
      <c r="BH100" s="337"/>
      <c r="BI100" s="335">
        <f t="shared" si="3"/>
        <v>0</v>
      </c>
      <c r="BJ100" s="340" t="s">
        <v>1160</v>
      </c>
      <c r="BK100" s="282">
        <v>17.25</v>
      </c>
      <c r="BL100" s="540">
        <v>0</v>
      </c>
      <c r="BM100" s="260">
        <v>46152</v>
      </c>
      <c r="BN100" s="340"/>
      <c r="BO100" s="335"/>
      <c r="BP100" s="337"/>
      <c r="BQ100" s="337"/>
      <c r="BR100" s="335"/>
      <c r="BS100" s="337"/>
      <c r="BT100" s="335">
        <f t="shared" si="4"/>
        <v>17.25</v>
      </c>
      <c r="BU100" s="340"/>
    </row>
    <row r="101" customHeight="1" spans="1:73">
      <c r="A101" s="549" t="s">
        <v>1161</v>
      </c>
      <c r="B101" s="38" t="s">
        <v>1162</v>
      </c>
      <c r="C101" s="549" t="s">
        <v>1163</v>
      </c>
      <c r="D101" s="250" t="s">
        <v>201</v>
      </c>
      <c r="E101" s="550" t="s">
        <v>1164</v>
      </c>
      <c r="F101" s="549"/>
      <c r="G101" s="536" t="s">
        <v>1165</v>
      </c>
      <c r="H101" s="7" t="s">
        <v>238</v>
      </c>
      <c r="I101" s="7" t="s">
        <v>220</v>
      </c>
      <c r="J101" s="7" t="s">
        <v>1023</v>
      </c>
      <c r="K101" s="7" t="s">
        <v>1166</v>
      </c>
      <c r="L101" s="222" t="s">
        <v>1167</v>
      </c>
      <c r="M101" s="414" t="s">
        <v>1168</v>
      </c>
      <c r="N101" s="54">
        <v>45194</v>
      </c>
      <c r="O101" s="327" t="s">
        <v>210</v>
      </c>
      <c r="P101" s="558">
        <v>45</v>
      </c>
      <c r="Q101" s="539">
        <v>0</v>
      </c>
      <c r="R101" s="282" t="s">
        <v>1169</v>
      </c>
      <c r="S101" s="282">
        <v>23</v>
      </c>
      <c r="T101" s="540">
        <v>0</v>
      </c>
      <c r="U101" s="260">
        <v>46032</v>
      </c>
      <c r="V101" s="331">
        <v>46030</v>
      </c>
      <c r="W101" s="539">
        <v>23</v>
      </c>
      <c r="X101" s="543" t="s">
        <v>23</v>
      </c>
      <c r="Y101" s="544"/>
      <c r="Z101" s="545"/>
      <c r="AA101" s="543"/>
      <c r="AB101" s="545">
        <f t="shared" si="0"/>
        <v>0</v>
      </c>
      <c r="AC101" s="250" t="s">
        <v>1170</v>
      </c>
      <c r="AD101" s="283">
        <f>23</f>
        <v>23</v>
      </c>
      <c r="AE101" s="540">
        <v>0</v>
      </c>
      <c r="AF101" s="260">
        <v>46063</v>
      </c>
      <c r="AG101" s="251">
        <v>46071</v>
      </c>
      <c r="AH101" s="335">
        <v>23</v>
      </c>
      <c r="AI101" s="336" t="s">
        <v>23</v>
      </c>
      <c r="AJ101" s="337"/>
      <c r="AK101" s="335"/>
      <c r="AL101" s="336"/>
      <c r="AM101" s="335">
        <f t="shared" si="1"/>
        <v>0</v>
      </c>
      <c r="AN101" s="340" t="s">
        <v>1171</v>
      </c>
      <c r="AO101" s="282">
        <v>23</v>
      </c>
      <c r="AP101" s="540">
        <v>0</v>
      </c>
      <c r="AQ101" s="260">
        <v>46091</v>
      </c>
      <c r="AR101" s="340" t="s">
        <v>1028</v>
      </c>
      <c r="AS101" s="335">
        <v>23</v>
      </c>
      <c r="AT101" s="337" t="s">
        <v>23</v>
      </c>
      <c r="AU101" s="337"/>
      <c r="AV101" s="335"/>
      <c r="AW101" s="337"/>
      <c r="AX101" s="335">
        <f t="shared" si="6"/>
        <v>0</v>
      </c>
      <c r="AY101" s="340" t="s">
        <v>1172</v>
      </c>
      <c r="AZ101" s="282">
        <v>23</v>
      </c>
      <c r="BA101" s="540">
        <v>0</v>
      </c>
      <c r="BB101" s="260">
        <v>46122</v>
      </c>
      <c r="BC101" s="340" t="s">
        <v>860</v>
      </c>
      <c r="BD101" s="335">
        <v>23</v>
      </c>
      <c r="BE101" s="337" t="s">
        <v>23</v>
      </c>
      <c r="BF101" s="337"/>
      <c r="BG101" s="335"/>
      <c r="BH101" s="337"/>
      <c r="BI101" s="335">
        <f t="shared" si="3"/>
        <v>0</v>
      </c>
      <c r="BJ101" s="340" t="s">
        <v>1173</v>
      </c>
      <c r="BK101" s="282">
        <v>23</v>
      </c>
      <c r="BL101" s="540">
        <v>0</v>
      </c>
      <c r="BM101" s="260">
        <v>46152</v>
      </c>
      <c r="BN101" s="340"/>
      <c r="BO101" s="335"/>
      <c r="BP101" s="337"/>
      <c r="BQ101" s="337"/>
      <c r="BR101" s="335"/>
      <c r="BS101" s="337"/>
      <c r="BT101" s="335">
        <f t="shared" si="4"/>
        <v>23</v>
      </c>
      <c r="BU101" s="340"/>
    </row>
    <row r="102" customHeight="1" spans="1:73">
      <c r="A102" s="549" t="s">
        <v>1174</v>
      </c>
      <c r="B102" s="38" t="s">
        <v>1175</v>
      </c>
      <c r="C102" s="549" t="s">
        <v>1176</v>
      </c>
      <c r="D102" s="250" t="s">
        <v>201</v>
      </c>
      <c r="E102" s="550" t="s">
        <v>1066</v>
      </c>
      <c r="F102" s="550" t="s">
        <v>170</v>
      </c>
      <c r="G102" s="536" t="s">
        <v>1177</v>
      </c>
      <c r="H102" s="7" t="s">
        <v>238</v>
      </c>
      <c r="I102" s="7" t="s">
        <v>220</v>
      </c>
      <c r="J102" s="7" t="s">
        <v>1016</v>
      </c>
      <c r="K102" s="7" t="s">
        <v>1178</v>
      </c>
      <c r="L102" s="222" t="s">
        <v>1179</v>
      </c>
      <c r="M102" s="565" t="s">
        <v>1180</v>
      </c>
      <c r="N102" s="54">
        <v>46108</v>
      </c>
      <c r="O102" s="327" t="s">
        <v>384</v>
      </c>
      <c r="P102" s="538" t="s">
        <v>242</v>
      </c>
      <c r="Q102" s="539">
        <v>0.36</v>
      </c>
      <c r="R102" s="282" t="s">
        <v>1181</v>
      </c>
      <c r="S102" s="282">
        <v>20.5</v>
      </c>
      <c r="T102" s="540">
        <v>0</v>
      </c>
      <c r="U102" s="260">
        <v>46032</v>
      </c>
      <c r="V102" s="331">
        <v>46044</v>
      </c>
      <c r="W102" s="539">
        <v>20.5</v>
      </c>
      <c r="X102" s="543" t="s">
        <v>23</v>
      </c>
      <c r="Y102" s="544"/>
      <c r="Z102" s="545"/>
      <c r="AA102" s="543"/>
      <c r="AB102" s="545">
        <f t="shared" si="0"/>
        <v>0.359999999999999</v>
      </c>
      <c r="AC102" s="250" t="s">
        <v>213</v>
      </c>
      <c r="AD102" s="283">
        <v>20.5</v>
      </c>
      <c r="AE102" s="540">
        <v>0</v>
      </c>
      <c r="AF102" s="260">
        <v>46063</v>
      </c>
      <c r="AG102" s="485">
        <v>46057.5482806481</v>
      </c>
      <c r="AH102" s="335">
        <v>20.5</v>
      </c>
      <c r="AI102" s="336" t="s">
        <v>23</v>
      </c>
      <c r="AJ102" s="345"/>
      <c r="AK102" s="338"/>
      <c r="AL102" s="339"/>
      <c r="AM102" s="338">
        <f t="shared" si="1"/>
        <v>0.359999999999999</v>
      </c>
      <c r="AN102" s="340" t="s">
        <v>213</v>
      </c>
      <c r="AO102" s="282">
        <v>20.5</v>
      </c>
      <c r="AP102" s="540">
        <v>0</v>
      </c>
      <c r="AQ102" s="260">
        <v>46091</v>
      </c>
      <c r="AR102" s="340" t="s">
        <v>267</v>
      </c>
      <c r="AS102" s="335">
        <v>20.5</v>
      </c>
      <c r="AT102" s="337" t="s">
        <v>23</v>
      </c>
      <c r="AU102" s="337"/>
      <c r="AV102" s="335"/>
      <c r="AW102" s="337"/>
      <c r="AX102" s="335">
        <f t="shared" si="6"/>
        <v>0.359999999999999</v>
      </c>
      <c r="AY102" s="340" t="s">
        <v>213</v>
      </c>
      <c r="AZ102" s="282">
        <v>20.54</v>
      </c>
      <c r="BA102" s="540">
        <v>0</v>
      </c>
      <c r="BB102" s="260">
        <v>46122</v>
      </c>
      <c r="BC102" s="340" t="s">
        <v>1182</v>
      </c>
      <c r="BD102" s="335">
        <v>20.5</v>
      </c>
      <c r="BE102" s="337" t="s">
        <v>23</v>
      </c>
      <c r="BF102" s="337"/>
      <c r="BG102" s="335"/>
      <c r="BH102" s="337"/>
      <c r="BI102" s="335">
        <f t="shared" si="3"/>
        <v>0.399999999999999</v>
      </c>
      <c r="BJ102" s="340"/>
      <c r="BK102" s="282">
        <v>20.54</v>
      </c>
      <c r="BL102" s="540">
        <v>0</v>
      </c>
      <c r="BM102" s="260">
        <v>46152</v>
      </c>
      <c r="BN102" s="340"/>
      <c r="BO102" s="335"/>
      <c r="BP102" s="337"/>
      <c r="BQ102" s="337"/>
      <c r="BR102" s="335"/>
      <c r="BS102" s="337"/>
      <c r="BT102" s="335">
        <f t="shared" si="4"/>
        <v>20.94</v>
      </c>
      <c r="BU102" s="340"/>
    </row>
    <row r="103" customHeight="1" spans="1:73">
      <c r="A103" s="563" t="s">
        <v>1183</v>
      </c>
      <c r="B103" s="633" t="s">
        <v>1184</v>
      </c>
      <c r="C103" s="549" t="s">
        <v>1185</v>
      </c>
      <c r="D103" s="250" t="s">
        <v>251</v>
      </c>
      <c r="E103" s="352" t="s">
        <v>226</v>
      </c>
      <c r="F103" s="352" t="s">
        <v>227</v>
      </c>
      <c r="G103" s="536" t="s">
        <v>1186</v>
      </c>
      <c r="H103" s="7" t="s">
        <v>238</v>
      </c>
      <c r="I103" s="7" t="s">
        <v>220</v>
      </c>
      <c r="J103" s="7" t="s">
        <v>1187</v>
      </c>
      <c r="K103" s="7" t="s">
        <v>1188</v>
      </c>
      <c r="L103" s="222" t="s">
        <v>1189</v>
      </c>
      <c r="M103" s="565" t="s">
        <v>1190</v>
      </c>
      <c r="N103" s="54">
        <v>45201</v>
      </c>
      <c r="O103" s="327" t="s">
        <v>210</v>
      </c>
      <c r="P103" s="558">
        <v>45</v>
      </c>
      <c r="Q103" s="539">
        <v>0</v>
      </c>
      <c r="R103" s="282"/>
      <c r="T103" s="540">
        <v>0</v>
      </c>
      <c r="U103" s="559"/>
      <c r="V103" s="350"/>
      <c r="W103" s="545"/>
      <c r="X103" s="543"/>
      <c r="Y103" s="544"/>
      <c r="Z103" s="545"/>
      <c r="AA103" s="543"/>
      <c r="AB103" s="545">
        <f t="shared" si="0"/>
        <v>0</v>
      </c>
      <c r="AC103" s="250" t="s">
        <v>213</v>
      </c>
      <c r="AD103" s="280"/>
      <c r="AE103" s="540">
        <v>0</v>
      </c>
      <c r="AF103" s="559"/>
      <c r="AH103" s="338"/>
      <c r="AI103" s="339"/>
      <c r="AJ103" s="345"/>
      <c r="AK103" s="338"/>
      <c r="AL103" s="339"/>
      <c r="AM103" s="338">
        <f t="shared" si="1"/>
        <v>0</v>
      </c>
      <c r="AN103" s="340" t="s">
        <v>213</v>
      </c>
      <c r="AP103" s="540">
        <v>0</v>
      </c>
      <c r="AQ103" s="559"/>
      <c r="AR103" s="340"/>
      <c r="AS103" s="335"/>
      <c r="AT103" s="337"/>
      <c r="AU103" s="337"/>
      <c r="AV103" s="335"/>
      <c r="AW103" s="337"/>
      <c r="AX103" s="335">
        <f t="shared" si="6"/>
        <v>0</v>
      </c>
      <c r="AY103" s="340" t="s">
        <v>213</v>
      </c>
      <c r="BA103" s="540">
        <v>0</v>
      </c>
      <c r="BB103" s="559"/>
      <c r="BC103" s="340"/>
      <c r="BD103" s="335"/>
      <c r="BE103" s="337"/>
      <c r="BF103" s="337"/>
      <c r="BG103" s="335"/>
      <c r="BH103" s="337"/>
      <c r="BI103" s="335">
        <f t="shared" si="3"/>
        <v>0</v>
      </c>
      <c r="BJ103" s="340"/>
      <c r="BL103" s="540">
        <v>0</v>
      </c>
      <c r="BM103" s="559"/>
      <c r="BN103" s="340"/>
      <c r="BO103" s="335"/>
      <c r="BP103" s="337"/>
      <c r="BQ103" s="337"/>
      <c r="BR103" s="335"/>
      <c r="BS103" s="337"/>
      <c r="BT103" s="335">
        <f t="shared" si="4"/>
        <v>0</v>
      </c>
      <c r="BU103" s="340"/>
    </row>
    <row r="104" customHeight="1" spans="1:73">
      <c r="A104" s="563" t="s">
        <v>1191</v>
      </c>
      <c r="B104" s="611" t="s">
        <v>1192</v>
      </c>
      <c r="C104" s="549" t="s">
        <v>1193</v>
      </c>
      <c r="D104" s="250" t="s">
        <v>201</v>
      </c>
      <c r="E104" s="550" t="s">
        <v>226</v>
      </c>
      <c r="F104" s="549"/>
      <c r="G104" s="536" t="s">
        <v>1194</v>
      </c>
      <c r="H104" s="7" t="s">
        <v>238</v>
      </c>
      <c r="I104" s="7" t="s">
        <v>206</v>
      </c>
      <c r="J104" s="7" t="s">
        <v>1145</v>
      </c>
      <c r="K104" s="7" t="s">
        <v>1195</v>
      </c>
      <c r="L104" s="222" t="s">
        <v>1196</v>
      </c>
      <c r="M104" s="565" t="s">
        <v>1197</v>
      </c>
      <c r="N104" s="54">
        <v>45203</v>
      </c>
      <c r="O104" s="327" t="s">
        <v>384</v>
      </c>
      <c r="P104" s="538" t="s">
        <v>242</v>
      </c>
      <c r="Q104" s="539">
        <v>0</v>
      </c>
      <c r="R104" s="282" t="s">
        <v>1198</v>
      </c>
      <c r="S104" s="282">
        <v>20.54</v>
      </c>
      <c r="T104" s="540">
        <v>0</v>
      </c>
      <c r="U104" s="260">
        <v>46032</v>
      </c>
      <c r="V104" s="350" t="s">
        <v>429</v>
      </c>
      <c r="W104" s="539">
        <v>20.55</v>
      </c>
      <c r="X104" s="543" t="s">
        <v>56</v>
      </c>
      <c r="Y104" s="544"/>
      <c r="Z104" s="545"/>
      <c r="AA104" s="543"/>
      <c r="AB104" s="545">
        <f t="shared" si="0"/>
        <v>-0.0100000000000016</v>
      </c>
      <c r="AC104" s="250" t="s">
        <v>1199</v>
      </c>
      <c r="AD104" s="283">
        <v>20.54</v>
      </c>
      <c r="AE104" s="540">
        <v>0</v>
      </c>
      <c r="AF104" s="260">
        <v>46063</v>
      </c>
      <c r="AG104" s="485">
        <v>46074.5494990278</v>
      </c>
      <c r="AH104" s="335">
        <v>20.53</v>
      </c>
      <c r="AI104" s="336" t="s">
        <v>56</v>
      </c>
      <c r="AJ104" s="337"/>
      <c r="AK104" s="335"/>
      <c r="AL104" s="336"/>
      <c r="AM104" s="335">
        <f t="shared" si="1"/>
        <v>0</v>
      </c>
      <c r="AN104" s="340" t="s">
        <v>1200</v>
      </c>
      <c r="AO104" s="282">
        <v>20.54</v>
      </c>
      <c r="AP104" s="540">
        <v>0</v>
      </c>
      <c r="AQ104" s="260">
        <v>46091</v>
      </c>
      <c r="AR104" s="485">
        <v>46104.4745513079</v>
      </c>
      <c r="AS104" s="335">
        <v>20.54</v>
      </c>
      <c r="AT104" s="337" t="s">
        <v>56</v>
      </c>
      <c r="AU104" s="337"/>
      <c r="AV104" s="335"/>
      <c r="AW104" s="337"/>
      <c r="AX104" s="335">
        <f t="shared" si="6"/>
        <v>0</v>
      </c>
      <c r="AY104" s="340" t="s">
        <v>1201</v>
      </c>
      <c r="AZ104" s="282">
        <v>20.54</v>
      </c>
      <c r="BA104" s="540">
        <v>0</v>
      </c>
      <c r="BB104" s="260">
        <v>46122</v>
      </c>
      <c r="BC104" s="340" t="s">
        <v>1202</v>
      </c>
      <c r="BD104" s="335">
        <v>20.54</v>
      </c>
      <c r="BE104" s="337" t="s">
        <v>56</v>
      </c>
      <c r="BF104" s="337"/>
      <c r="BG104" s="335"/>
      <c r="BH104" s="337"/>
      <c r="BI104" s="335">
        <f t="shared" si="3"/>
        <v>0</v>
      </c>
      <c r="BJ104" s="340" t="s">
        <v>1203</v>
      </c>
      <c r="BK104" s="282">
        <v>20.54</v>
      </c>
      <c r="BL104" s="540">
        <v>0</v>
      </c>
      <c r="BM104" s="260">
        <v>46152</v>
      </c>
      <c r="BN104" s="340"/>
      <c r="BO104" s="335"/>
      <c r="BP104" s="337"/>
      <c r="BQ104" s="337"/>
      <c r="BR104" s="335"/>
      <c r="BS104" s="337"/>
      <c r="BT104" s="335">
        <f t="shared" si="4"/>
        <v>20.54</v>
      </c>
      <c r="BU104" s="340"/>
    </row>
    <row r="105" customHeight="1" spans="1:73">
      <c r="A105" s="7">
        <v>121</v>
      </c>
      <c r="B105" s="7"/>
      <c r="C105" s="7"/>
      <c r="D105" s="250" t="s">
        <v>251</v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327"/>
      <c r="P105" s="7"/>
      <c r="Q105" s="539">
        <v>0</v>
      </c>
      <c r="R105" s="282"/>
      <c r="S105" s="282"/>
      <c r="T105" s="540">
        <v>0</v>
      </c>
      <c r="U105" s="559"/>
      <c r="V105" s="350"/>
      <c r="W105" s="545"/>
      <c r="X105" s="543"/>
      <c r="Y105" s="544"/>
      <c r="Z105" s="545"/>
      <c r="AA105" s="543"/>
      <c r="AB105" s="545">
        <f t="shared" si="0"/>
        <v>0</v>
      </c>
      <c r="AC105" s="250" t="s">
        <v>213</v>
      </c>
      <c r="AD105" s="283"/>
      <c r="AE105" s="540">
        <v>0</v>
      </c>
      <c r="AF105" s="559"/>
      <c r="AH105" s="338"/>
      <c r="AI105" s="339"/>
      <c r="AJ105" s="345"/>
      <c r="AK105" s="338"/>
      <c r="AL105" s="339"/>
      <c r="AM105" s="338">
        <f t="shared" si="1"/>
        <v>0</v>
      </c>
      <c r="AN105" s="340" t="s">
        <v>213</v>
      </c>
      <c r="AO105" s="282"/>
      <c r="AP105" s="540">
        <v>0</v>
      </c>
      <c r="AQ105" s="559"/>
      <c r="AR105" s="340"/>
      <c r="AS105" s="335"/>
      <c r="AT105" s="337"/>
      <c r="AU105" s="337"/>
      <c r="AV105" s="335"/>
      <c r="AW105" s="337"/>
      <c r="AX105" s="335">
        <f t="shared" si="6"/>
        <v>0</v>
      </c>
      <c r="AY105" s="340" t="s">
        <v>213</v>
      </c>
      <c r="AZ105" s="282"/>
      <c r="BA105" s="540">
        <v>0</v>
      </c>
      <c r="BB105" s="559"/>
      <c r="BC105" s="340"/>
      <c r="BD105" s="335"/>
      <c r="BE105" s="337"/>
      <c r="BF105" s="337"/>
      <c r="BG105" s="335"/>
      <c r="BH105" s="337"/>
      <c r="BI105" s="335">
        <f t="shared" si="3"/>
        <v>0</v>
      </c>
      <c r="BJ105" s="340"/>
      <c r="BK105" s="282"/>
      <c r="BL105" s="540">
        <v>0</v>
      </c>
      <c r="BM105" s="559"/>
      <c r="BN105" s="340"/>
      <c r="BO105" s="335"/>
      <c r="BP105" s="337"/>
      <c r="BQ105" s="337"/>
      <c r="BR105" s="335"/>
      <c r="BS105" s="337"/>
      <c r="BT105" s="335">
        <f t="shared" si="4"/>
        <v>0</v>
      </c>
      <c r="BU105" s="340"/>
    </row>
    <row r="106" customHeight="1" spans="1:73">
      <c r="A106" s="549" t="s">
        <v>1204</v>
      </c>
      <c r="B106" s="561" t="s">
        <v>1205</v>
      </c>
      <c r="C106" s="549" t="s">
        <v>1206</v>
      </c>
      <c r="D106" s="250" t="s">
        <v>251</v>
      </c>
      <c r="E106" s="549"/>
      <c r="F106" s="549"/>
      <c r="G106" s="536" t="s">
        <v>1207</v>
      </c>
      <c r="H106" s="7" t="s">
        <v>238</v>
      </c>
      <c r="I106" s="7" t="s">
        <v>220</v>
      </c>
      <c r="J106" s="7" t="s">
        <v>1145</v>
      </c>
      <c r="K106" s="7" t="s">
        <v>1208</v>
      </c>
      <c r="L106" s="222" t="s">
        <v>1209</v>
      </c>
      <c r="M106" s="565" t="s">
        <v>1210</v>
      </c>
      <c r="N106" s="355">
        <v>45232</v>
      </c>
      <c r="O106" s="327" t="s">
        <v>232</v>
      </c>
      <c r="P106" s="558">
        <v>45</v>
      </c>
      <c r="Q106" s="539">
        <v>0</v>
      </c>
      <c r="R106" s="282"/>
      <c r="T106" s="540">
        <v>0</v>
      </c>
      <c r="U106" s="559"/>
      <c r="V106" s="350"/>
      <c r="W106" s="545"/>
      <c r="X106" s="543"/>
      <c r="Y106" s="544"/>
      <c r="Z106" s="545"/>
      <c r="AA106" s="543"/>
      <c r="AB106" s="545">
        <f t="shared" si="0"/>
        <v>0</v>
      </c>
      <c r="AC106" s="250" t="s">
        <v>213</v>
      </c>
      <c r="AD106" s="280"/>
      <c r="AE106" s="540">
        <v>0</v>
      </c>
      <c r="AF106" s="559"/>
      <c r="AH106" s="338"/>
      <c r="AI106" s="339"/>
      <c r="AJ106" s="345"/>
      <c r="AK106" s="338"/>
      <c r="AL106" s="339"/>
      <c r="AM106" s="338">
        <f t="shared" si="1"/>
        <v>0</v>
      </c>
      <c r="AN106" s="340" t="s">
        <v>213</v>
      </c>
      <c r="AP106" s="540">
        <v>0</v>
      </c>
      <c r="AQ106" s="559"/>
      <c r="AR106" s="340"/>
      <c r="AS106" s="335"/>
      <c r="AT106" s="337"/>
      <c r="AU106" s="337"/>
      <c r="AV106" s="335"/>
      <c r="AW106" s="337"/>
      <c r="AX106" s="335">
        <f t="shared" si="6"/>
        <v>0</v>
      </c>
      <c r="AY106" s="340" t="s">
        <v>213</v>
      </c>
      <c r="BA106" s="540">
        <v>0</v>
      </c>
      <c r="BB106" s="559"/>
      <c r="BC106" s="340"/>
      <c r="BD106" s="335"/>
      <c r="BE106" s="337"/>
      <c r="BF106" s="337"/>
      <c r="BG106" s="335"/>
      <c r="BH106" s="337"/>
      <c r="BI106" s="335">
        <f t="shared" si="3"/>
        <v>0</v>
      </c>
      <c r="BJ106" s="340"/>
      <c r="BL106" s="540">
        <v>0</v>
      </c>
      <c r="BM106" s="559"/>
      <c r="BN106" s="340"/>
      <c r="BO106" s="335"/>
      <c r="BP106" s="337"/>
      <c r="BQ106" s="337"/>
      <c r="BR106" s="335"/>
      <c r="BS106" s="337"/>
      <c r="BT106" s="335">
        <f t="shared" si="4"/>
        <v>0</v>
      </c>
      <c r="BU106" s="340"/>
    </row>
    <row r="107" customHeight="1" spans="1:73">
      <c r="A107" s="563" t="s">
        <v>1211</v>
      </c>
      <c r="B107" s="611" t="s">
        <v>1212</v>
      </c>
      <c r="C107" s="549" t="s">
        <v>1213</v>
      </c>
      <c r="D107" s="250" t="s">
        <v>201</v>
      </c>
      <c r="E107" s="550" t="s">
        <v>202</v>
      </c>
      <c r="F107" s="549"/>
      <c r="G107" s="536" t="s">
        <v>1214</v>
      </c>
      <c r="H107" s="7" t="s">
        <v>238</v>
      </c>
      <c r="I107" s="7" t="s">
        <v>220</v>
      </c>
      <c r="J107" s="7" t="s">
        <v>1023</v>
      </c>
      <c r="K107" s="7" t="s">
        <v>1215</v>
      </c>
      <c r="L107" s="222" t="s">
        <v>1216</v>
      </c>
      <c r="M107" s="565" t="s">
        <v>1217</v>
      </c>
      <c r="N107" s="355">
        <v>45232</v>
      </c>
      <c r="O107" s="327" t="s">
        <v>232</v>
      </c>
      <c r="P107" s="538" t="s">
        <v>242</v>
      </c>
      <c r="Q107" s="539">
        <v>0</v>
      </c>
      <c r="R107" s="282" t="s">
        <v>1218</v>
      </c>
      <c r="S107" s="282">
        <v>17.25</v>
      </c>
      <c r="T107" s="540">
        <v>0</v>
      </c>
      <c r="U107" s="634">
        <v>46032</v>
      </c>
      <c r="V107" s="542">
        <v>46044.7353402431</v>
      </c>
      <c r="W107" s="539">
        <v>17.25</v>
      </c>
      <c r="X107" s="543" t="s">
        <v>56</v>
      </c>
      <c r="Y107" s="544"/>
      <c r="Z107" s="545"/>
      <c r="AA107" s="543"/>
      <c r="AB107" s="545">
        <f t="shared" si="0"/>
        <v>0</v>
      </c>
      <c r="AC107" s="250" t="s">
        <v>1219</v>
      </c>
      <c r="AD107" s="283">
        <v>17.25</v>
      </c>
      <c r="AE107" s="540">
        <v>0</v>
      </c>
      <c r="AF107" s="634">
        <v>46063</v>
      </c>
      <c r="AG107" s="485">
        <v>46073.6962103009</v>
      </c>
      <c r="AH107" s="335">
        <v>17.25</v>
      </c>
      <c r="AI107" s="336" t="s">
        <v>56</v>
      </c>
      <c r="AJ107" s="337"/>
      <c r="AK107" s="335"/>
      <c r="AL107" s="336"/>
      <c r="AM107" s="335">
        <f t="shared" si="1"/>
        <v>0</v>
      </c>
      <c r="AN107" s="340" t="s">
        <v>1220</v>
      </c>
      <c r="AO107" s="282">
        <v>17.25</v>
      </c>
      <c r="AP107" s="540">
        <v>0</v>
      </c>
      <c r="AQ107" s="634">
        <v>46091</v>
      </c>
      <c r="AR107" s="340" t="s">
        <v>267</v>
      </c>
      <c r="AS107" s="335">
        <v>17.25</v>
      </c>
      <c r="AT107" s="337" t="s">
        <v>56</v>
      </c>
      <c r="AU107" s="337"/>
      <c r="AV107" s="335"/>
      <c r="AW107" s="337"/>
      <c r="AX107" s="335">
        <f t="shared" si="6"/>
        <v>0</v>
      </c>
      <c r="AY107" s="340" t="s">
        <v>1221</v>
      </c>
      <c r="AZ107" s="282">
        <v>17.25</v>
      </c>
      <c r="BA107" s="540">
        <v>0</v>
      </c>
      <c r="BB107" s="634">
        <v>46122</v>
      </c>
      <c r="BC107" s="485">
        <v>46136.8874766204</v>
      </c>
      <c r="BD107" s="335">
        <v>17.25</v>
      </c>
      <c r="BE107" s="337" t="s">
        <v>56</v>
      </c>
      <c r="BF107" s="337"/>
      <c r="BG107" s="335"/>
      <c r="BH107" s="337"/>
      <c r="BI107" s="335">
        <f t="shared" si="3"/>
        <v>0</v>
      </c>
      <c r="BJ107" s="340" t="s">
        <v>1222</v>
      </c>
      <c r="BK107" s="282">
        <v>17.25</v>
      </c>
      <c r="BL107" s="540">
        <v>0</v>
      </c>
      <c r="BM107" s="634">
        <v>46152</v>
      </c>
      <c r="BN107" s="340"/>
      <c r="BO107" s="335"/>
      <c r="BP107" s="337"/>
      <c r="BQ107" s="337"/>
      <c r="BR107" s="335"/>
      <c r="BS107" s="337"/>
      <c r="BT107" s="335">
        <f t="shared" si="4"/>
        <v>17.25</v>
      </c>
      <c r="BU107" s="340"/>
    </row>
    <row r="108" customHeight="1" spans="1:73">
      <c r="A108" s="549" t="s">
        <v>1223</v>
      </c>
      <c r="B108" s="38" t="s">
        <v>1224</v>
      </c>
      <c r="C108" s="549" t="s">
        <v>1225</v>
      </c>
      <c r="D108" s="250" t="s">
        <v>201</v>
      </c>
      <c r="E108" s="550" t="s">
        <v>202</v>
      </c>
      <c r="F108" s="549"/>
      <c r="G108" s="536" t="s">
        <v>1226</v>
      </c>
      <c r="H108" s="7" t="s">
        <v>238</v>
      </c>
      <c r="I108" s="7" t="s">
        <v>206</v>
      </c>
      <c r="J108" s="7" t="s">
        <v>1227</v>
      </c>
      <c r="K108" s="7" t="s">
        <v>1228</v>
      </c>
      <c r="L108" s="222" t="s">
        <v>1229</v>
      </c>
      <c r="M108" s="49"/>
      <c r="N108" s="54">
        <v>45605</v>
      </c>
      <c r="O108" s="327" t="s">
        <v>210</v>
      </c>
      <c r="P108" s="558">
        <v>50</v>
      </c>
      <c r="Q108" s="539">
        <v>0</v>
      </c>
      <c r="R108" s="282" t="s">
        <v>1230</v>
      </c>
      <c r="S108" s="282">
        <v>23</v>
      </c>
      <c r="T108" s="540">
        <v>0</v>
      </c>
      <c r="U108" s="260">
        <v>46032</v>
      </c>
      <c r="V108" s="361">
        <v>46204</v>
      </c>
      <c r="W108" s="539">
        <v>23</v>
      </c>
      <c r="X108" s="543" t="s">
        <v>56</v>
      </c>
      <c r="Y108" s="544"/>
      <c r="Z108" s="545"/>
      <c r="AA108" s="543"/>
      <c r="AB108" s="545">
        <f t="shared" si="0"/>
        <v>0</v>
      </c>
      <c r="AC108" s="250" t="s">
        <v>1231</v>
      </c>
      <c r="AD108" s="283">
        <v>23</v>
      </c>
      <c r="AE108" s="540">
        <v>0</v>
      </c>
      <c r="AF108" s="260">
        <v>46063</v>
      </c>
      <c r="AG108" s="251">
        <v>46077</v>
      </c>
      <c r="AH108" s="335">
        <v>23</v>
      </c>
      <c r="AI108" s="336" t="s">
        <v>56</v>
      </c>
      <c r="AJ108" s="337"/>
      <c r="AK108" s="335"/>
      <c r="AL108" s="336"/>
      <c r="AM108" s="335">
        <f t="shared" si="1"/>
        <v>0</v>
      </c>
      <c r="AN108" s="340" t="s">
        <v>1232</v>
      </c>
      <c r="AO108" s="282">
        <v>23</v>
      </c>
      <c r="AP108" s="540">
        <v>0</v>
      </c>
      <c r="AQ108" s="260">
        <v>46091</v>
      </c>
      <c r="AR108" s="340" t="s">
        <v>386</v>
      </c>
      <c r="AS108" s="335">
        <v>23</v>
      </c>
      <c r="AT108" s="337" t="s">
        <v>56</v>
      </c>
      <c r="AU108" s="337"/>
      <c r="AV108" s="335"/>
      <c r="AW108" s="337"/>
      <c r="AX108" s="335">
        <f t="shared" si="6"/>
        <v>0</v>
      </c>
      <c r="AY108" s="340" t="s">
        <v>1233</v>
      </c>
      <c r="AZ108" s="282">
        <v>23</v>
      </c>
      <c r="BA108" s="540">
        <v>0</v>
      </c>
      <c r="BB108" s="260">
        <v>46122</v>
      </c>
      <c r="BC108" s="340" t="s">
        <v>860</v>
      </c>
      <c r="BD108" s="335">
        <v>23</v>
      </c>
      <c r="BE108" s="337" t="s">
        <v>56</v>
      </c>
      <c r="BF108" s="337"/>
      <c r="BG108" s="335"/>
      <c r="BH108" s="337"/>
      <c r="BI108" s="335">
        <f t="shared" si="3"/>
        <v>0</v>
      </c>
      <c r="BJ108" s="340" t="s">
        <v>1234</v>
      </c>
      <c r="BK108" s="282">
        <v>23</v>
      </c>
      <c r="BL108" s="540">
        <v>0</v>
      </c>
      <c r="BM108" s="260">
        <v>46152</v>
      </c>
      <c r="BN108" s="340"/>
      <c r="BO108" s="335"/>
      <c r="BP108" s="337"/>
      <c r="BQ108" s="337"/>
      <c r="BR108" s="335"/>
      <c r="BS108" s="337"/>
      <c r="BT108" s="335">
        <f t="shared" si="4"/>
        <v>23</v>
      </c>
      <c r="BU108" s="340"/>
    </row>
    <row r="109" customHeight="1" spans="1:73">
      <c r="A109" s="549" t="s">
        <v>1235</v>
      </c>
      <c r="B109" s="561" t="s">
        <v>1236</v>
      </c>
      <c r="C109" s="549" t="s">
        <v>1237</v>
      </c>
      <c r="D109" s="250" t="s">
        <v>472</v>
      </c>
      <c r="E109" s="549"/>
      <c r="F109" s="549"/>
      <c r="G109" s="222" t="s">
        <v>1238</v>
      </c>
      <c r="H109" s="7" t="s">
        <v>238</v>
      </c>
      <c r="I109" s="7" t="s">
        <v>220</v>
      </c>
      <c r="J109" s="7" t="s">
        <v>1145</v>
      </c>
      <c r="K109" s="7" t="s">
        <v>1239</v>
      </c>
      <c r="L109" s="222" t="s">
        <v>1240</v>
      </c>
      <c r="M109" s="635" t="s">
        <v>1241</v>
      </c>
      <c r="N109" s="54">
        <v>45250</v>
      </c>
      <c r="O109" s="327" t="s">
        <v>210</v>
      </c>
      <c r="P109" s="538" t="s">
        <v>242</v>
      </c>
      <c r="Q109" s="539">
        <v>0</v>
      </c>
      <c r="R109" s="282"/>
      <c r="S109" s="282"/>
      <c r="T109" s="540">
        <v>0</v>
      </c>
      <c r="U109" s="559"/>
      <c r="V109" s="350"/>
      <c r="W109" s="545"/>
      <c r="X109" s="543"/>
      <c r="Y109" s="544"/>
      <c r="Z109" s="545"/>
      <c r="AA109" s="543"/>
      <c r="AB109" s="545">
        <f t="shared" si="0"/>
        <v>0</v>
      </c>
      <c r="AC109" s="250" t="s">
        <v>213</v>
      </c>
      <c r="AD109" s="283"/>
      <c r="AE109" s="540">
        <v>0</v>
      </c>
      <c r="AF109" s="559"/>
      <c r="AH109" s="338"/>
      <c r="AI109" s="339"/>
      <c r="AJ109" s="345"/>
      <c r="AK109" s="338"/>
      <c r="AL109" s="339"/>
      <c r="AM109" s="338">
        <f t="shared" si="1"/>
        <v>0</v>
      </c>
      <c r="AN109" s="340" t="s">
        <v>213</v>
      </c>
      <c r="AO109" s="282"/>
      <c r="AP109" s="540">
        <v>0</v>
      </c>
      <c r="AQ109" s="559"/>
      <c r="AR109" s="340"/>
      <c r="AS109" s="335"/>
      <c r="AT109" s="337"/>
      <c r="AU109" s="337"/>
      <c r="AV109" s="335"/>
      <c r="AW109" s="337"/>
      <c r="AX109" s="335">
        <f t="shared" si="6"/>
        <v>0</v>
      </c>
      <c r="AY109" s="340" t="s">
        <v>213</v>
      </c>
      <c r="AZ109" s="282"/>
      <c r="BA109" s="540">
        <v>0</v>
      </c>
      <c r="BB109" s="559"/>
      <c r="BC109" s="340"/>
      <c r="BD109" s="335"/>
      <c r="BE109" s="337"/>
      <c r="BF109" s="337"/>
      <c r="BG109" s="335"/>
      <c r="BH109" s="337"/>
      <c r="BI109" s="335">
        <f t="shared" si="3"/>
        <v>0</v>
      </c>
      <c r="BJ109" s="340"/>
      <c r="BK109" s="282"/>
      <c r="BL109" s="540">
        <v>0</v>
      </c>
      <c r="BM109" s="559"/>
      <c r="BN109" s="340"/>
      <c r="BO109" s="335"/>
      <c r="BP109" s="337"/>
      <c r="BQ109" s="337"/>
      <c r="BR109" s="335"/>
      <c r="BS109" s="337"/>
      <c r="BT109" s="335">
        <f t="shared" si="4"/>
        <v>0</v>
      </c>
      <c r="BU109" s="340"/>
    </row>
    <row r="110" customHeight="1" spans="1:73">
      <c r="A110" s="549" t="s">
        <v>1242</v>
      </c>
      <c r="B110" s="561" t="s">
        <v>1243</v>
      </c>
      <c r="C110" s="549" t="s">
        <v>1244</v>
      </c>
      <c r="D110" s="250" t="s">
        <v>251</v>
      </c>
      <c r="E110" s="549"/>
      <c r="F110" s="549"/>
      <c r="G110" s="380"/>
      <c r="H110" s="1"/>
      <c r="I110" s="1"/>
      <c r="J110" s="1"/>
      <c r="K110" s="1"/>
      <c r="L110" s="380"/>
      <c r="M110" s="187"/>
      <c r="N110" s="187"/>
      <c r="O110" s="552"/>
      <c r="P110" s="553"/>
      <c r="Q110" s="539">
        <v>0</v>
      </c>
      <c r="R110" s="282"/>
      <c r="S110" s="282"/>
      <c r="T110" s="540">
        <v>0</v>
      </c>
      <c r="U110" s="559"/>
      <c r="V110" s="350"/>
      <c r="W110" s="545"/>
      <c r="X110" s="543"/>
      <c r="Y110" s="544"/>
      <c r="Z110" s="545"/>
      <c r="AA110" s="543"/>
      <c r="AB110" s="545">
        <f t="shared" si="0"/>
        <v>0</v>
      </c>
      <c r="AC110" s="250" t="s">
        <v>213</v>
      </c>
      <c r="AD110" s="283"/>
      <c r="AE110" s="540">
        <v>0</v>
      </c>
      <c r="AF110" s="559"/>
      <c r="AH110" s="338"/>
      <c r="AI110" s="339"/>
      <c r="AJ110" s="345"/>
      <c r="AK110" s="338"/>
      <c r="AL110" s="339"/>
      <c r="AM110" s="338">
        <f t="shared" si="1"/>
        <v>0</v>
      </c>
      <c r="AN110" s="340" t="s">
        <v>213</v>
      </c>
      <c r="AO110" s="282"/>
      <c r="AP110" s="540">
        <v>0</v>
      </c>
      <c r="AQ110" s="559"/>
      <c r="AR110" s="340"/>
      <c r="AS110" s="335"/>
      <c r="AT110" s="337"/>
      <c r="AU110" s="337"/>
      <c r="AV110" s="335"/>
      <c r="AW110" s="337"/>
      <c r="AX110" s="335">
        <f t="shared" si="6"/>
        <v>0</v>
      </c>
      <c r="AY110" s="340" t="s">
        <v>213</v>
      </c>
      <c r="AZ110" s="282"/>
      <c r="BA110" s="540">
        <v>0</v>
      </c>
      <c r="BB110" s="559"/>
      <c r="BC110" s="340"/>
      <c r="BD110" s="335"/>
      <c r="BE110" s="337"/>
      <c r="BF110" s="337"/>
      <c r="BG110" s="335"/>
      <c r="BH110" s="337"/>
      <c r="BI110" s="335">
        <f t="shared" si="3"/>
        <v>0</v>
      </c>
      <c r="BJ110" s="340"/>
      <c r="BK110" s="282"/>
      <c r="BL110" s="540">
        <v>0</v>
      </c>
      <c r="BM110" s="559"/>
      <c r="BN110" s="340"/>
      <c r="BO110" s="335"/>
      <c r="BP110" s="337"/>
      <c r="BQ110" s="337"/>
      <c r="BR110" s="335"/>
      <c r="BS110" s="337"/>
      <c r="BT110" s="335">
        <f t="shared" si="4"/>
        <v>0</v>
      </c>
      <c r="BU110" s="340"/>
    </row>
    <row r="111" customHeight="1" spans="1:73">
      <c r="A111" s="549" t="s">
        <v>1245</v>
      </c>
      <c r="B111" s="568" t="s">
        <v>1246</v>
      </c>
      <c r="C111" s="549" t="s">
        <v>1247</v>
      </c>
      <c r="D111" s="250" t="s">
        <v>201</v>
      </c>
      <c r="E111" s="550" t="s">
        <v>202</v>
      </c>
      <c r="F111" s="549"/>
      <c r="G111" s="536" t="s">
        <v>1248</v>
      </c>
      <c r="H111" s="7" t="s">
        <v>238</v>
      </c>
      <c r="I111" s="7" t="s">
        <v>206</v>
      </c>
      <c r="J111" s="7" t="s">
        <v>341</v>
      </c>
      <c r="K111" s="7" t="s">
        <v>1249</v>
      </c>
      <c r="L111" s="222" t="s">
        <v>1250</v>
      </c>
      <c r="M111" s="635" t="s">
        <v>1251</v>
      </c>
      <c r="N111" s="54">
        <v>45267</v>
      </c>
      <c r="O111" s="327" t="s">
        <v>210</v>
      </c>
      <c r="P111" s="538" t="s">
        <v>242</v>
      </c>
      <c r="Q111" s="539">
        <v>0</v>
      </c>
      <c r="R111" s="282" t="s">
        <v>1252</v>
      </c>
      <c r="S111" s="282">
        <v>23</v>
      </c>
      <c r="T111" s="540">
        <v>0</v>
      </c>
      <c r="U111" s="260">
        <v>46033</v>
      </c>
      <c r="V111" s="331">
        <v>46027</v>
      </c>
      <c r="W111" s="610">
        <v>23</v>
      </c>
      <c r="X111" s="543" t="s">
        <v>35</v>
      </c>
      <c r="Y111" s="544"/>
      <c r="Z111" s="545"/>
      <c r="AA111" s="543"/>
      <c r="AB111" s="545">
        <f t="shared" si="0"/>
        <v>0</v>
      </c>
      <c r="AC111" s="250" t="s">
        <v>1253</v>
      </c>
      <c r="AD111" s="283">
        <v>23</v>
      </c>
      <c r="AE111" s="540">
        <v>0</v>
      </c>
      <c r="AF111" s="260">
        <v>46064</v>
      </c>
      <c r="AG111" s="251">
        <v>46054</v>
      </c>
      <c r="AH111" s="335">
        <v>23</v>
      </c>
      <c r="AI111" s="336" t="s">
        <v>35</v>
      </c>
      <c r="AJ111" s="337"/>
      <c r="AK111" s="335"/>
      <c r="AL111" s="336"/>
      <c r="AM111" s="335">
        <f t="shared" si="1"/>
        <v>0</v>
      </c>
      <c r="AN111" s="340" t="s">
        <v>1254</v>
      </c>
      <c r="AO111" s="282">
        <v>23</v>
      </c>
      <c r="AP111" s="540">
        <v>0</v>
      </c>
      <c r="AQ111" s="260">
        <v>46092</v>
      </c>
      <c r="AR111" s="340" t="s">
        <v>840</v>
      </c>
      <c r="AS111" s="335">
        <v>23</v>
      </c>
      <c r="AT111" s="337" t="s">
        <v>35</v>
      </c>
      <c r="AU111" s="337"/>
      <c r="AV111" s="335"/>
      <c r="AW111" s="337"/>
      <c r="AX111" s="335">
        <f t="shared" si="6"/>
        <v>0</v>
      </c>
      <c r="AY111" s="340" t="s">
        <v>1255</v>
      </c>
      <c r="AZ111" s="282">
        <v>23</v>
      </c>
      <c r="BA111" s="540">
        <v>0</v>
      </c>
      <c r="BB111" s="260">
        <v>46123</v>
      </c>
      <c r="BC111" s="340" t="s">
        <v>510</v>
      </c>
      <c r="BD111" s="335">
        <v>23</v>
      </c>
      <c r="BE111" s="337" t="s">
        <v>35</v>
      </c>
      <c r="BF111" s="337"/>
      <c r="BG111" s="335"/>
      <c r="BH111" s="337"/>
      <c r="BI111" s="335">
        <f t="shared" si="3"/>
        <v>0</v>
      </c>
      <c r="BJ111" s="340" t="s">
        <v>1256</v>
      </c>
      <c r="BK111" s="282">
        <v>23</v>
      </c>
      <c r="BL111" s="540">
        <v>0</v>
      </c>
      <c r="BM111" s="260">
        <v>46153</v>
      </c>
      <c r="BN111" s="340" t="s">
        <v>683</v>
      </c>
      <c r="BO111" s="335">
        <v>23</v>
      </c>
      <c r="BP111" s="337" t="s">
        <v>35</v>
      </c>
      <c r="BQ111" s="337"/>
      <c r="BR111" s="335"/>
      <c r="BS111" s="337"/>
      <c r="BT111" s="335">
        <f t="shared" si="4"/>
        <v>0</v>
      </c>
      <c r="BU111" s="340"/>
    </row>
    <row r="112" customHeight="1" spans="1:73">
      <c r="A112" s="563" t="s">
        <v>1257</v>
      </c>
      <c r="B112" s="548" t="s">
        <v>1258</v>
      </c>
      <c r="C112" s="549" t="s">
        <v>1259</v>
      </c>
      <c r="D112" s="250" t="s">
        <v>201</v>
      </c>
      <c r="E112" s="550" t="s">
        <v>226</v>
      </c>
      <c r="F112" s="549"/>
      <c r="G112" s="536" t="s">
        <v>1260</v>
      </c>
      <c r="H112" s="7" t="s">
        <v>238</v>
      </c>
      <c r="I112" s="7" t="s">
        <v>220</v>
      </c>
      <c r="J112" s="7" t="s">
        <v>341</v>
      </c>
      <c r="K112" s="7" t="s">
        <v>1261</v>
      </c>
      <c r="L112" s="222" t="s">
        <v>1262</v>
      </c>
      <c r="M112" s="7"/>
      <c r="N112" s="54">
        <v>45272</v>
      </c>
      <c r="O112" s="327" t="s">
        <v>210</v>
      </c>
      <c r="P112" s="538" t="s">
        <v>242</v>
      </c>
      <c r="Q112" s="539">
        <v>0</v>
      </c>
      <c r="R112" s="282"/>
      <c r="S112" s="282">
        <v>23</v>
      </c>
      <c r="T112" s="540">
        <v>0</v>
      </c>
      <c r="U112" s="260">
        <v>46041</v>
      </c>
      <c r="V112" s="331">
        <v>46041</v>
      </c>
      <c r="W112" s="539">
        <v>23</v>
      </c>
      <c r="X112" s="543" t="s">
        <v>56</v>
      </c>
      <c r="Y112" s="544"/>
      <c r="Z112" s="545"/>
      <c r="AA112" s="543"/>
      <c r="AB112" s="545">
        <f t="shared" si="0"/>
        <v>0</v>
      </c>
      <c r="AC112" s="250" t="s">
        <v>1263</v>
      </c>
      <c r="AD112" s="283">
        <v>23</v>
      </c>
      <c r="AE112" s="540">
        <v>0</v>
      </c>
      <c r="AF112" s="260">
        <v>46072</v>
      </c>
      <c r="AG112" s="485">
        <v>46076.7028678356</v>
      </c>
      <c r="AH112" s="335">
        <v>23</v>
      </c>
      <c r="AI112" s="336" t="s">
        <v>56</v>
      </c>
      <c r="AJ112" s="337"/>
      <c r="AK112" s="335"/>
      <c r="AL112" s="336"/>
      <c r="AM112" s="335">
        <f t="shared" si="1"/>
        <v>0</v>
      </c>
      <c r="AN112" s="340" t="s">
        <v>1264</v>
      </c>
      <c r="AO112" s="282">
        <v>23</v>
      </c>
      <c r="AP112" s="540">
        <v>0</v>
      </c>
      <c r="AQ112" s="260">
        <v>46100</v>
      </c>
      <c r="AR112" s="340" t="s">
        <v>1265</v>
      </c>
      <c r="AS112" s="335">
        <v>23</v>
      </c>
      <c r="AT112" s="337" t="s">
        <v>56</v>
      </c>
      <c r="AU112" s="337"/>
      <c r="AV112" s="335"/>
      <c r="AW112" s="337"/>
      <c r="AX112" s="335">
        <f t="shared" si="6"/>
        <v>0</v>
      </c>
      <c r="AY112" s="340" t="s">
        <v>1266</v>
      </c>
      <c r="AZ112" s="282">
        <v>23</v>
      </c>
      <c r="BA112" s="540">
        <v>0</v>
      </c>
      <c r="BB112" s="260">
        <v>46131</v>
      </c>
      <c r="BC112" s="485">
        <v>46132.3792433796</v>
      </c>
      <c r="BD112" s="335">
        <v>23</v>
      </c>
      <c r="BE112" s="337" t="s">
        <v>56</v>
      </c>
      <c r="BF112" s="337"/>
      <c r="BG112" s="335"/>
      <c r="BH112" s="337"/>
      <c r="BI112" s="335">
        <f t="shared" si="3"/>
        <v>0</v>
      </c>
      <c r="BJ112" s="340" t="s">
        <v>1267</v>
      </c>
      <c r="BK112" s="282">
        <v>23</v>
      </c>
      <c r="BL112" s="540">
        <v>0</v>
      </c>
      <c r="BM112" s="260">
        <v>46161</v>
      </c>
      <c r="BN112" s="340"/>
      <c r="BO112" s="335"/>
      <c r="BP112" s="337"/>
      <c r="BQ112" s="337"/>
      <c r="BR112" s="335"/>
      <c r="BS112" s="337"/>
      <c r="BT112" s="335">
        <f t="shared" si="4"/>
        <v>23</v>
      </c>
      <c r="BU112" s="340"/>
    </row>
    <row r="113" customHeight="1" spans="1:73">
      <c r="A113" s="549" t="s">
        <v>1268</v>
      </c>
      <c r="B113" s="561" t="s">
        <v>1269</v>
      </c>
      <c r="C113" s="549" t="s">
        <v>1270</v>
      </c>
      <c r="D113" s="250" t="s">
        <v>472</v>
      </c>
      <c r="E113" s="549"/>
      <c r="F113" s="550" t="s">
        <v>218</v>
      </c>
      <c r="G113" s="222" t="s">
        <v>1271</v>
      </c>
      <c r="H113" s="7" t="s">
        <v>238</v>
      </c>
      <c r="I113" s="7" t="s">
        <v>206</v>
      </c>
      <c r="J113" s="7" t="s">
        <v>1272</v>
      </c>
      <c r="K113" s="7" t="s">
        <v>1273</v>
      </c>
      <c r="L113" s="222" t="s">
        <v>1274</v>
      </c>
      <c r="M113" s="7" t="s">
        <v>1275</v>
      </c>
      <c r="N113" s="54">
        <v>45272</v>
      </c>
      <c r="O113" s="327" t="s">
        <v>210</v>
      </c>
      <c r="P113" s="538" t="s">
        <v>242</v>
      </c>
      <c r="Q113" s="539">
        <v>0</v>
      </c>
      <c r="R113" s="282"/>
      <c r="S113" s="282"/>
      <c r="T113" s="540">
        <v>0</v>
      </c>
      <c r="U113" s="559"/>
      <c r="V113" s="350"/>
      <c r="W113" s="545"/>
      <c r="X113" s="543"/>
      <c r="Y113" s="544"/>
      <c r="Z113" s="545"/>
      <c r="AA113" s="543"/>
      <c r="AB113" s="545">
        <f t="shared" si="0"/>
        <v>0</v>
      </c>
      <c r="AC113" s="250" t="s">
        <v>213</v>
      </c>
      <c r="AD113" s="283"/>
      <c r="AE113" s="540">
        <v>0</v>
      </c>
      <c r="AF113" s="559"/>
      <c r="AH113" s="338"/>
      <c r="AI113" s="339"/>
      <c r="AJ113" s="345"/>
      <c r="AK113" s="338"/>
      <c r="AL113" s="339"/>
      <c r="AM113" s="338">
        <f t="shared" si="1"/>
        <v>0</v>
      </c>
      <c r="AN113" s="340" t="s">
        <v>213</v>
      </c>
      <c r="AO113" s="282"/>
      <c r="AP113" s="540">
        <v>0</v>
      </c>
      <c r="AQ113" s="559"/>
      <c r="AR113" s="340"/>
      <c r="AS113" s="335"/>
      <c r="AT113" s="337"/>
      <c r="AU113" s="337"/>
      <c r="AV113" s="335"/>
      <c r="AW113" s="337"/>
      <c r="AX113" s="335">
        <f t="shared" si="6"/>
        <v>0</v>
      </c>
      <c r="AY113" s="340" t="s">
        <v>213</v>
      </c>
      <c r="AZ113" s="282"/>
      <c r="BA113" s="540">
        <v>0</v>
      </c>
      <c r="BB113" s="559"/>
      <c r="BC113" s="340"/>
      <c r="BD113" s="335"/>
      <c r="BE113" s="337"/>
      <c r="BF113" s="337"/>
      <c r="BG113" s="335"/>
      <c r="BH113" s="337"/>
      <c r="BI113" s="335">
        <f t="shared" si="3"/>
        <v>0</v>
      </c>
      <c r="BJ113" s="340"/>
      <c r="BK113" s="282"/>
      <c r="BL113" s="540">
        <v>0</v>
      </c>
      <c r="BM113" s="559"/>
      <c r="BN113" s="340"/>
      <c r="BO113" s="335"/>
      <c r="BP113" s="337"/>
      <c r="BQ113" s="337"/>
      <c r="BR113" s="335"/>
      <c r="BS113" s="337"/>
      <c r="BT113" s="335">
        <f t="shared" si="4"/>
        <v>0</v>
      </c>
      <c r="BU113" s="340"/>
    </row>
    <row r="114" customHeight="1" spans="1:73">
      <c r="A114" s="636" t="s">
        <v>1276</v>
      </c>
      <c r="B114" s="98" t="s">
        <v>1277</v>
      </c>
      <c r="C114" s="636" t="s">
        <v>1278</v>
      </c>
      <c r="D114" s="250" t="s">
        <v>201</v>
      </c>
      <c r="E114" s="637" t="s">
        <v>226</v>
      </c>
      <c r="F114" s="636"/>
      <c r="G114" s="536" t="s">
        <v>1279</v>
      </c>
      <c r="H114" s="7" t="s">
        <v>274</v>
      </c>
      <c r="I114" s="7" t="s">
        <v>220</v>
      </c>
      <c r="J114" s="7" t="s">
        <v>1280</v>
      </c>
      <c r="K114" s="7" t="s">
        <v>1281</v>
      </c>
      <c r="L114" s="222" t="s">
        <v>1282</v>
      </c>
      <c r="M114" s="49"/>
      <c r="N114" s="54">
        <v>45272</v>
      </c>
      <c r="O114" s="461" t="s">
        <v>232</v>
      </c>
      <c r="P114" s="558">
        <v>45</v>
      </c>
      <c r="Q114" s="539">
        <v>-0.45</v>
      </c>
      <c r="R114" s="282" t="s">
        <v>1283</v>
      </c>
      <c r="S114" s="282">
        <v>17.25</v>
      </c>
      <c r="T114" s="540">
        <v>0</v>
      </c>
      <c r="U114" s="462">
        <v>46041</v>
      </c>
      <c r="V114" s="331">
        <v>46038</v>
      </c>
      <c r="W114" s="539">
        <v>17.25</v>
      </c>
      <c r="X114" s="543" t="s">
        <v>35</v>
      </c>
      <c r="Y114" s="544"/>
      <c r="Z114" s="545"/>
      <c r="AA114" s="543"/>
      <c r="AB114" s="545">
        <f t="shared" si="0"/>
        <v>-0.449999999999999</v>
      </c>
      <c r="AC114" s="250" t="s">
        <v>1284</v>
      </c>
      <c r="AD114" s="283">
        <v>17.25</v>
      </c>
      <c r="AE114" s="540">
        <v>0</v>
      </c>
      <c r="AF114" s="462">
        <v>46072</v>
      </c>
      <c r="AG114" s="251">
        <v>46076</v>
      </c>
      <c r="AH114" s="335">
        <v>17.25</v>
      </c>
      <c r="AI114" s="336" t="s">
        <v>23</v>
      </c>
      <c r="AJ114" s="337"/>
      <c r="AK114" s="335"/>
      <c r="AL114" s="336"/>
      <c r="AM114" s="335">
        <f t="shared" si="1"/>
        <v>-0.449999999999999</v>
      </c>
      <c r="AN114" s="340" t="s">
        <v>1285</v>
      </c>
      <c r="AO114" s="282">
        <v>17.25</v>
      </c>
      <c r="AP114" s="540">
        <v>0</v>
      </c>
      <c r="AQ114" s="462">
        <v>46100</v>
      </c>
      <c r="AR114" s="340" t="s">
        <v>386</v>
      </c>
      <c r="AS114" s="335">
        <v>16.8</v>
      </c>
      <c r="AT114" s="337" t="s">
        <v>56</v>
      </c>
      <c r="AU114" s="337"/>
      <c r="AV114" s="335"/>
      <c r="AW114" s="337"/>
      <c r="AX114" s="335">
        <f t="shared" si="6"/>
        <v>0</v>
      </c>
      <c r="AY114" s="340" t="s">
        <v>1286</v>
      </c>
      <c r="AZ114" s="282">
        <v>17.25</v>
      </c>
      <c r="BA114" s="540">
        <v>0</v>
      </c>
      <c r="BB114" s="462">
        <v>46131</v>
      </c>
      <c r="BC114" s="340" t="s">
        <v>321</v>
      </c>
      <c r="BD114" s="335">
        <v>17.25</v>
      </c>
      <c r="BE114" s="337" t="s">
        <v>23</v>
      </c>
      <c r="BF114" s="337"/>
      <c r="BG114" s="335"/>
      <c r="BH114" s="337"/>
      <c r="BI114" s="335">
        <f t="shared" si="3"/>
        <v>0</v>
      </c>
      <c r="BJ114" s="340" t="s">
        <v>1287</v>
      </c>
      <c r="BK114" s="282">
        <v>17.25</v>
      </c>
      <c r="BL114" s="540">
        <v>0</v>
      </c>
      <c r="BM114" s="462">
        <v>46161</v>
      </c>
      <c r="BN114" s="340"/>
      <c r="BO114" s="335"/>
      <c r="BP114" s="337"/>
      <c r="BQ114" s="337"/>
      <c r="BR114" s="335"/>
      <c r="BS114" s="337"/>
      <c r="BT114" s="335">
        <f t="shared" si="4"/>
        <v>17.25</v>
      </c>
      <c r="BU114" s="340"/>
    </row>
    <row r="115" customHeight="1" spans="1:73">
      <c r="A115" s="638" t="s">
        <v>1288</v>
      </c>
      <c r="B115" s="639" t="s">
        <v>1289</v>
      </c>
      <c r="C115" s="640" t="s">
        <v>1290</v>
      </c>
      <c r="D115" s="250" t="s">
        <v>201</v>
      </c>
      <c r="E115" s="641" t="s">
        <v>202</v>
      </c>
      <c r="F115" s="640"/>
      <c r="G115" s="642" t="s">
        <v>1291</v>
      </c>
      <c r="H115" s="640" t="s">
        <v>238</v>
      </c>
      <c r="I115" s="640" t="s">
        <v>206</v>
      </c>
      <c r="J115" s="640" t="s">
        <v>1292</v>
      </c>
      <c r="K115" s="640" t="s">
        <v>1293</v>
      </c>
      <c r="L115" s="638" t="s">
        <v>1294</v>
      </c>
      <c r="M115" s="643" t="s">
        <v>1295</v>
      </c>
      <c r="N115" s="644">
        <v>45294</v>
      </c>
      <c r="O115" s="327" t="s">
        <v>384</v>
      </c>
      <c r="P115" s="640" t="s">
        <v>242</v>
      </c>
      <c r="Q115" s="539">
        <v>0</v>
      </c>
      <c r="R115" s="282" t="s">
        <v>1296</v>
      </c>
      <c r="S115" s="282">
        <v>20.54</v>
      </c>
      <c r="T115" s="540">
        <v>0</v>
      </c>
      <c r="U115" s="634">
        <v>46032</v>
      </c>
      <c r="V115" s="361">
        <v>46174</v>
      </c>
      <c r="W115" s="539">
        <v>20.54</v>
      </c>
      <c r="X115" s="543" t="s">
        <v>56</v>
      </c>
      <c r="Y115" s="544"/>
      <c r="Z115" s="545"/>
      <c r="AA115" s="543"/>
      <c r="AB115" s="545">
        <f t="shared" si="0"/>
        <v>0</v>
      </c>
      <c r="AC115" s="250" t="s">
        <v>1297</v>
      </c>
      <c r="AD115" s="283">
        <v>20.54</v>
      </c>
      <c r="AE115" s="540">
        <v>0</v>
      </c>
      <c r="AF115" s="634">
        <v>46063</v>
      </c>
      <c r="AG115" s="251">
        <v>46059</v>
      </c>
      <c r="AH115" s="335">
        <v>20</v>
      </c>
      <c r="AI115" s="336" t="s">
        <v>35</v>
      </c>
      <c r="AJ115" s="337"/>
      <c r="AK115" s="335"/>
      <c r="AL115" s="336"/>
      <c r="AM115" s="335">
        <f t="shared" si="1"/>
        <v>0.539999999999999</v>
      </c>
      <c r="AN115" s="340" t="s">
        <v>1298</v>
      </c>
      <c r="AO115" s="282">
        <v>20.54</v>
      </c>
      <c r="AP115" s="540">
        <v>0</v>
      </c>
      <c r="AQ115" s="634">
        <v>46091</v>
      </c>
      <c r="AR115" s="340" t="s">
        <v>680</v>
      </c>
      <c r="AS115" s="335">
        <v>21.08</v>
      </c>
      <c r="AT115" s="337" t="s">
        <v>56</v>
      </c>
      <c r="AU115" s="337"/>
      <c r="AV115" s="335"/>
      <c r="AW115" s="337"/>
      <c r="AX115" s="335">
        <f t="shared" si="6"/>
        <v>0</v>
      </c>
      <c r="AY115" s="340" t="s">
        <v>1299</v>
      </c>
      <c r="AZ115" s="282">
        <v>20.54</v>
      </c>
      <c r="BA115" s="540">
        <v>0</v>
      </c>
      <c r="BB115" s="634">
        <v>46122</v>
      </c>
      <c r="BC115" s="340" t="s">
        <v>247</v>
      </c>
      <c r="BD115" s="335">
        <v>21</v>
      </c>
      <c r="BE115" s="337" t="s">
        <v>35</v>
      </c>
      <c r="BF115" s="337"/>
      <c r="BG115" s="335"/>
      <c r="BH115" s="337"/>
      <c r="BI115" s="335">
        <f t="shared" si="3"/>
        <v>-0.460000000000001</v>
      </c>
      <c r="BJ115" s="340" t="s">
        <v>1300</v>
      </c>
      <c r="BK115" s="282">
        <v>20.54</v>
      </c>
      <c r="BL115" s="540">
        <v>0</v>
      </c>
      <c r="BM115" s="634">
        <v>46152</v>
      </c>
      <c r="BN115" s="340"/>
      <c r="BO115" s="335"/>
      <c r="BP115" s="337"/>
      <c r="BQ115" s="337"/>
      <c r="BR115" s="335"/>
      <c r="BS115" s="337"/>
      <c r="BT115" s="335">
        <f t="shared" si="4"/>
        <v>20.08</v>
      </c>
      <c r="BU115" s="340"/>
    </row>
    <row r="116" customHeight="1" spans="1:73">
      <c r="A116" s="222" t="s">
        <v>1301</v>
      </c>
      <c r="B116" s="298" t="s">
        <v>1302</v>
      </c>
      <c r="C116" s="7" t="s">
        <v>1303</v>
      </c>
      <c r="D116" s="250" t="s">
        <v>251</v>
      </c>
      <c r="E116" s="275" t="s">
        <v>202</v>
      </c>
      <c r="F116" s="275">
        <v>18</v>
      </c>
      <c r="G116" s="222" t="s">
        <v>1304</v>
      </c>
      <c r="H116" s="7" t="s">
        <v>238</v>
      </c>
      <c r="I116" s="7" t="s">
        <v>220</v>
      </c>
      <c r="J116" s="7" t="s">
        <v>1305</v>
      </c>
      <c r="K116" s="7"/>
      <c r="L116" s="222" t="s">
        <v>1306</v>
      </c>
      <c r="M116" s="7"/>
      <c r="N116" s="54">
        <v>45304</v>
      </c>
      <c r="O116" s="327" t="s">
        <v>210</v>
      </c>
      <c r="P116" s="558">
        <v>40</v>
      </c>
      <c r="Q116" s="539">
        <v>0</v>
      </c>
      <c r="R116" s="282"/>
      <c r="S116" s="282"/>
      <c r="T116" s="540">
        <v>0</v>
      </c>
      <c r="U116" s="559"/>
      <c r="V116" s="350"/>
      <c r="W116" s="545"/>
      <c r="X116" s="543"/>
      <c r="Y116" s="544"/>
      <c r="Z116" s="545"/>
      <c r="AA116" s="543"/>
      <c r="AB116" s="545">
        <f t="shared" si="0"/>
        <v>0</v>
      </c>
      <c r="AC116" s="250" t="s">
        <v>213</v>
      </c>
      <c r="AD116" s="283"/>
      <c r="AE116" s="540">
        <v>0</v>
      </c>
      <c r="AF116" s="559"/>
      <c r="AH116" s="338"/>
      <c r="AI116" s="339"/>
      <c r="AJ116" s="345"/>
      <c r="AK116" s="338"/>
      <c r="AL116" s="339"/>
      <c r="AM116" s="338">
        <f t="shared" si="1"/>
        <v>0</v>
      </c>
      <c r="AN116" s="340" t="s">
        <v>213</v>
      </c>
      <c r="AO116" s="282"/>
      <c r="AP116" s="540">
        <v>0</v>
      </c>
      <c r="AQ116" s="559"/>
      <c r="AR116" s="340"/>
      <c r="AS116" s="335"/>
      <c r="AT116" s="337"/>
      <c r="AU116" s="337"/>
      <c r="AV116" s="335"/>
      <c r="AW116" s="337"/>
      <c r="AX116" s="335">
        <f t="shared" si="6"/>
        <v>0</v>
      </c>
      <c r="AY116" s="340" t="s">
        <v>213</v>
      </c>
      <c r="AZ116" s="282"/>
      <c r="BA116" s="540">
        <v>0</v>
      </c>
      <c r="BB116" s="559"/>
      <c r="BC116" s="340"/>
      <c r="BD116" s="335"/>
      <c r="BE116" s="337"/>
      <c r="BF116" s="337"/>
      <c r="BG116" s="335"/>
      <c r="BH116" s="337"/>
      <c r="BI116" s="335">
        <f t="shared" si="3"/>
        <v>0</v>
      </c>
      <c r="BJ116" s="340"/>
      <c r="BK116" s="282"/>
      <c r="BL116" s="540">
        <v>0</v>
      </c>
      <c r="BM116" s="559"/>
      <c r="BN116" s="340"/>
      <c r="BO116" s="335"/>
      <c r="BP116" s="337"/>
      <c r="BQ116" s="337"/>
      <c r="BR116" s="335"/>
      <c r="BS116" s="337"/>
      <c r="BT116" s="335">
        <f t="shared" si="4"/>
        <v>0</v>
      </c>
      <c r="BU116" s="340"/>
    </row>
    <row r="117" customHeight="1" spans="1:73">
      <c r="A117" s="222" t="s">
        <v>1307</v>
      </c>
      <c r="B117" s="427" t="s">
        <v>1084</v>
      </c>
      <c r="C117" s="7" t="s">
        <v>1308</v>
      </c>
      <c r="D117" s="250" t="s">
        <v>201</v>
      </c>
      <c r="E117" s="275" t="s">
        <v>1066</v>
      </c>
      <c r="F117" s="7"/>
      <c r="G117" s="536" t="s">
        <v>1086</v>
      </c>
      <c r="H117" s="7" t="s">
        <v>238</v>
      </c>
      <c r="I117" s="7" t="s">
        <v>206</v>
      </c>
      <c r="J117" s="7" t="s">
        <v>1309</v>
      </c>
      <c r="K117" s="7" t="s">
        <v>1088</v>
      </c>
      <c r="L117" s="222" t="s">
        <v>1089</v>
      </c>
      <c r="M117" s="7"/>
      <c r="N117" s="54">
        <v>45307</v>
      </c>
      <c r="O117" s="327" t="s">
        <v>210</v>
      </c>
      <c r="P117" s="7" t="s">
        <v>242</v>
      </c>
      <c r="Q117" s="539">
        <v>0</v>
      </c>
      <c r="R117" s="282" t="s">
        <v>1310</v>
      </c>
      <c r="S117" s="282">
        <v>23</v>
      </c>
      <c r="T117" s="540">
        <v>0</v>
      </c>
      <c r="U117" s="260">
        <v>46033</v>
      </c>
      <c r="V117" s="331">
        <v>45666</v>
      </c>
      <c r="W117" s="539">
        <v>25</v>
      </c>
      <c r="X117" s="543" t="s">
        <v>35</v>
      </c>
      <c r="Y117" s="544"/>
      <c r="Z117" s="545"/>
      <c r="AA117" s="543"/>
      <c r="AB117" s="545">
        <f t="shared" si="0"/>
        <v>-2</v>
      </c>
      <c r="AC117" s="250" t="s">
        <v>1311</v>
      </c>
      <c r="AD117" s="283">
        <v>23</v>
      </c>
      <c r="AE117" s="540">
        <v>0</v>
      </c>
      <c r="AF117" s="260">
        <v>46064</v>
      </c>
      <c r="AG117" s="251">
        <v>46066</v>
      </c>
      <c r="AH117" s="335">
        <f>21+5</f>
        <v>26</v>
      </c>
      <c r="AI117" s="336" t="s">
        <v>35</v>
      </c>
      <c r="AJ117" s="337"/>
      <c r="AK117" s="335"/>
      <c r="AL117" s="336"/>
      <c r="AM117" s="335">
        <f t="shared" si="1"/>
        <v>-5</v>
      </c>
      <c r="AN117" s="340" t="s">
        <v>1312</v>
      </c>
      <c r="AO117" s="282">
        <v>23</v>
      </c>
      <c r="AP117" s="540">
        <v>0</v>
      </c>
      <c r="AQ117" s="260">
        <v>46092</v>
      </c>
      <c r="AR117" s="340"/>
      <c r="AS117" s="335"/>
      <c r="AT117" s="337"/>
      <c r="AU117" s="337"/>
      <c r="AV117" s="335"/>
      <c r="AW117" s="337"/>
      <c r="AX117" s="335">
        <f t="shared" si="6"/>
        <v>18</v>
      </c>
      <c r="AY117" s="340" t="s">
        <v>1313</v>
      </c>
      <c r="AZ117" s="282">
        <v>23</v>
      </c>
      <c r="BA117" s="540">
        <v>0</v>
      </c>
      <c r="BB117" s="260">
        <v>46123</v>
      </c>
      <c r="BC117" s="340" t="s">
        <v>626</v>
      </c>
      <c r="BD117" s="335">
        <v>47</v>
      </c>
      <c r="BE117" s="337" t="s">
        <v>35</v>
      </c>
      <c r="BF117" s="337"/>
      <c r="BG117" s="335"/>
      <c r="BH117" s="337"/>
      <c r="BI117" s="335">
        <f t="shared" si="3"/>
        <v>-6</v>
      </c>
      <c r="BJ117" s="340" t="s">
        <v>1314</v>
      </c>
      <c r="BK117" s="282">
        <v>23</v>
      </c>
      <c r="BL117" s="540">
        <v>0</v>
      </c>
      <c r="BM117" s="260">
        <v>46153</v>
      </c>
      <c r="BN117" s="340"/>
      <c r="BO117" s="335"/>
      <c r="BP117" s="337"/>
      <c r="BQ117" s="337"/>
      <c r="BR117" s="335"/>
      <c r="BS117" s="337"/>
      <c r="BT117" s="335">
        <f t="shared" si="4"/>
        <v>17</v>
      </c>
      <c r="BU117" s="340"/>
    </row>
    <row r="118" customHeight="1" spans="1:73">
      <c r="A118" s="535" t="s">
        <v>1315</v>
      </c>
      <c r="B118" s="427" t="s">
        <v>1316</v>
      </c>
      <c r="C118" s="7" t="s">
        <v>1317</v>
      </c>
      <c r="D118" s="250" t="s">
        <v>201</v>
      </c>
      <c r="E118" s="275" t="s">
        <v>226</v>
      </c>
      <c r="F118" s="275">
        <v>24</v>
      </c>
      <c r="G118" s="536" t="s">
        <v>1318</v>
      </c>
      <c r="H118" s="7" t="s">
        <v>238</v>
      </c>
      <c r="I118" s="7" t="s">
        <v>220</v>
      </c>
      <c r="J118" s="7" t="s">
        <v>1319</v>
      </c>
      <c r="K118" s="645" t="s">
        <v>1320</v>
      </c>
      <c r="L118" s="222" t="s">
        <v>1321</v>
      </c>
      <c r="M118" s="298" t="s">
        <v>1322</v>
      </c>
      <c r="N118" s="54">
        <v>45553</v>
      </c>
      <c r="O118" s="327" t="s">
        <v>210</v>
      </c>
      <c r="P118" s="7" t="s">
        <v>242</v>
      </c>
      <c r="Q118" s="539">
        <v>0</v>
      </c>
      <c r="R118" s="282" t="s">
        <v>1323</v>
      </c>
      <c r="S118" s="282">
        <v>23</v>
      </c>
      <c r="T118" s="540">
        <v>0</v>
      </c>
      <c r="U118" s="634">
        <v>46032</v>
      </c>
      <c r="V118" s="361">
        <v>46174</v>
      </c>
      <c r="W118" s="539">
        <v>23</v>
      </c>
      <c r="X118" s="543" t="s">
        <v>56</v>
      </c>
      <c r="Y118" s="544"/>
      <c r="Z118" s="545"/>
      <c r="AA118" s="543"/>
      <c r="AB118" s="545">
        <f t="shared" si="0"/>
        <v>0</v>
      </c>
      <c r="AC118" s="250" t="s">
        <v>1324</v>
      </c>
      <c r="AD118" s="283">
        <v>23</v>
      </c>
      <c r="AE118" s="540">
        <v>0</v>
      </c>
      <c r="AF118" s="634">
        <v>46063</v>
      </c>
      <c r="AG118" s="251">
        <v>46059</v>
      </c>
      <c r="AH118" s="335">
        <v>23</v>
      </c>
      <c r="AI118" s="336" t="s">
        <v>56</v>
      </c>
      <c r="AJ118" s="337"/>
      <c r="AK118" s="335"/>
      <c r="AL118" s="336"/>
      <c r="AM118" s="335">
        <f t="shared" si="1"/>
        <v>0</v>
      </c>
      <c r="AN118" s="340" t="s">
        <v>1325</v>
      </c>
      <c r="AO118" s="282">
        <v>23</v>
      </c>
      <c r="AP118" s="540">
        <v>0</v>
      </c>
      <c r="AQ118" s="634">
        <v>46091</v>
      </c>
      <c r="AR118" s="340" t="s">
        <v>309</v>
      </c>
      <c r="AS118" s="335">
        <v>23</v>
      </c>
      <c r="AT118" s="337" t="s">
        <v>56</v>
      </c>
      <c r="AU118" s="337"/>
      <c r="AV118" s="335"/>
      <c r="AW118" s="337"/>
      <c r="AX118" s="335">
        <f t="shared" si="6"/>
        <v>0</v>
      </c>
      <c r="AY118" s="340" t="s">
        <v>1326</v>
      </c>
      <c r="AZ118" s="282">
        <v>23</v>
      </c>
      <c r="BA118" s="540">
        <v>0</v>
      </c>
      <c r="BB118" s="634">
        <v>46122</v>
      </c>
      <c r="BC118" s="340" t="s">
        <v>1327</v>
      </c>
      <c r="BD118" s="335">
        <v>23</v>
      </c>
      <c r="BE118" s="337" t="s">
        <v>56</v>
      </c>
      <c r="BF118" s="337"/>
      <c r="BG118" s="335"/>
      <c r="BH118" s="337"/>
      <c r="BI118" s="335">
        <f t="shared" si="3"/>
        <v>0</v>
      </c>
      <c r="BJ118" s="340" t="s">
        <v>1328</v>
      </c>
      <c r="BK118" s="282">
        <v>23</v>
      </c>
      <c r="BL118" s="540">
        <v>0</v>
      </c>
      <c r="BM118" s="634">
        <v>46152</v>
      </c>
      <c r="BN118" s="340"/>
      <c r="BO118" s="335"/>
      <c r="BP118" s="337"/>
      <c r="BQ118" s="337"/>
      <c r="BR118" s="335"/>
      <c r="BS118" s="337"/>
      <c r="BT118" s="335">
        <f t="shared" si="4"/>
        <v>23</v>
      </c>
      <c r="BU118" s="340"/>
    </row>
    <row r="119" customHeight="1" spans="1:73">
      <c r="A119" s="222" t="s">
        <v>1329</v>
      </c>
      <c r="B119" s="646" t="s">
        <v>1330</v>
      </c>
      <c r="C119" s="7" t="s">
        <v>1331</v>
      </c>
      <c r="D119" s="250" t="s">
        <v>201</v>
      </c>
      <c r="E119" s="275" t="s">
        <v>202</v>
      </c>
      <c r="F119" s="7"/>
      <c r="G119" s="536" t="s">
        <v>1332</v>
      </c>
      <c r="H119" s="7" t="s">
        <v>274</v>
      </c>
      <c r="I119" s="7" t="s">
        <v>206</v>
      </c>
      <c r="J119" s="7" t="s">
        <v>1333</v>
      </c>
      <c r="K119" s="7" t="s">
        <v>1334</v>
      </c>
      <c r="L119" s="222" t="s">
        <v>1335</v>
      </c>
      <c r="M119" s="7"/>
      <c r="N119" s="54">
        <v>45318</v>
      </c>
      <c r="O119" s="647" t="s">
        <v>232</v>
      </c>
      <c r="P119" s="538" t="s">
        <v>242</v>
      </c>
      <c r="Q119" s="539">
        <v>0</v>
      </c>
      <c r="R119" s="282" t="s">
        <v>1336</v>
      </c>
      <c r="S119" s="282">
        <v>17.25</v>
      </c>
      <c r="T119" s="540">
        <v>0</v>
      </c>
      <c r="U119" s="260">
        <v>46032</v>
      </c>
      <c r="V119" s="331">
        <v>46031</v>
      </c>
      <c r="W119" s="539">
        <v>17.25</v>
      </c>
      <c r="X119" s="543" t="s">
        <v>56</v>
      </c>
      <c r="Y119" s="544"/>
      <c r="Z119" s="545"/>
      <c r="AA119" s="543"/>
      <c r="AB119" s="545">
        <f t="shared" si="0"/>
        <v>0</v>
      </c>
      <c r="AC119" s="250" t="s">
        <v>213</v>
      </c>
      <c r="AD119" s="283">
        <v>17.25</v>
      </c>
      <c r="AE119" s="540">
        <v>0</v>
      </c>
      <c r="AF119" s="260">
        <v>46063</v>
      </c>
      <c r="AG119" s="485">
        <v>46058.3872741782</v>
      </c>
      <c r="AH119" s="335">
        <v>17.25</v>
      </c>
      <c r="AI119" s="336" t="s">
        <v>56</v>
      </c>
      <c r="AJ119" s="345"/>
      <c r="AK119" s="338"/>
      <c r="AL119" s="339"/>
      <c r="AM119" s="338">
        <f t="shared" si="1"/>
        <v>0</v>
      </c>
      <c r="AN119" s="340" t="s">
        <v>213</v>
      </c>
      <c r="AO119" s="282">
        <v>17.25</v>
      </c>
      <c r="AP119" s="540">
        <v>0</v>
      </c>
      <c r="AQ119" s="260">
        <v>46091</v>
      </c>
      <c r="AR119" s="485">
        <v>46084.3894121759</v>
      </c>
      <c r="AS119" s="335">
        <v>17.25</v>
      </c>
      <c r="AT119" s="337" t="s">
        <v>56</v>
      </c>
      <c r="AU119" s="337"/>
      <c r="AV119" s="335"/>
      <c r="AW119" s="337"/>
      <c r="AX119" s="335">
        <f t="shared" si="6"/>
        <v>0</v>
      </c>
      <c r="AY119" s="340" t="s">
        <v>213</v>
      </c>
      <c r="AZ119" s="282">
        <v>17.25</v>
      </c>
      <c r="BA119" s="540">
        <v>0</v>
      </c>
      <c r="BB119" s="260">
        <v>46122</v>
      </c>
      <c r="BC119" s="485">
        <v>46119.3762187384</v>
      </c>
      <c r="BD119" s="335">
        <v>17.25</v>
      </c>
      <c r="BE119" s="337" t="s">
        <v>56</v>
      </c>
      <c r="BF119" s="337"/>
      <c r="BG119" s="335"/>
      <c r="BH119" s="337"/>
      <c r="BI119" s="335">
        <f t="shared" si="3"/>
        <v>0</v>
      </c>
      <c r="BJ119" s="340"/>
      <c r="BK119" s="282">
        <v>17.25</v>
      </c>
      <c r="BL119" s="540">
        <v>0</v>
      </c>
      <c r="BM119" s="260">
        <v>46152</v>
      </c>
      <c r="BN119" s="485">
        <v>46147.4514470602</v>
      </c>
      <c r="BO119" s="335">
        <v>17.25</v>
      </c>
      <c r="BP119" s="337" t="s">
        <v>56</v>
      </c>
      <c r="BQ119" s="337"/>
      <c r="BR119" s="335"/>
      <c r="BS119" s="337"/>
      <c r="BT119" s="335">
        <f t="shared" si="4"/>
        <v>0</v>
      </c>
      <c r="BU119" s="340"/>
    </row>
    <row r="120" customHeight="1" spans="1:73">
      <c r="A120" s="648" t="s">
        <v>1337</v>
      </c>
      <c r="B120" s="649" t="s">
        <v>1338</v>
      </c>
      <c r="C120" s="650" t="s">
        <v>1339</v>
      </c>
      <c r="D120" s="250" t="s">
        <v>201</v>
      </c>
      <c r="E120" s="651" t="s">
        <v>226</v>
      </c>
      <c r="F120" s="650"/>
      <c r="G120" s="652" t="s">
        <v>1340</v>
      </c>
      <c r="H120" s="650" t="s">
        <v>238</v>
      </c>
      <c r="I120" s="650" t="s">
        <v>206</v>
      </c>
      <c r="J120" s="650" t="s">
        <v>1341</v>
      </c>
      <c r="K120" s="650" t="s">
        <v>1342</v>
      </c>
      <c r="L120" s="648" t="s">
        <v>1343</v>
      </c>
      <c r="M120" s="650" t="s">
        <v>1344</v>
      </c>
      <c r="N120" s="653">
        <v>45331</v>
      </c>
      <c r="O120" s="327" t="s">
        <v>210</v>
      </c>
      <c r="P120" s="650" t="s">
        <v>242</v>
      </c>
      <c r="Q120" s="539">
        <v>0</v>
      </c>
      <c r="R120" s="282"/>
      <c r="S120" s="282">
        <v>22.4</v>
      </c>
      <c r="T120" s="540">
        <v>0</v>
      </c>
      <c r="U120" s="634">
        <v>46036</v>
      </c>
      <c r="V120" s="331">
        <v>46045</v>
      </c>
      <c r="W120" s="539">
        <v>22.4</v>
      </c>
      <c r="X120" s="543" t="s">
        <v>23</v>
      </c>
      <c r="Y120" s="544"/>
      <c r="Z120" s="545"/>
      <c r="AA120" s="543"/>
      <c r="AB120" s="545">
        <f t="shared" si="0"/>
        <v>0</v>
      </c>
      <c r="AC120" s="250" t="s">
        <v>213</v>
      </c>
      <c r="AD120" s="283">
        <v>22.4</v>
      </c>
      <c r="AE120" s="540">
        <v>0</v>
      </c>
      <c r="AF120" s="634">
        <v>46067</v>
      </c>
      <c r="AG120" s="251">
        <v>46076</v>
      </c>
      <c r="AH120" s="335">
        <v>22.4</v>
      </c>
      <c r="AI120" s="336" t="s">
        <v>23</v>
      </c>
      <c r="AJ120" s="345"/>
      <c r="AK120" s="338"/>
      <c r="AL120" s="339"/>
      <c r="AM120" s="338">
        <f t="shared" si="1"/>
        <v>0</v>
      </c>
      <c r="AN120" s="340" t="s">
        <v>213</v>
      </c>
      <c r="AO120" s="282">
        <v>22.4</v>
      </c>
      <c r="AP120" s="540">
        <v>0</v>
      </c>
      <c r="AQ120" s="634">
        <v>46095</v>
      </c>
      <c r="AR120" s="340" t="s">
        <v>748</v>
      </c>
      <c r="AS120" s="335">
        <v>22.4</v>
      </c>
      <c r="AT120" s="337" t="s">
        <v>23</v>
      </c>
      <c r="AU120" s="337"/>
      <c r="AV120" s="335"/>
      <c r="AW120" s="337"/>
      <c r="AX120" s="335">
        <f t="shared" si="6"/>
        <v>0</v>
      </c>
      <c r="AY120" s="340" t="s">
        <v>213</v>
      </c>
      <c r="AZ120" s="282">
        <v>22.4</v>
      </c>
      <c r="BA120" s="540">
        <v>0</v>
      </c>
      <c r="BB120" s="634">
        <v>46126</v>
      </c>
      <c r="BC120" s="340" t="s">
        <v>1345</v>
      </c>
      <c r="BD120" s="335">
        <v>22.4</v>
      </c>
      <c r="BE120" s="337" t="s">
        <v>23</v>
      </c>
      <c r="BF120" s="337"/>
      <c r="BG120" s="335"/>
      <c r="BH120" s="337"/>
      <c r="BI120" s="335">
        <f t="shared" si="3"/>
        <v>0</v>
      </c>
      <c r="BJ120" s="340"/>
      <c r="BK120" s="282">
        <v>22.4</v>
      </c>
      <c r="BL120" s="540">
        <v>0</v>
      </c>
      <c r="BM120" s="634">
        <v>46156</v>
      </c>
      <c r="BN120" s="340"/>
      <c r="BO120" s="335"/>
      <c r="BP120" s="337"/>
      <c r="BQ120" s="337"/>
      <c r="BR120" s="335"/>
      <c r="BS120" s="337"/>
      <c r="BT120" s="335">
        <f t="shared" si="4"/>
        <v>22.4</v>
      </c>
      <c r="BU120" s="340"/>
    </row>
    <row r="121" customHeight="1" spans="1:73">
      <c r="A121" s="222" t="s">
        <v>1346</v>
      </c>
      <c r="B121" s="298" t="s">
        <v>1347</v>
      </c>
      <c r="C121" s="7" t="s">
        <v>1348</v>
      </c>
      <c r="D121" s="250" t="s">
        <v>472</v>
      </c>
      <c r="E121" s="275" t="s">
        <v>226</v>
      </c>
      <c r="F121" s="275">
        <v>24</v>
      </c>
      <c r="G121" s="222" t="s">
        <v>1349</v>
      </c>
      <c r="H121" s="7" t="s">
        <v>238</v>
      </c>
      <c r="I121" s="7" t="s">
        <v>220</v>
      </c>
      <c r="J121" s="7" t="s">
        <v>1319</v>
      </c>
      <c r="K121" s="7" t="s">
        <v>1350</v>
      </c>
      <c r="L121" s="222" t="s">
        <v>1351</v>
      </c>
      <c r="M121" s="298" t="s">
        <v>1352</v>
      </c>
      <c r="N121" s="54">
        <v>45349</v>
      </c>
      <c r="O121" s="327" t="s">
        <v>210</v>
      </c>
      <c r="P121" s="7" t="s">
        <v>242</v>
      </c>
      <c r="Q121" s="539">
        <v>22</v>
      </c>
      <c r="R121" s="282"/>
      <c r="S121" s="282"/>
      <c r="T121" s="540">
        <v>0</v>
      </c>
      <c r="U121" s="634">
        <v>46032</v>
      </c>
      <c r="V121" s="350"/>
      <c r="W121" s="545"/>
      <c r="X121" s="543"/>
      <c r="Y121" s="544"/>
      <c r="Z121" s="545"/>
      <c r="AA121" s="543"/>
      <c r="AB121" s="545">
        <f t="shared" si="0"/>
        <v>22</v>
      </c>
      <c r="AC121" s="250" t="s">
        <v>213</v>
      </c>
      <c r="AD121" s="283"/>
      <c r="AE121" s="540">
        <v>0</v>
      </c>
      <c r="AF121" s="634">
        <v>46063</v>
      </c>
      <c r="AH121" s="338"/>
      <c r="AI121" s="339"/>
      <c r="AJ121" s="345"/>
      <c r="AK121" s="338"/>
      <c r="AL121" s="339"/>
      <c r="AM121" s="338">
        <f t="shared" si="1"/>
        <v>22</v>
      </c>
      <c r="AN121" s="340" t="s">
        <v>213</v>
      </c>
      <c r="AO121" s="282"/>
      <c r="AP121" s="540">
        <v>0</v>
      </c>
      <c r="AQ121" s="634">
        <v>46091</v>
      </c>
      <c r="AR121" s="340"/>
      <c r="AS121" s="335"/>
      <c r="AT121" s="337"/>
      <c r="AU121" s="337"/>
      <c r="AV121" s="335"/>
      <c r="AW121" s="337"/>
      <c r="AX121" s="335">
        <f t="shared" si="6"/>
        <v>22</v>
      </c>
      <c r="AY121" s="340" t="s">
        <v>213</v>
      </c>
      <c r="AZ121" s="282"/>
      <c r="BA121" s="540">
        <v>0</v>
      </c>
      <c r="BB121" s="634">
        <v>46122</v>
      </c>
      <c r="BC121" s="340"/>
      <c r="BD121" s="335"/>
      <c r="BE121" s="337"/>
      <c r="BF121" s="337"/>
      <c r="BG121" s="335"/>
      <c r="BH121" s="337"/>
      <c r="BI121" s="335">
        <f t="shared" si="3"/>
        <v>22</v>
      </c>
      <c r="BJ121" s="340"/>
      <c r="BK121" s="282"/>
      <c r="BL121" s="540">
        <v>0</v>
      </c>
      <c r="BM121" s="634">
        <v>46152</v>
      </c>
      <c r="BN121" s="340"/>
      <c r="BO121" s="335"/>
      <c r="BP121" s="337"/>
      <c r="BQ121" s="337"/>
      <c r="BR121" s="335"/>
      <c r="BS121" s="337"/>
      <c r="BT121" s="335">
        <f t="shared" si="4"/>
        <v>22</v>
      </c>
      <c r="BU121" s="340"/>
    </row>
    <row r="122" customHeight="1" spans="1:73">
      <c r="A122" s="247" t="s">
        <v>1353</v>
      </c>
      <c r="B122" s="654" t="s">
        <v>1354</v>
      </c>
      <c r="C122" s="64" t="s">
        <v>1355</v>
      </c>
      <c r="D122" s="250" t="s">
        <v>251</v>
      </c>
      <c r="E122" s="655" t="s">
        <v>226</v>
      </c>
      <c r="F122" s="64"/>
      <c r="G122" s="656" t="s">
        <v>1356</v>
      </c>
      <c r="H122" s="64" t="s">
        <v>238</v>
      </c>
      <c r="I122" s="64" t="s">
        <v>220</v>
      </c>
      <c r="J122" s="64" t="s">
        <v>1357</v>
      </c>
      <c r="K122" s="64" t="s">
        <v>1358</v>
      </c>
      <c r="L122" s="247" t="s">
        <v>1359</v>
      </c>
      <c r="M122" s="64" t="s">
        <v>1360</v>
      </c>
      <c r="N122" s="61">
        <v>45326</v>
      </c>
      <c r="O122" s="327" t="s">
        <v>384</v>
      </c>
      <c r="P122" s="181">
        <v>45</v>
      </c>
      <c r="Q122" s="539">
        <v>0</v>
      </c>
      <c r="R122" s="282"/>
      <c r="T122" s="540">
        <v>0</v>
      </c>
      <c r="U122" s="559"/>
      <c r="V122" s="350"/>
      <c r="W122" s="545"/>
      <c r="X122" s="543"/>
      <c r="Y122" s="544"/>
      <c r="Z122" s="545"/>
      <c r="AA122" s="543"/>
      <c r="AB122" s="545">
        <f t="shared" si="0"/>
        <v>0</v>
      </c>
      <c r="AC122" s="250" t="s">
        <v>213</v>
      </c>
      <c r="AD122" s="280"/>
      <c r="AE122" s="540">
        <v>0</v>
      </c>
      <c r="AF122" s="559"/>
      <c r="AH122" s="338"/>
      <c r="AI122" s="339"/>
      <c r="AJ122" s="345"/>
      <c r="AK122" s="338"/>
      <c r="AL122" s="339"/>
      <c r="AM122" s="338">
        <f t="shared" si="1"/>
        <v>0</v>
      </c>
      <c r="AN122" s="340" t="s">
        <v>213</v>
      </c>
      <c r="AP122" s="540">
        <v>0</v>
      </c>
      <c r="AQ122" s="559"/>
      <c r="AR122" s="340"/>
      <c r="AS122" s="335"/>
      <c r="AT122" s="337"/>
      <c r="AU122" s="337"/>
      <c r="AV122" s="335"/>
      <c r="AW122" s="337"/>
      <c r="AX122" s="335">
        <f t="shared" si="6"/>
        <v>0</v>
      </c>
      <c r="AY122" s="340" t="s">
        <v>213</v>
      </c>
      <c r="BA122" s="540">
        <v>0</v>
      </c>
      <c r="BB122" s="559"/>
      <c r="BC122" s="340"/>
      <c r="BD122" s="335"/>
      <c r="BE122" s="337"/>
      <c r="BF122" s="337"/>
      <c r="BG122" s="335"/>
      <c r="BH122" s="337"/>
      <c r="BI122" s="335">
        <f t="shared" si="3"/>
        <v>0</v>
      </c>
      <c r="BJ122" s="340"/>
      <c r="BL122" s="540">
        <v>0</v>
      </c>
      <c r="BM122" s="559"/>
      <c r="BN122" s="340"/>
      <c r="BO122" s="335"/>
      <c r="BP122" s="337"/>
      <c r="BQ122" s="337"/>
      <c r="BR122" s="335"/>
      <c r="BS122" s="337"/>
      <c r="BT122" s="335">
        <f t="shared" si="4"/>
        <v>0</v>
      </c>
      <c r="BU122" s="340"/>
    </row>
    <row r="123" customHeight="1" spans="1:73">
      <c r="A123" s="535" t="s">
        <v>1361</v>
      </c>
      <c r="B123" s="298" t="s">
        <v>1362</v>
      </c>
      <c r="C123" s="7" t="s">
        <v>1363</v>
      </c>
      <c r="D123" s="250" t="s">
        <v>472</v>
      </c>
      <c r="E123" s="275" t="s">
        <v>202</v>
      </c>
      <c r="F123" s="7"/>
      <c r="G123" s="536" t="s">
        <v>1364</v>
      </c>
      <c r="H123" s="7" t="s">
        <v>238</v>
      </c>
      <c r="I123" s="7" t="s">
        <v>220</v>
      </c>
      <c r="J123" s="7" t="s">
        <v>1365</v>
      </c>
      <c r="K123" s="7" t="s">
        <v>1366</v>
      </c>
      <c r="L123" s="222" t="s">
        <v>1367</v>
      </c>
      <c r="M123" s="7" t="s">
        <v>1368</v>
      </c>
      <c r="N123" s="54">
        <v>45362</v>
      </c>
      <c r="O123" s="327" t="s">
        <v>210</v>
      </c>
      <c r="P123" s="298" t="s">
        <v>242</v>
      </c>
      <c r="Q123" s="539">
        <v>0</v>
      </c>
      <c r="R123" s="282"/>
      <c r="S123" s="282">
        <v>0</v>
      </c>
      <c r="T123" s="540">
        <v>0</v>
      </c>
      <c r="U123" s="260">
        <v>46037</v>
      </c>
      <c r="V123" s="350"/>
      <c r="W123" s="545"/>
      <c r="X123" s="543"/>
      <c r="Y123" s="544"/>
      <c r="Z123" s="545"/>
      <c r="AA123" s="543"/>
      <c r="AB123" s="545">
        <f t="shared" si="0"/>
        <v>0</v>
      </c>
      <c r="AC123" s="250" t="s">
        <v>213</v>
      </c>
      <c r="AD123" s="283">
        <v>23</v>
      </c>
      <c r="AE123" s="540">
        <v>0</v>
      </c>
      <c r="AF123" s="260">
        <v>46068</v>
      </c>
      <c r="AH123" s="338"/>
      <c r="AI123" s="339"/>
      <c r="AJ123" s="345"/>
      <c r="AK123" s="338"/>
      <c r="AL123" s="339"/>
      <c r="AM123" s="335">
        <v>0</v>
      </c>
      <c r="AN123" s="340" t="s">
        <v>213</v>
      </c>
      <c r="AO123" s="282">
        <v>0</v>
      </c>
      <c r="AP123" s="540">
        <v>0</v>
      </c>
      <c r="AQ123" s="260">
        <v>46096</v>
      </c>
      <c r="AR123" s="340"/>
      <c r="AS123" s="335"/>
      <c r="AT123" s="337"/>
      <c r="AU123" s="337"/>
      <c r="AV123" s="335"/>
      <c r="AW123" s="337"/>
      <c r="AX123" s="335">
        <f t="shared" si="6"/>
        <v>0</v>
      </c>
      <c r="AY123" s="340" t="s">
        <v>213</v>
      </c>
      <c r="AZ123" s="282">
        <v>0</v>
      </c>
      <c r="BA123" s="540">
        <v>0</v>
      </c>
      <c r="BB123" s="260">
        <v>46127</v>
      </c>
      <c r="BC123" s="340"/>
      <c r="BD123" s="335"/>
      <c r="BE123" s="337"/>
      <c r="BF123" s="337"/>
      <c r="BG123" s="335"/>
      <c r="BH123" s="337"/>
      <c r="BI123" s="335">
        <f t="shared" si="3"/>
        <v>0</v>
      </c>
      <c r="BJ123" s="340"/>
      <c r="BK123" s="282">
        <v>0</v>
      </c>
      <c r="BL123" s="540">
        <v>0</v>
      </c>
      <c r="BM123" s="260">
        <v>46157</v>
      </c>
      <c r="BN123" s="340"/>
      <c r="BO123" s="335"/>
      <c r="BP123" s="337"/>
      <c r="BQ123" s="337"/>
      <c r="BR123" s="335"/>
      <c r="BS123" s="337"/>
      <c r="BT123" s="335">
        <f t="shared" si="4"/>
        <v>0</v>
      </c>
      <c r="BU123" s="340"/>
    </row>
    <row r="124" customHeight="1" spans="1:73">
      <c r="A124" s="535" t="s">
        <v>1369</v>
      </c>
      <c r="B124" s="427" t="s">
        <v>1370</v>
      </c>
      <c r="C124" s="7" t="s">
        <v>1371</v>
      </c>
      <c r="D124" s="250" t="s">
        <v>201</v>
      </c>
      <c r="E124" s="275" t="s">
        <v>226</v>
      </c>
      <c r="F124" s="7"/>
      <c r="G124" s="657" t="s">
        <v>1372</v>
      </c>
      <c r="H124" s="7" t="s">
        <v>238</v>
      </c>
      <c r="I124" s="7" t="s">
        <v>206</v>
      </c>
      <c r="J124" s="7" t="s">
        <v>856</v>
      </c>
      <c r="K124" s="444" t="s">
        <v>1373</v>
      </c>
      <c r="L124" s="222" t="s">
        <v>1374</v>
      </c>
      <c r="M124" s="414" t="s">
        <v>1375</v>
      </c>
      <c r="N124" s="54">
        <v>45374</v>
      </c>
      <c r="O124" s="411" t="s">
        <v>464</v>
      </c>
      <c r="P124" s="7" t="s">
        <v>242</v>
      </c>
      <c r="Q124" s="539">
        <v>0</v>
      </c>
      <c r="R124" s="282" t="s">
        <v>1376</v>
      </c>
      <c r="S124" s="282">
        <v>23</v>
      </c>
      <c r="T124" s="540">
        <v>2</v>
      </c>
      <c r="U124" s="260">
        <v>46032</v>
      </c>
      <c r="V124" s="331">
        <v>46035</v>
      </c>
      <c r="W124" s="539">
        <v>25</v>
      </c>
      <c r="X124" s="543" t="s">
        <v>23</v>
      </c>
      <c r="Y124" s="544"/>
      <c r="Z124" s="545"/>
      <c r="AA124" s="543"/>
      <c r="AB124" s="545">
        <f t="shared" si="0"/>
        <v>0</v>
      </c>
      <c r="AC124" s="250" t="s">
        <v>1377</v>
      </c>
      <c r="AD124" s="283">
        <v>23</v>
      </c>
      <c r="AE124" s="540">
        <v>2</v>
      </c>
      <c r="AF124" s="260">
        <v>46063</v>
      </c>
      <c r="AG124" s="251">
        <v>46057</v>
      </c>
      <c r="AH124" s="335">
        <v>25</v>
      </c>
      <c r="AI124" s="336" t="s">
        <v>23</v>
      </c>
      <c r="AJ124" s="337"/>
      <c r="AK124" s="335"/>
      <c r="AL124" s="336"/>
      <c r="AM124" s="335">
        <f t="shared" ref="AM124:AM253" si="7">(AB124+AD124+AE124)-(AH124+AK124)</f>
        <v>0</v>
      </c>
      <c r="AN124" s="340" t="s">
        <v>1378</v>
      </c>
      <c r="AO124" s="282">
        <v>23</v>
      </c>
      <c r="AP124" s="540">
        <f>2+5</f>
        <v>7</v>
      </c>
      <c r="AQ124" s="260">
        <v>46091</v>
      </c>
      <c r="AR124" s="340" t="s">
        <v>1379</v>
      </c>
      <c r="AS124" s="335">
        <v>25</v>
      </c>
      <c r="AT124" s="337" t="s">
        <v>23</v>
      </c>
      <c r="AU124" s="337"/>
      <c r="AV124" s="335">
        <v>5</v>
      </c>
      <c r="AW124" s="337" t="s">
        <v>23</v>
      </c>
      <c r="AX124" s="335">
        <f t="shared" si="6"/>
        <v>0</v>
      </c>
      <c r="AY124" s="340" t="s">
        <v>1380</v>
      </c>
      <c r="AZ124" s="282">
        <v>23</v>
      </c>
      <c r="BA124" s="540">
        <f>2</f>
        <v>2</v>
      </c>
      <c r="BB124" s="260">
        <v>46122</v>
      </c>
      <c r="BC124" s="340" t="s">
        <v>1381</v>
      </c>
      <c r="BD124" s="335">
        <v>23</v>
      </c>
      <c r="BE124" s="337" t="s">
        <v>23</v>
      </c>
      <c r="BF124" s="337"/>
      <c r="BG124" s="335">
        <v>2</v>
      </c>
      <c r="BH124" s="337" t="s">
        <v>23</v>
      </c>
      <c r="BI124" s="335">
        <f t="shared" si="3"/>
        <v>0</v>
      </c>
      <c r="BJ124" s="340" t="s">
        <v>1382</v>
      </c>
      <c r="BK124" s="282">
        <v>23</v>
      </c>
      <c r="BL124" s="540">
        <f>2</f>
        <v>2</v>
      </c>
      <c r="BM124" s="260">
        <v>46152</v>
      </c>
      <c r="BN124" s="340" t="s">
        <v>797</v>
      </c>
      <c r="BO124" s="335">
        <v>25</v>
      </c>
      <c r="BP124" s="337" t="s">
        <v>23</v>
      </c>
      <c r="BQ124" s="337"/>
      <c r="BR124" s="335"/>
      <c r="BS124" s="337"/>
      <c r="BT124" s="335">
        <f t="shared" si="4"/>
        <v>0</v>
      </c>
      <c r="BU124" s="340"/>
    </row>
    <row r="125" customHeight="1" spans="1:73">
      <c r="A125" s="423" t="s">
        <v>1383</v>
      </c>
      <c r="B125" s="419" t="s">
        <v>1384</v>
      </c>
      <c r="C125" s="420" t="s">
        <v>1385</v>
      </c>
      <c r="D125" s="250" t="s">
        <v>201</v>
      </c>
      <c r="E125" s="422" t="s">
        <v>226</v>
      </c>
      <c r="F125" s="420"/>
      <c r="G125" s="536" t="s">
        <v>1386</v>
      </c>
      <c r="H125" s="420" t="s">
        <v>238</v>
      </c>
      <c r="I125" s="420" t="s">
        <v>220</v>
      </c>
      <c r="J125" s="420" t="s">
        <v>856</v>
      </c>
      <c r="K125" s="420" t="s">
        <v>1387</v>
      </c>
      <c r="L125" s="423" t="s">
        <v>1388</v>
      </c>
      <c r="M125" s="424" t="s">
        <v>1389</v>
      </c>
      <c r="N125" s="425">
        <v>45385</v>
      </c>
      <c r="O125" s="327" t="s">
        <v>210</v>
      </c>
      <c r="P125" s="420" t="s">
        <v>242</v>
      </c>
      <c r="Q125" s="539">
        <v>0</v>
      </c>
      <c r="R125" s="282" t="s">
        <v>1390</v>
      </c>
      <c r="S125" s="282">
        <v>23</v>
      </c>
      <c r="T125" s="540">
        <v>0</v>
      </c>
      <c r="U125" s="260">
        <v>46032</v>
      </c>
      <c r="V125" s="331">
        <v>46035</v>
      </c>
      <c r="W125" s="539">
        <v>23</v>
      </c>
      <c r="X125" s="543" t="s">
        <v>56</v>
      </c>
      <c r="Y125" s="544"/>
      <c r="Z125" s="545"/>
      <c r="AA125" s="543"/>
      <c r="AB125" s="545">
        <f t="shared" si="0"/>
        <v>0</v>
      </c>
      <c r="AC125" s="250" t="s">
        <v>1391</v>
      </c>
      <c r="AD125" s="283">
        <v>23</v>
      </c>
      <c r="AE125" s="540">
        <v>0</v>
      </c>
      <c r="AF125" s="260">
        <v>46063</v>
      </c>
      <c r="AG125" s="251">
        <v>46297</v>
      </c>
      <c r="AH125" s="335">
        <v>23</v>
      </c>
      <c r="AI125" s="336" t="s">
        <v>56</v>
      </c>
      <c r="AJ125" s="337"/>
      <c r="AK125" s="335"/>
      <c r="AL125" s="336"/>
      <c r="AM125" s="335">
        <f t="shared" si="7"/>
        <v>0</v>
      </c>
      <c r="AN125" s="340" t="s">
        <v>1392</v>
      </c>
      <c r="AO125" s="282">
        <v>23</v>
      </c>
      <c r="AP125" s="540">
        <v>0</v>
      </c>
      <c r="AQ125" s="260">
        <v>46091</v>
      </c>
      <c r="AR125" s="485">
        <v>46093.7485586227</v>
      </c>
      <c r="AS125" s="335">
        <v>23</v>
      </c>
      <c r="AT125" s="337" t="s">
        <v>56</v>
      </c>
      <c r="AU125" s="337"/>
      <c r="AV125" s="335"/>
      <c r="AW125" s="337"/>
      <c r="AX125" s="335">
        <f t="shared" si="6"/>
        <v>0</v>
      </c>
      <c r="AY125" s="340" t="s">
        <v>1393</v>
      </c>
      <c r="AZ125" s="282">
        <v>23</v>
      </c>
      <c r="BA125" s="540">
        <v>0</v>
      </c>
      <c r="BB125" s="260">
        <v>46122</v>
      </c>
      <c r="BC125" s="340" t="s">
        <v>234</v>
      </c>
      <c r="BD125" s="335">
        <v>23</v>
      </c>
      <c r="BE125" s="337" t="s">
        <v>56</v>
      </c>
      <c r="BF125" s="337"/>
      <c r="BG125" s="335"/>
      <c r="BH125" s="337"/>
      <c r="BI125" s="335">
        <f t="shared" si="3"/>
        <v>0</v>
      </c>
      <c r="BJ125" s="340" t="s">
        <v>1394</v>
      </c>
      <c r="BK125" s="282">
        <v>23</v>
      </c>
      <c r="BL125" s="540">
        <v>0</v>
      </c>
      <c r="BM125" s="260">
        <v>46152</v>
      </c>
      <c r="BN125" s="340"/>
      <c r="BO125" s="335"/>
      <c r="BP125" s="337"/>
      <c r="BQ125" s="337"/>
      <c r="BR125" s="335"/>
      <c r="BS125" s="337"/>
      <c r="BT125" s="335">
        <f t="shared" si="4"/>
        <v>23</v>
      </c>
      <c r="BU125" s="340"/>
    </row>
    <row r="126" customHeight="1" spans="1:73">
      <c r="A126" s="222" t="s">
        <v>1395</v>
      </c>
      <c r="B126" s="427" t="s">
        <v>1396</v>
      </c>
      <c r="C126" s="7" t="s">
        <v>1397</v>
      </c>
      <c r="D126" s="250" t="s">
        <v>201</v>
      </c>
      <c r="E126" s="275" t="s">
        <v>226</v>
      </c>
      <c r="F126" s="7"/>
      <c r="G126" s="222" t="s">
        <v>1398</v>
      </c>
      <c r="H126" s="7" t="s">
        <v>238</v>
      </c>
      <c r="I126" s="7" t="s">
        <v>220</v>
      </c>
      <c r="J126" s="7" t="s">
        <v>1016</v>
      </c>
      <c r="K126" s="7" t="s">
        <v>1399</v>
      </c>
      <c r="L126" s="222" t="s">
        <v>1400</v>
      </c>
      <c r="M126" s="7"/>
      <c r="N126" s="54">
        <v>45575</v>
      </c>
      <c r="O126" s="327" t="s">
        <v>384</v>
      </c>
      <c r="P126" s="7" t="s">
        <v>242</v>
      </c>
      <c r="Q126" s="539">
        <v>0.04</v>
      </c>
      <c r="R126" s="282" t="s">
        <v>1401</v>
      </c>
      <c r="S126" s="282">
        <v>20.5</v>
      </c>
      <c r="T126" s="540">
        <v>0</v>
      </c>
      <c r="U126" s="260">
        <v>46032</v>
      </c>
      <c r="V126" s="331">
        <v>46051</v>
      </c>
      <c r="W126" s="539">
        <v>20.54</v>
      </c>
      <c r="X126" s="543" t="s">
        <v>56</v>
      </c>
      <c r="Y126" s="544"/>
      <c r="Z126" s="545"/>
      <c r="AA126" s="543"/>
      <c r="AB126" s="545">
        <f t="shared" si="0"/>
        <v>0</v>
      </c>
      <c r="AC126" s="250" t="s">
        <v>213</v>
      </c>
      <c r="AD126" s="283">
        <v>20.54</v>
      </c>
      <c r="AE126" s="540">
        <v>0</v>
      </c>
      <c r="AF126" s="260">
        <v>46063</v>
      </c>
      <c r="AG126" s="485">
        <v>46079.7301892014</v>
      </c>
      <c r="AH126" s="335">
        <v>20.54</v>
      </c>
      <c r="AI126" s="336" t="s">
        <v>56</v>
      </c>
      <c r="AJ126" s="345"/>
      <c r="AK126" s="338"/>
      <c r="AL126" s="339"/>
      <c r="AM126" s="338">
        <f t="shared" si="7"/>
        <v>0</v>
      </c>
      <c r="AN126" s="340" t="s">
        <v>1402</v>
      </c>
      <c r="AO126" s="282">
        <v>20.54</v>
      </c>
      <c r="AP126" s="540">
        <v>0</v>
      </c>
      <c r="AQ126" s="260">
        <v>46091</v>
      </c>
      <c r="AR126" s="485">
        <v>46107.6610800463</v>
      </c>
      <c r="AS126" s="335">
        <v>20.54</v>
      </c>
      <c r="AT126" s="337" t="s">
        <v>56</v>
      </c>
      <c r="AU126" s="337"/>
      <c r="AV126" s="335"/>
      <c r="AW126" s="337"/>
      <c r="AX126" s="335">
        <f t="shared" si="6"/>
        <v>0</v>
      </c>
      <c r="AY126" s="340" t="s">
        <v>1403</v>
      </c>
      <c r="AZ126" s="282">
        <v>20.54</v>
      </c>
      <c r="BA126" s="540">
        <v>0</v>
      </c>
      <c r="BB126" s="260">
        <v>46122</v>
      </c>
      <c r="BC126" s="485">
        <v>46142.6620517593</v>
      </c>
      <c r="BD126" s="335">
        <v>20.54</v>
      </c>
      <c r="BE126" s="337" t="s">
        <v>56</v>
      </c>
      <c r="BF126" s="337"/>
      <c r="BG126" s="335"/>
      <c r="BH126" s="337"/>
      <c r="BI126" s="335">
        <f t="shared" si="3"/>
        <v>0</v>
      </c>
      <c r="BJ126" s="340" t="s">
        <v>1404</v>
      </c>
      <c r="BK126" s="282">
        <v>20.54</v>
      </c>
      <c r="BL126" s="540">
        <v>0</v>
      </c>
      <c r="BM126" s="260">
        <v>46152</v>
      </c>
      <c r="BN126" s="340"/>
      <c r="BO126" s="335"/>
      <c r="BP126" s="337"/>
      <c r="BQ126" s="337"/>
      <c r="BR126" s="335"/>
      <c r="BS126" s="337"/>
      <c r="BT126" s="335">
        <f t="shared" si="4"/>
        <v>20.54</v>
      </c>
      <c r="BU126" s="340"/>
    </row>
    <row r="127" customHeight="1" spans="1:73">
      <c r="A127" s="222" t="s">
        <v>1405</v>
      </c>
      <c r="B127" s="7" t="s">
        <v>1406</v>
      </c>
      <c r="C127" s="7" t="s">
        <v>1407</v>
      </c>
      <c r="D127" s="486" t="s">
        <v>472</v>
      </c>
      <c r="E127" s="275" t="s">
        <v>202</v>
      </c>
      <c r="F127" s="7"/>
      <c r="G127" s="536" t="s">
        <v>1408</v>
      </c>
      <c r="H127" s="7" t="s">
        <v>238</v>
      </c>
      <c r="I127" s="7" t="s">
        <v>206</v>
      </c>
      <c r="J127" s="7" t="s">
        <v>647</v>
      </c>
      <c r="K127" s="7" t="s">
        <v>1409</v>
      </c>
      <c r="L127" s="222" t="s">
        <v>1410</v>
      </c>
      <c r="M127" s="414" t="s">
        <v>1411</v>
      </c>
      <c r="N127" s="54">
        <v>45387</v>
      </c>
      <c r="O127" s="327" t="s">
        <v>210</v>
      </c>
      <c r="P127" s="7" t="s">
        <v>242</v>
      </c>
      <c r="Q127" s="539">
        <v>0</v>
      </c>
      <c r="R127" s="282"/>
      <c r="S127" s="282">
        <f>25+22.5</f>
        <v>47.5</v>
      </c>
      <c r="T127" s="540">
        <v>0</v>
      </c>
      <c r="U127" s="260">
        <v>46041</v>
      </c>
      <c r="V127" s="331">
        <v>46049</v>
      </c>
      <c r="W127" s="539">
        <v>20</v>
      </c>
      <c r="X127" s="543" t="s">
        <v>56</v>
      </c>
      <c r="Y127" s="544"/>
      <c r="Z127" s="545"/>
      <c r="AA127" s="543"/>
      <c r="AB127" s="545">
        <f t="shared" si="0"/>
        <v>27.5</v>
      </c>
      <c r="AC127" s="250" t="s">
        <v>213</v>
      </c>
      <c r="AD127" s="283">
        <v>25</v>
      </c>
      <c r="AE127" s="540">
        <v>0</v>
      </c>
      <c r="AF127" s="260">
        <v>46072</v>
      </c>
      <c r="AG127" s="251">
        <v>46065</v>
      </c>
      <c r="AH127" s="335">
        <f>27.5+25</f>
        <v>52.5</v>
      </c>
      <c r="AI127" s="336" t="s">
        <v>56</v>
      </c>
      <c r="AJ127" s="345"/>
      <c r="AK127" s="338"/>
      <c r="AL127" s="339"/>
      <c r="AM127" s="338">
        <f t="shared" si="7"/>
        <v>0</v>
      </c>
      <c r="AN127" s="340" t="s">
        <v>213</v>
      </c>
      <c r="AO127" s="282">
        <v>25</v>
      </c>
      <c r="AP127" s="540">
        <v>0</v>
      </c>
      <c r="AQ127" s="260">
        <v>46100</v>
      </c>
      <c r="AR127" s="340"/>
      <c r="AS127" s="335"/>
      <c r="AT127" s="337"/>
      <c r="AU127" s="337"/>
      <c r="AV127" s="335"/>
      <c r="AW127" s="337"/>
      <c r="AX127" s="335">
        <f t="shared" si="6"/>
        <v>25</v>
      </c>
      <c r="AY127" s="340" t="s">
        <v>213</v>
      </c>
      <c r="AZ127" s="282">
        <v>10</v>
      </c>
      <c r="BA127" s="540">
        <v>0</v>
      </c>
      <c r="BB127" s="260">
        <v>46131</v>
      </c>
      <c r="BC127" s="340"/>
      <c r="BD127" s="335"/>
      <c r="BE127" s="337"/>
      <c r="BF127" s="337"/>
      <c r="BG127" s="335"/>
      <c r="BH127" s="337"/>
      <c r="BI127" s="335">
        <f t="shared" si="3"/>
        <v>35</v>
      </c>
      <c r="BJ127" s="340"/>
      <c r="BK127" s="282">
        <v>0</v>
      </c>
      <c r="BL127" s="540">
        <v>0</v>
      </c>
      <c r="BM127" s="260">
        <v>46161</v>
      </c>
      <c r="BN127" s="340"/>
      <c r="BO127" s="335"/>
      <c r="BP127" s="337"/>
      <c r="BQ127" s="337"/>
      <c r="BR127" s="335"/>
      <c r="BS127" s="337"/>
      <c r="BT127" s="335">
        <f t="shared" si="4"/>
        <v>35</v>
      </c>
      <c r="BU127" s="340"/>
    </row>
    <row r="128" customHeight="1" spans="1:73">
      <c r="A128" s="222" t="s">
        <v>1412</v>
      </c>
      <c r="B128" s="658" t="s">
        <v>1413</v>
      </c>
      <c r="C128" s="7" t="s">
        <v>1414</v>
      </c>
      <c r="D128" s="250" t="s">
        <v>201</v>
      </c>
      <c r="E128" s="275" t="s">
        <v>226</v>
      </c>
      <c r="F128" s="7"/>
      <c r="G128" s="536" t="s">
        <v>1415</v>
      </c>
      <c r="H128" s="7" t="s">
        <v>238</v>
      </c>
      <c r="I128" s="7" t="s">
        <v>206</v>
      </c>
      <c r="J128" s="7" t="s">
        <v>879</v>
      </c>
      <c r="K128" s="7" t="s">
        <v>1416</v>
      </c>
      <c r="L128" s="222" t="s">
        <v>1417</v>
      </c>
      <c r="M128" s="414" t="s">
        <v>1418</v>
      </c>
      <c r="N128" s="54">
        <v>45400</v>
      </c>
      <c r="O128" s="327" t="s">
        <v>464</v>
      </c>
      <c r="P128" s="7" t="s">
        <v>242</v>
      </c>
      <c r="Q128" s="539">
        <v>1</v>
      </c>
      <c r="R128" s="282"/>
      <c r="S128" s="282">
        <f>69+14</f>
        <v>83</v>
      </c>
      <c r="T128" s="540">
        <v>4</v>
      </c>
      <c r="U128" s="260">
        <v>46032</v>
      </c>
      <c r="V128" s="331">
        <v>46034</v>
      </c>
      <c r="W128" s="539">
        <v>84</v>
      </c>
      <c r="X128" s="543" t="s">
        <v>23</v>
      </c>
      <c r="Y128" s="610"/>
      <c r="Z128" s="539">
        <v>4</v>
      </c>
      <c r="AA128" s="543" t="s">
        <v>23</v>
      </c>
      <c r="AB128" s="545">
        <f t="shared" si="0"/>
        <v>0</v>
      </c>
      <c r="AC128" s="250" t="s">
        <v>213</v>
      </c>
      <c r="AD128" s="283">
        <v>69</v>
      </c>
      <c r="AE128" s="540">
        <v>4</v>
      </c>
      <c r="AF128" s="260">
        <v>46063</v>
      </c>
      <c r="AG128" s="251">
        <v>46063</v>
      </c>
      <c r="AH128" s="335">
        <v>69</v>
      </c>
      <c r="AI128" s="336" t="s">
        <v>23</v>
      </c>
      <c r="AJ128" s="345"/>
      <c r="AK128" s="335">
        <v>4</v>
      </c>
      <c r="AL128" s="336" t="s">
        <v>23</v>
      </c>
      <c r="AM128" s="338">
        <f t="shared" si="7"/>
        <v>0</v>
      </c>
      <c r="AN128" s="340" t="s">
        <v>1419</v>
      </c>
      <c r="AO128" s="282">
        <f>69+75</f>
        <v>144</v>
      </c>
      <c r="AP128" s="540">
        <v>4</v>
      </c>
      <c r="AQ128" s="260">
        <v>46091</v>
      </c>
      <c r="AR128" s="340" t="s">
        <v>233</v>
      </c>
      <c r="AS128" s="335">
        <f>75+73</f>
        <v>148</v>
      </c>
      <c r="AT128" s="337" t="s">
        <v>23</v>
      </c>
      <c r="AU128" s="337"/>
      <c r="AV128" s="335"/>
      <c r="AW128" s="337"/>
      <c r="AX128" s="335">
        <f t="shared" si="6"/>
        <v>0</v>
      </c>
      <c r="AY128" s="340" t="s">
        <v>213</v>
      </c>
      <c r="AZ128" s="282">
        <v>69</v>
      </c>
      <c r="BA128" s="540">
        <v>0</v>
      </c>
      <c r="BB128" s="260">
        <v>46122</v>
      </c>
      <c r="BC128" s="340" t="s">
        <v>375</v>
      </c>
      <c r="BD128" s="335">
        <v>69</v>
      </c>
      <c r="BE128" s="337" t="s">
        <v>23</v>
      </c>
      <c r="BF128" s="337"/>
      <c r="BG128" s="335"/>
      <c r="BH128" s="337"/>
      <c r="BI128" s="335">
        <f t="shared" si="3"/>
        <v>0</v>
      </c>
      <c r="BJ128" s="340"/>
      <c r="BK128" s="282">
        <v>69</v>
      </c>
      <c r="BL128" s="540">
        <v>0</v>
      </c>
      <c r="BM128" s="260">
        <v>46152</v>
      </c>
      <c r="BN128" s="340"/>
      <c r="BO128" s="335"/>
      <c r="BP128" s="337"/>
      <c r="BQ128" s="337"/>
      <c r="BR128" s="335"/>
      <c r="BS128" s="337"/>
      <c r="BT128" s="335">
        <f t="shared" si="4"/>
        <v>69</v>
      </c>
      <c r="BU128" s="340"/>
    </row>
    <row r="129" customHeight="1" spans="1:73">
      <c r="A129" s="222" t="s">
        <v>1420</v>
      </c>
      <c r="B129" s="298" t="s">
        <v>1421</v>
      </c>
      <c r="C129" s="7" t="s">
        <v>1021</v>
      </c>
      <c r="D129" s="250" t="s">
        <v>251</v>
      </c>
      <c r="E129" s="7"/>
      <c r="F129" s="7"/>
      <c r="G129" s="536" t="s">
        <v>1422</v>
      </c>
      <c r="H129" s="7" t="s">
        <v>238</v>
      </c>
      <c r="I129" s="7" t="s">
        <v>206</v>
      </c>
      <c r="J129" s="7" t="s">
        <v>1423</v>
      </c>
      <c r="K129" s="7"/>
      <c r="L129" s="222" t="s">
        <v>1424</v>
      </c>
      <c r="M129" s="298" t="s">
        <v>1425</v>
      </c>
      <c r="N129" s="355">
        <v>45394</v>
      </c>
      <c r="O129" s="327" t="s">
        <v>232</v>
      </c>
      <c r="P129" s="7" t="s">
        <v>242</v>
      </c>
      <c r="Q129" s="539">
        <v>0</v>
      </c>
      <c r="R129" s="282"/>
      <c r="S129" s="282"/>
      <c r="T129" s="540">
        <v>0</v>
      </c>
      <c r="U129" s="559"/>
      <c r="V129" s="350"/>
      <c r="W129" s="545"/>
      <c r="X129" s="543"/>
      <c r="Y129" s="544"/>
      <c r="Z129" s="545"/>
      <c r="AA129" s="543"/>
      <c r="AB129" s="545">
        <f t="shared" si="0"/>
        <v>0</v>
      </c>
      <c r="AC129" s="250" t="s">
        <v>213</v>
      </c>
      <c r="AD129" s="283"/>
      <c r="AE129" s="540">
        <v>0</v>
      </c>
      <c r="AF129" s="559"/>
      <c r="AH129" s="338"/>
      <c r="AI129" s="339"/>
      <c r="AJ129" s="345"/>
      <c r="AK129" s="338"/>
      <c r="AL129" s="339"/>
      <c r="AM129" s="338">
        <f t="shared" si="7"/>
        <v>0</v>
      </c>
      <c r="AN129" s="340" t="s">
        <v>213</v>
      </c>
      <c r="AO129" s="282"/>
      <c r="AP129" s="540">
        <v>0</v>
      </c>
      <c r="AQ129" s="559"/>
      <c r="AR129" s="340"/>
      <c r="AS129" s="335"/>
      <c r="AT129" s="337"/>
      <c r="AU129" s="337"/>
      <c r="AV129" s="335"/>
      <c r="AW129" s="337"/>
      <c r="AX129" s="335">
        <f t="shared" si="6"/>
        <v>0</v>
      </c>
      <c r="AY129" s="340" t="s">
        <v>213</v>
      </c>
      <c r="AZ129" s="282"/>
      <c r="BA129" s="540">
        <v>0</v>
      </c>
      <c r="BB129" s="559"/>
      <c r="BC129" s="340"/>
      <c r="BD129" s="335"/>
      <c r="BE129" s="337"/>
      <c r="BF129" s="337"/>
      <c r="BG129" s="335"/>
      <c r="BH129" s="337"/>
      <c r="BI129" s="335">
        <f t="shared" si="3"/>
        <v>0</v>
      </c>
      <c r="BJ129" s="340"/>
      <c r="BK129" s="282"/>
      <c r="BL129" s="540">
        <v>0</v>
      </c>
      <c r="BM129" s="559"/>
      <c r="BN129" s="340"/>
      <c r="BO129" s="335"/>
      <c r="BP129" s="337"/>
      <c r="BQ129" s="337"/>
      <c r="BR129" s="335"/>
      <c r="BS129" s="337"/>
      <c r="BT129" s="335">
        <f t="shared" si="4"/>
        <v>0</v>
      </c>
      <c r="BU129" s="340"/>
    </row>
    <row r="130" customHeight="1" spans="1:73">
      <c r="A130" s="535" t="s">
        <v>1426</v>
      </c>
      <c r="B130" s="427" t="s">
        <v>1427</v>
      </c>
      <c r="C130" s="7" t="s">
        <v>1428</v>
      </c>
      <c r="D130" s="250" t="s">
        <v>201</v>
      </c>
      <c r="E130" s="275" t="s">
        <v>226</v>
      </c>
      <c r="F130" s="7"/>
      <c r="G130" s="536" t="s">
        <v>1429</v>
      </c>
      <c r="H130" s="7" t="s">
        <v>238</v>
      </c>
      <c r="I130" s="7" t="s">
        <v>206</v>
      </c>
      <c r="J130" s="7" t="s">
        <v>1430</v>
      </c>
      <c r="K130" s="7" t="s">
        <v>1431</v>
      </c>
      <c r="L130" s="222" t="s">
        <v>1432</v>
      </c>
      <c r="M130" s="7"/>
      <c r="N130" s="54">
        <v>45393</v>
      </c>
      <c r="O130" s="327" t="s">
        <v>384</v>
      </c>
      <c r="P130" s="7" t="s">
        <v>242</v>
      </c>
      <c r="Q130" s="539">
        <v>0</v>
      </c>
      <c r="R130" s="282" t="s">
        <v>1433</v>
      </c>
      <c r="S130" s="282">
        <v>20.54</v>
      </c>
      <c r="T130" s="540">
        <v>0</v>
      </c>
      <c r="U130" s="260">
        <v>46032</v>
      </c>
      <c r="V130" s="542">
        <v>46045.3731273148</v>
      </c>
      <c r="W130" s="539">
        <v>20.55</v>
      </c>
      <c r="X130" s="543" t="s">
        <v>56</v>
      </c>
      <c r="Y130" s="544"/>
      <c r="Z130" s="545"/>
      <c r="AA130" s="543"/>
      <c r="AB130" s="545">
        <f t="shared" si="0"/>
        <v>-0.0100000000000016</v>
      </c>
      <c r="AC130" s="250" t="s">
        <v>1434</v>
      </c>
      <c r="AD130" s="283">
        <v>20.54</v>
      </c>
      <c r="AE130" s="540">
        <v>0</v>
      </c>
      <c r="AF130" s="260">
        <v>46063</v>
      </c>
      <c r="AG130" s="251">
        <v>46075</v>
      </c>
      <c r="AH130" s="335">
        <v>20.53</v>
      </c>
      <c r="AI130" s="336" t="s">
        <v>35</v>
      </c>
      <c r="AJ130" s="337"/>
      <c r="AK130" s="335"/>
      <c r="AL130" s="336"/>
      <c r="AM130" s="335">
        <f t="shared" si="7"/>
        <v>0</v>
      </c>
      <c r="AN130" s="340" t="s">
        <v>1435</v>
      </c>
      <c r="AO130" s="282">
        <v>20.54</v>
      </c>
      <c r="AP130" s="540">
        <v>0</v>
      </c>
      <c r="AQ130" s="260">
        <v>46091</v>
      </c>
      <c r="AR130" s="340" t="s">
        <v>1436</v>
      </c>
      <c r="AS130" s="335">
        <v>20.54</v>
      </c>
      <c r="AT130" s="337" t="s">
        <v>35</v>
      </c>
      <c r="AU130" s="337"/>
      <c r="AV130" s="335"/>
      <c r="AW130" s="337"/>
      <c r="AX130" s="335">
        <f t="shared" si="6"/>
        <v>0</v>
      </c>
      <c r="AY130" s="340" t="s">
        <v>1437</v>
      </c>
      <c r="AZ130" s="282">
        <v>20.54</v>
      </c>
      <c r="BA130" s="540">
        <v>0</v>
      </c>
      <c r="BB130" s="260">
        <v>46122</v>
      </c>
      <c r="BC130" s="340" t="s">
        <v>223</v>
      </c>
      <c r="BD130" s="335">
        <v>20.54</v>
      </c>
      <c r="BE130" s="337" t="s">
        <v>23</v>
      </c>
      <c r="BF130" s="337"/>
      <c r="BG130" s="335"/>
      <c r="BH130" s="337"/>
      <c r="BI130" s="335">
        <f t="shared" si="3"/>
        <v>0</v>
      </c>
      <c r="BJ130" s="340" t="s">
        <v>1438</v>
      </c>
      <c r="BK130" s="282">
        <v>20.54</v>
      </c>
      <c r="BL130" s="540">
        <v>0</v>
      </c>
      <c r="BM130" s="260">
        <v>46152</v>
      </c>
      <c r="BN130" s="340"/>
      <c r="BO130" s="335"/>
      <c r="BP130" s="337"/>
      <c r="BQ130" s="337"/>
      <c r="BR130" s="335"/>
      <c r="BS130" s="337"/>
      <c r="BT130" s="335">
        <f t="shared" si="4"/>
        <v>20.54</v>
      </c>
      <c r="BU130" s="340"/>
    </row>
    <row r="131" customHeight="1" spans="1:73">
      <c r="A131" s="535" t="s">
        <v>1439</v>
      </c>
      <c r="B131" s="427" t="s">
        <v>1440</v>
      </c>
      <c r="C131" s="7" t="s">
        <v>1441</v>
      </c>
      <c r="D131" s="250" t="s">
        <v>201</v>
      </c>
      <c r="E131" s="275" t="s">
        <v>202</v>
      </c>
      <c r="F131" s="7"/>
      <c r="G131" s="536" t="s">
        <v>1442</v>
      </c>
      <c r="H131" s="7" t="s">
        <v>238</v>
      </c>
      <c r="I131" s="7" t="s">
        <v>206</v>
      </c>
      <c r="J131" s="7" t="s">
        <v>1430</v>
      </c>
      <c r="K131" s="7" t="s">
        <v>1443</v>
      </c>
      <c r="L131" s="222" t="s">
        <v>1444</v>
      </c>
      <c r="M131" s="414" t="s">
        <v>1445</v>
      </c>
      <c r="N131" s="54">
        <v>45398</v>
      </c>
      <c r="O131" s="327" t="s">
        <v>210</v>
      </c>
      <c r="P131" s="7" t="s">
        <v>242</v>
      </c>
      <c r="Q131" s="539">
        <v>0</v>
      </c>
      <c r="R131" s="282" t="s">
        <v>1446</v>
      </c>
      <c r="S131" s="282">
        <v>23</v>
      </c>
      <c r="T131" s="540">
        <v>0</v>
      </c>
      <c r="U131" s="260">
        <v>46032</v>
      </c>
      <c r="V131" s="331">
        <v>46041</v>
      </c>
      <c r="W131" s="539">
        <v>23</v>
      </c>
      <c r="X131" s="543" t="s">
        <v>56</v>
      </c>
      <c r="Y131" s="544"/>
      <c r="Z131" s="545"/>
      <c r="AA131" s="543"/>
      <c r="AB131" s="545">
        <f t="shared" si="0"/>
        <v>0</v>
      </c>
      <c r="AC131" s="250" t="s">
        <v>1447</v>
      </c>
      <c r="AD131" s="283">
        <v>23</v>
      </c>
      <c r="AE131" s="540">
        <v>0</v>
      </c>
      <c r="AF131" s="260">
        <v>46063</v>
      </c>
      <c r="AG131" s="251">
        <v>46076</v>
      </c>
      <c r="AH131" s="335">
        <v>23</v>
      </c>
      <c r="AI131" s="336" t="s">
        <v>56</v>
      </c>
      <c r="AJ131" s="337"/>
      <c r="AK131" s="335"/>
      <c r="AL131" s="336"/>
      <c r="AM131" s="335">
        <f t="shared" si="7"/>
        <v>0</v>
      </c>
      <c r="AN131" s="340" t="s">
        <v>1448</v>
      </c>
      <c r="AO131" s="282">
        <v>23</v>
      </c>
      <c r="AP131" s="540">
        <v>0</v>
      </c>
      <c r="AQ131" s="260">
        <v>46091</v>
      </c>
      <c r="AR131" s="340" t="s">
        <v>386</v>
      </c>
      <c r="AS131" s="335">
        <v>23</v>
      </c>
      <c r="AT131" s="337" t="s">
        <v>56</v>
      </c>
      <c r="AU131" s="337"/>
      <c r="AV131" s="335"/>
      <c r="AW131" s="337"/>
      <c r="AX131" s="335">
        <f t="shared" si="6"/>
        <v>0</v>
      </c>
      <c r="AY131" s="340" t="s">
        <v>1449</v>
      </c>
      <c r="AZ131" s="282">
        <v>23</v>
      </c>
      <c r="BA131" s="540">
        <v>0</v>
      </c>
      <c r="BB131" s="260">
        <v>46122</v>
      </c>
      <c r="BC131" s="485">
        <v>46132.3991060995</v>
      </c>
      <c r="BD131" s="335">
        <v>23</v>
      </c>
      <c r="BE131" s="337" t="s">
        <v>56</v>
      </c>
      <c r="BF131" s="337"/>
      <c r="BG131" s="335"/>
      <c r="BH131" s="337"/>
      <c r="BI131" s="335">
        <f t="shared" si="3"/>
        <v>0</v>
      </c>
      <c r="BJ131" s="340" t="s">
        <v>1450</v>
      </c>
      <c r="BK131" s="282">
        <v>23</v>
      </c>
      <c r="BL131" s="540">
        <v>0</v>
      </c>
      <c r="BM131" s="260">
        <v>46152</v>
      </c>
      <c r="BN131" s="340"/>
      <c r="BO131" s="335"/>
      <c r="BP131" s="337"/>
      <c r="BQ131" s="337"/>
      <c r="BR131" s="335"/>
      <c r="BS131" s="337"/>
      <c r="BT131" s="335">
        <f t="shared" si="4"/>
        <v>23</v>
      </c>
      <c r="BU131" s="340"/>
    </row>
    <row r="132" customHeight="1" spans="1:73">
      <c r="A132" s="535" t="s">
        <v>1451</v>
      </c>
      <c r="B132" s="298" t="s">
        <v>1452</v>
      </c>
      <c r="C132" s="7" t="s">
        <v>1453</v>
      </c>
      <c r="D132" s="250" t="s">
        <v>251</v>
      </c>
      <c r="E132" s="7"/>
      <c r="F132" s="7"/>
      <c r="G132" s="536" t="s">
        <v>1454</v>
      </c>
      <c r="H132" s="7" t="s">
        <v>238</v>
      </c>
      <c r="I132" s="7" t="s">
        <v>220</v>
      </c>
      <c r="J132" s="7" t="s">
        <v>1016</v>
      </c>
      <c r="K132" s="7" t="s">
        <v>1455</v>
      </c>
      <c r="L132" s="222" t="s">
        <v>1456</v>
      </c>
      <c r="M132" s="7"/>
      <c r="N132" s="54">
        <v>45404</v>
      </c>
      <c r="O132" s="411" t="s">
        <v>384</v>
      </c>
      <c r="P132" s="7" t="s">
        <v>242</v>
      </c>
      <c r="Q132" s="539">
        <v>0</v>
      </c>
      <c r="R132" s="282"/>
      <c r="S132" s="282"/>
      <c r="T132" s="540">
        <v>0</v>
      </c>
      <c r="U132" s="559"/>
      <c r="V132" s="350"/>
      <c r="W132" s="545"/>
      <c r="X132" s="543"/>
      <c r="Y132" s="544"/>
      <c r="Z132" s="545"/>
      <c r="AA132" s="543"/>
      <c r="AB132" s="545">
        <f t="shared" si="0"/>
        <v>0</v>
      </c>
      <c r="AC132" s="250" t="s">
        <v>213</v>
      </c>
      <c r="AD132" s="283"/>
      <c r="AE132" s="540">
        <v>0</v>
      </c>
      <c r="AF132" s="559"/>
      <c r="AH132" s="338"/>
      <c r="AI132" s="339"/>
      <c r="AJ132" s="345"/>
      <c r="AK132" s="338"/>
      <c r="AL132" s="339"/>
      <c r="AM132" s="338">
        <f t="shared" si="7"/>
        <v>0</v>
      </c>
      <c r="AN132" s="340" t="s">
        <v>213</v>
      </c>
      <c r="AO132" s="282"/>
      <c r="AP132" s="540">
        <v>0</v>
      </c>
      <c r="AQ132" s="559"/>
      <c r="AR132" s="340"/>
      <c r="AS132" s="335"/>
      <c r="AT132" s="337"/>
      <c r="AU132" s="337"/>
      <c r="AV132" s="335"/>
      <c r="AW132" s="337"/>
      <c r="AX132" s="335">
        <f t="shared" si="6"/>
        <v>0</v>
      </c>
      <c r="AY132" s="340" t="s">
        <v>213</v>
      </c>
      <c r="AZ132" s="282"/>
      <c r="BA132" s="540">
        <v>0</v>
      </c>
      <c r="BB132" s="559"/>
      <c r="BC132" s="340"/>
      <c r="BD132" s="335"/>
      <c r="BE132" s="337"/>
      <c r="BF132" s="337"/>
      <c r="BG132" s="335"/>
      <c r="BH132" s="337"/>
      <c r="BI132" s="335">
        <f t="shared" si="3"/>
        <v>0</v>
      </c>
      <c r="BJ132" s="340"/>
      <c r="BK132" s="282"/>
      <c r="BL132" s="540">
        <v>0</v>
      </c>
      <c r="BM132" s="559"/>
      <c r="BN132" s="340"/>
      <c r="BO132" s="335"/>
      <c r="BP132" s="337"/>
      <c r="BQ132" s="337"/>
      <c r="BR132" s="335"/>
      <c r="BS132" s="337"/>
      <c r="BT132" s="335">
        <f t="shared" si="4"/>
        <v>0</v>
      </c>
      <c r="BU132" s="340"/>
    </row>
    <row r="133" customHeight="1" spans="1:73">
      <c r="A133" s="659" t="s">
        <v>1457</v>
      </c>
      <c r="B133" s="419" t="s">
        <v>1458</v>
      </c>
      <c r="C133" s="420" t="s">
        <v>1459</v>
      </c>
      <c r="D133" s="250" t="s">
        <v>201</v>
      </c>
      <c r="E133" s="422" t="s">
        <v>226</v>
      </c>
      <c r="F133" s="420"/>
      <c r="G133" s="660" t="s">
        <v>1460</v>
      </c>
      <c r="H133" s="420" t="s">
        <v>238</v>
      </c>
      <c r="I133" s="420" t="s">
        <v>220</v>
      </c>
      <c r="J133" s="420" t="s">
        <v>1461</v>
      </c>
      <c r="K133" s="661" t="s">
        <v>335</v>
      </c>
      <c r="L133" s="423" t="s">
        <v>1462</v>
      </c>
      <c r="M133" s="420"/>
      <c r="N133" s="425">
        <v>45413</v>
      </c>
      <c r="O133" s="327" t="s">
        <v>232</v>
      </c>
      <c r="P133" s="420" t="s">
        <v>242</v>
      </c>
      <c r="Q133" s="539">
        <v>0</v>
      </c>
      <c r="R133" s="282"/>
      <c r="S133" s="282">
        <v>17.25</v>
      </c>
      <c r="T133" s="540">
        <v>0</v>
      </c>
      <c r="U133" s="260">
        <v>46051</v>
      </c>
      <c r="V133" s="331">
        <v>46050</v>
      </c>
      <c r="W133" s="539">
        <v>17.25</v>
      </c>
      <c r="X133" s="543" t="s">
        <v>23</v>
      </c>
      <c r="Y133" s="544"/>
      <c r="Z133" s="545"/>
      <c r="AA133" s="543"/>
      <c r="AB133" s="545">
        <f t="shared" si="0"/>
        <v>0</v>
      </c>
      <c r="AC133" s="250" t="s">
        <v>213</v>
      </c>
      <c r="AD133" s="283">
        <v>17.25</v>
      </c>
      <c r="AE133" s="540">
        <v>0</v>
      </c>
      <c r="AF133" s="260">
        <v>46082</v>
      </c>
      <c r="AG133" s="251">
        <v>46079</v>
      </c>
      <c r="AH133" s="335">
        <v>17.25</v>
      </c>
      <c r="AI133" s="336" t="s">
        <v>56</v>
      </c>
      <c r="AJ133" s="345"/>
      <c r="AK133" s="338"/>
      <c r="AL133" s="339"/>
      <c r="AM133" s="338">
        <f t="shared" si="7"/>
        <v>0</v>
      </c>
      <c r="AN133" s="340" t="s">
        <v>213</v>
      </c>
      <c r="AO133" s="282">
        <v>17.25</v>
      </c>
      <c r="AP133" s="540">
        <v>0</v>
      </c>
      <c r="AQ133" s="260">
        <v>46113</v>
      </c>
      <c r="AR133" s="340" t="s">
        <v>1463</v>
      </c>
      <c r="AS133" s="335">
        <v>17.25</v>
      </c>
      <c r="AT133" s="337" t="s">
        <v>23</v>
      </c>
      <c r="AU133" s="337"/>
      <c r="AV133" s="335"/>
      <c r="AW133" s="337"/>
      <c r="AX133" s="335">
        <f t="shared" si="6"/>
        <v>0</v>
      </c>
      <c r="AY133" s="340" t="s">
        <v>213</v>
      </c>
      <c r="AZ133" s="282">
        <v>17.25</v>
      </c>
      <c r="BA133" s="540">
        <v>0</v>
      </c>
      <c r="BB133" s="260">
        <v>46143</v>
      </c>
      <c r="BC133" s="340" t="s">
        <v>1182</v>
      </c>
      <c r="BD133" s="335">
        <v>17.25</v>
      </c>
      <c r="BE133" s="337" t="s">
        <v>56</v>
      </c>
      <c r="BF133" s="337"/>
      <c r="BG133" s="335"/>
      <c r="BH133" s="337"/>
      <c r="BI133" s="335">
        <f t="shared" si="3"/>
        <v>0</v>
      </c>
      <c r="BJ133" s="340"/>
      <c r="BK133" s="282">
        <v>17.25</v>
      </c>
      <c r="BL133" s="540">
        <v>0</v>
      </c>
      <c r="BM133" s="260">
        <v>46174</v>
      </c>
      <c r="BN133" s="340"/>
      <c r="BO133" s="335"/>
      <c r="BP133" s="337"/>
      <c r="BQ133" s="337"/>
      <c r="BR133" s="335"/>
      <c r="BS133" s="337"/>
      <c r="BT133" s="335">
        <f t="shared" si="4"/>
        <v>17.25</v>
      </c>
      <c r="BU133" s="340"/>
    </row>
    <row r="134" customHeight="1" spans="1:73">
      <c r="A134" s="535" t="s">
        <v>1464</v>
      </c>
      <c r="B134" s="298" t="s">
        <v>1465</v>
      </c>
      <c r="C134" s="7" t="s">
        <v>1466</v>
      </c>
      <c r="D134" s="250" t="s">
        <v>251</v>
      </c>
      <c r="E134" s="275" t="s">
        <v>202</v>
      </c>
      <c r="F134" s="7"/>
      <c r="G134" s="536" t="s">
        <v>1467</v>
      </c>
      <c r="H134" s="7" t="s">
        <v>238</v>
      </c>
      <c r="I134" s="7" t="s">
        <v>220</v>
      </c>
      <c r="J134" s="7" t="s">
        <v>1468</v>
      </c>
      <c r="K134" s="7" t="s">
        <v>1469</v>
      </c>
      <c r="L134" s="222" t="s">
        <v>1470</v>
      </c>
      <c r="M134" s="7"/>
      <c r="N134" s="54">
        <v>45416</v>
      </c>
      <c r="O134" s="327" t="s">
        <v>232</v>
      </c>
      <c r="P134" s="60">
        <v>22.5</v>
      </c>
      <c r="Q134" s="539">
        <v>0</v>
      </c>
      <c r="R134" s="282" t="s">
        <v>1471</v>
      </c>
      <c r="S134" s="282">
        <f>17.25+45</f>
        <v>62.25</v>
      </c>
      <c r="T134" s="540">
        <v>0</v>
      </c>
      <c r="U134" s="260">
        <v>46032</v>
      </c>
      <c r="V134" s="542">
        <v>46051.7334607986</v>
      </c>
      <c r="W134" s="539">
        <v>62.25</v>
      </c>
      <c r="X134" s="543" t="s">
        <v>35</v>
      </c>
      <c r="Y134" s="544"/>
      <c r="Z134" s="545"/>
      <c r="AA134" s="543"/>
      <c r="AB134" s="545">
        <f t="shared" si="0"/>
        <v>0</v>
      </c>
      <c r="AC134" s="250" t="s">
        <v>1472</v>
      </c>
      <c r="AD134" s="283">
        <v>0</v>
      </c>
      <c r="AE134" s="540">
        <v>0</v>
      </c>
      <c r="AF134" s="260">
        <v>46063</v>
      </c>
      <c r="AG134" s="250"/>
      <c r="AH134" s="335"/>
      <c r="AI134" s="336"/>
      <c r="AJ134" s="337"/>
      <c r="AK134" s="335"/>
      <c r="AL134" s="336"/>
      <c r="AM134" s="335">
        <f t="shared" si="7"/>
        <v>0</v>
      </c>
      <c r="AN134" s="340" t="s">
        <v>213</v>
      </c>
      <c r="AO134" s="282">
        <v>0</v>
      </c>
      <c r="AP134" s="540">
        <v>0</v>
      </c>
      <c r="AQ134" s="260">
        <v>46091</v>
      </c>
      <c r="AR134" s="340"/>
      <c r="AS134" s="335"/>
      <c r="AT134" s="337"/>
      <c r="AU134" s="337"/>
      <c r="AV134" s="335"/>
      <c r="AW134" s="337"/>
      <c r="AX134" s="335">
        <f t="shared" si="6"/>
        <v>0</v>
      </c>
      <c r="AY134" s="340" t="s">
        <v>213</v>
      </c>
      <c r="AZ134" s="282">
        <v>0</v>
      </c>
      <c r="BA134" s="540">
        <v>0</v>
      </c>
      <c r="BB134" s="260">
        <v>46122</v>
      </c>
      <c r="BC134" s="340"/>
      <c r="BD134" s="335"/>
      <c r="BE134" s="337"/>
      <c r="BF134" s="337"/>
      <c r="BG134" s="335"/>
      <c r="BH134" s="337"/>
      <c r="BI134" s="335">
        <f t="shared" si="3"/>
        <v>0</v>
      </c>
      <c r="BJ134" s="340"/>
      <c r="BK134" s="282">
        <v>0</v>
      </c>
      <c r="BL134" s="540">
        <v>0</v>
      </c>
      <c r="BM134" s="260">
        <v>46152</v>
      </c>
      <c r="BN134" s="340"/>
      <c r="BO134" s="335"/>
      <c r="BP134" s="337"/>
      <c r="BQ134" s="337"/>
      <c r="BR134" s="335"/>
      <c r="BS134" s="337"/>
      <c r="BT134" s="335">
        <f t="shared" si="4"/>
        <v>0</v>
      </c>
      <c r="BU134" s="340"/>
    </row>
    <row r="135" customHeight="1" spans="1:73">
      <c r="A135" s="535" t="s">
        <v>1473</v>
      </c>
      <c r="B135" s="427" t="s">
        <v>1474</v>
      </c>
      <c r="C135" s="7" t="s">
        <v>1475</v>
      </c>
      <c r="D135" s="250" t="s">
        <v>201</v>
      </c>
      <c r="E135" s="275" t="s">
        <v>226</v>
      </c>
      <c r="F135" s="7"/>
      <c r="G135" s="536" t="s">
        <v>1476</v>
      </c>
      <c r="H135" s="7" t="s">
        <v>238</v>
      </c>
      <c r="I135" s="7" t="s">
        <v>220</v>
      </c>
      <c r="J135" s="7" t="s">
        <v>1468</v>
      </c>
      <c r="K135" s="7" t="s">
        <v>1477</v>
      </c>
      <c r="L135" s="222" t="s">
        <v>1478</v>
      </c>
      <c r="M135" s="7"/>
      <c r="N135" s="54">
        <v>45416</v>
      </c>
      <c r="O135" s="327" t="s">
        <v>232</v>
      </c>
      <c r="P135" s="60">
        <v>22.5</v>
      </c>
      <c r="Q135" s="539">
        <v>0</v>
      </c>
      <c r="R135" s="282" t="s">
        <v>1479</v>
      </c>
      <c r="S135" s="282">
        <v>17.25</v>
      </c>
      <c r="T135" s="540">
        <v>0</v>
      </c>
      <c r="U135" s="260">
        <v>46032</v>
      </c>
      <c r="V135" s="542">
        <v>46048.7910646296</v>
      </c>
      <c r="W135" s="539">
        <v>17.25</v>
      </c>
      <c r="X135" s="543" t="s">
        <v>56</v>
      </c>
      <c r="Y135" s="544"/>
      <c r="Z135" s="545"/>
      <c r="AA135" s="543"/>
      <c r="AB135" s="545">
        <f t="shared" si="0"/>
        <v>0</v>
      </c>
      <c r="AC135" s="250" t="s">
        <v>1480</v>
      </c>
      <c r="AD135" s="283">
        <v>17.25</v>
      </c>
      <c r="AE135" s="540">
        <v>0</v>
      </c>
      <c r="AF135" s="260">
        <v>46063</v>
      </c>
      <c r="AG135" s="251">
        <v>46076</v>
      </c>
      <c r="AH135" s="335">
        <v>17.25</v>
      </c>
      <c r="AI135" s="336" t="s">
        <v>56</v>
      </c>
      <c r="AJ135" s="337"/>
      <c r="AK135" s="335"/>
      <c r="AL135" s="336"/>
      <c r="AM135" s="335">
        <f t="shared" si="7"/>
        <v>0</v>
      </c>
      <c r="AN135" s="340" t="s">
        <v>1481</v>
      </c>
      <c r="AO135" s="282">
        <v>17.25</v>
      </c>
      <c r="AP135" s="540">
        <v>0</v>
      </c>
      <c r="AQ135" s="260">
        <v>46091</v>
      </c>
      <c r="AR135" s="340" t="s">
        <v>386</v>
      </c>
      <c r="AS135" s="335">
        <v>17.25</v>
      </c>
      <c r="AT135" s="337" t="s">
        <v>56</v>
      </c>
      <c r="AU135" s="337"/>
      <c r="AV135" s="335"/>
      <c r="AW135" s="337"/>
      <c r="AX135" s="335">
        <f t="shared" si="6"/>
        <v>0</v>
      </c>
      <c r="AY135" s="340" t="s">
        <v>1482</v>
      </c>
      <c r="AZ135" s="282">
        <v>17.25</v>
      </c>
      <c r="BA135" s="540">
        <v>0</v>
      </c>
      <c r="BB135" s="260">
        <v>46122</v>
      </c>
      <c r="BC135" s="340" t="s">
        <v>770</v>
      </c>
      <c r="BD135" s="335">
        <v>17.25</v>
      </c>
      <c r="BE135" s="337" t="s">
        <v>56</v>
      </c>
      <c r="BF135" s="337"/>
      <c r="BG135" s="335"/>
      <c r="BH135" s="337"/>
      <c r="BI135" s="335">
        <f t="shared" si="3"/>
        <v>0</v>
      </c>
      <c r="BJ135" s="340" t="s">
        <v>1483</v>
      </c>
      <c r="BK135" s="282">
        <v>17.25</v>
      </c>
      <c r="BL135" s="540">
        <v>0</v>
      </c>
      <c r="BM135" s="260">
        <v>46152</v>
      </c>
      <c r="BN135" s="340"/>
      <c r="BO135" s="335"/>
      <c r="BP135" s="337"/>
      <c r="BQ135" s="337"/>
      <c r="BR135" s="335"/>
      <c r="BS135" s="337"/>
      <c r="BT135" s="335">
        <f t="shared" si="4"/>
        <v>17.25</v>
      </c>
      <c r="BU135" s="340"/>
    </row>
    <row r="136" customHeight="1" spans="1:73">
      <c r="A136" s="535" t="s">
        <v>1484</v>
      </c>
      <c r="B136" s="427" t="s">
        <v>1485</v>
      </c>
      <c r="C136" s="7" t="s">
        <v>1486</v>
      </c>
      <c r="D136" s="250" t="s">
        <v>201</v>
      </c>
      <c r="E136" s="275" t="s">
        <v>202</v>
      </c>
      <c r="F136" s="7"/>
      <c r="G136" s="536" t="s">
        <v>1487</v>
      </c>
      <c r="H136" s="7" t="s">
        <v>238</v>
      </c>
      <c r="I136" s="7" t="s">
        <v>220</v>
      </c>
      <c r="J136" s="7" t="s">
        <v>1488</v>
      </c>
      <c r="K136" s="444" t="s">
        <v>1489</v>
      </c>
      <c r="L136" s="222" t="s">
        <v>1490</v>
      </c>
      <c r="M136" s="298" t="s">
        <v>1491</v>
      </c>
      <c r="N136" s="54">
        <v>45419</v>
      </c>
      <c r="O136" s="327" t="s">
        <v>384</v>
      </c>
      <c r="P136" s="7" t="s">
        <v>242</v>
      </c>
      <c r="Q136" s="539">
        <v>0.01</v>
      </c>
      <c r="R136" s="282" t="s">
        <v>1492</v>
      </c>
      <c r="S136" s="282">
        <v>20.53</v>
      </c>
      <c r="T136" s="540">
        <v>0</v>
      </c>
      <c r="U136" s="634">
        <v>46029</v>
      </c>
      <c r="V136" s="542">
        <v>46043.4289079167</v>
      </c>
      <c r="W136" s="539">
        <v>20.55</v>
      </c>
      <c r="X136" s="543" t="s">
        <v>56</v>
      </c>
      <c r="Y136" s="544"/>
      <c r="Z136" s="545"/>
      <c r="AA136" s="543"/>
      <c r="AB136" s="545">
        <f t="shared" si="0"/>
        <v>-0.00999999999999801</v>
      </c>
      <c r="AC136" s="250" t="s">
        <v>213</v>
      </c>
      <c r="AD136" s="283">
        <v>20.53</v>
      </c>
      <c r="AE136" s="540">
        <v>0</v>
      </c>
      <c r="AF136" s="634">
        <v>46060</v>
      </c>
      <c r="AG136" s="485">
        <v>46063.530563044</v>
      </c>
      <c r="AH136" s="335">
        <v>20.52</v>
      </c>
      <c r="AI136" s="336" t="s">
        <v>56</v>
      </c>
      <c r="AJ136" s="345"/>
      <c r="AK136" s="338"/>
      <c r="AL136" s="339"/>
      <c r="AM136" s="338">
        <f t="shared" si="7"/>
        <v>0</v>
      </c>
      <c r="AN136" s="340" t="s">
        <v>1493</v>
      </c>
      <c r="AO136" s="282">
        <v>20.54</v>
      </c>
      <c r="AP136" s="540">
        <v>0</v>
      </c>
      <c r="AQ136" s="634">
        <v>46088</v>
      </c>
      <c r="AR136" s="340" t="s">
        <v>309</v>
      </c>
      <c r="AS136" s="335">
        <v>20.54</v>
      </c>
      <c r="AT136" s="337" t="s">
        <v>56</v>
      </c>
      <c r="AU136" s="337"/>
      <c r="AV136" s="335"/>
      <c r="AW136" s="337"/>
      <c r="AX136" s="335">
        <f t="shared" si="6"/>
        <v>0</v>
      </c>
      <c r="AY136" s="340" t="s">
        <v>1494</v>
      </c>
      <c r="AZ136" s="282">
        <v>20.54</v>
      </c>
      <c r="BA136" s="540">
        <v>0</v>
      </c>
      <c r="BB136" s="634">
        <v>46119</v>
      </c>
      <c r="BC136" s="485">
        <v>46127.7982441898</v>
      </c>
      <c r="BD136" s="335">
        <v>20.54</v>
      </c>
      <c r="BE136" s="337" t="s">
        <v>56</v>
      </c>
      <c r="BF136" s="337"/>
      <c r="BG136" s="335"/>
      <c r="BH136" s="337"/>
      <c r="BI136" s="335">
        <f t="shared" si="3"/>
        <v>0</v>
      </c>
      <c r="BJ136" s="340" t="s">
        <v>1495</v>
      </c>
      <c r="BK136" s="282">
        <v>20.54</v>
      </c>
      <c r="BL136" s="540">
        <v>0</v>
      </c>
      <c r="BM136" s="634">
        <v>46149</v>
      </c>
      <c r="BN136" s="340"/>
      <c r="BO136" s="335"/>
      <c r="BP136" s="337"/>
      <c r="BQ136" s="337"/>
      <c r="BR136" s="335"/>
      <c r="BS136" s="337"/>
      <c r="BT136" s="335">
        <f t="shared" si="4"/>
        <v>20.54</v>
      </c>
      <c r="BU136" s="340"/>
    </row>
    <row r="137" customHeight="1" spans="1:73">
      <c r="A137" s="535" t="s">
        <v>1496</v>
      </c>
      <c r="B137" s="298" t="s">
        <v>1497</v>
      </c>
      <c r="C137" s="7" t="s">
        <v>1498</v>
      </c>
      <c r="D137" s="250" t="s">
        <v>251</v>
      </c>
      <c r="E137" s="7" t="s">
        <v>220</v>
      </c>
      <c r="F137" s="7"/>
      <c r="G137" s="536" t="s">
        <v>1499</v>
      </c>
      <c r="H137" s="7" t="s">
        <v>238</v>
      </c>
      <c r="I137" s="7" t="s">
        <v>220</v>
      </c>
      <c r="J137" s="7" t="s">
        <v>1500</v>
      </c>
      <c r="K137" s="7" t="s">
        <v>1501</v>
      </c>
      <c r="L137" s="222" t="s">
        <v>1502</v>
      </c>
      <c r="M137" s="298" t="s">
        <v>1503</v>
      </c>
      <c r="N137" s="54">
        <v>45420</v>
      </c>
      <c r="O137" s="327" t="s">
        <v>232</v>
      </c>
      <c r="P137" s="60">
        <v>45</v>
      </c>
      <c r="Q137" s="539">
        <v>0</v>
      </c>
      <c r="R137" s="282"/>
      <c r="S137" s="282"/>
      <c r="T137" s="540">
        <v>0</v>
      </c>
      <c r="U137" s="559"/>
      <c r="V137" s="350"/>
      <c r="W137" s="545"/>
      <c r="X137" s="543"/>
      <c r="Y137" s="544"/>
      <c r="Z137" s="545"/>
      <c r="AA137" s="543"/>
      <c r="AB137" s="545">
        <f t="shared" si="0"/>
        <v>0</v>
      </c>
      <c r="AC137" s="250" t="s">
        <v>213</v>
      </c>
      <c r="AD137" s="283"/>
      <c r="AE137" s="540">
        <v>0</v>
      </c>
      <c r="AF137" s="559"/>
      <c r="AH137" s="338"/>
      <c r="AI137" s="339"/>
      <c r="AJ137" s="345"/>
      <c r="AK137" s="338"/>
      <c r="AL137" s="339"/>
      <c r="AM137" s="338">
        <f t="shared" si="7"/>
        <v>0</v>
      </c>
      <c r="AN137" s="340" t="s">
        <v>213</v>
      </c>
      <c r="AO137" s="282"/>
      <c r="AP137" s="540">
        <v>0</v>
      </c>
      <c r="AQ137" s="559"/>
      <c r="AR137" s="340"/>
      <c r="AS137" s="335"/>
      <c r="AT137" s="337"/>
      <c r="AU137" s="337"/>
      <c r="AV137" s="335"/>
      <c r="AW137" s="337"/>
      <c r="AX137" s="335">
        <f t="shared" si="6"/>
        <v>0</v>
      </c>
      <c r="AY137" s="340" t="s">
        <v>213</v>
      </c>
      <c r="AZ137" s="282"/>
      <c r="BA137" s="540">
        <v>0</v>
      </c>
      <c r="BB137" s="559"/>
      <c r="BC137" s="340"/>
      <c r="BD137" s="335"/>
      <c r="BE137" s="337"/>
      <c r="BF137" s="337"/>
      <c r="BG137" s="335"/>
      <c r="BH137" s="337"/>
      <c r="BI137" s="335">
        <f t="shared" si="3"/>
        <v>0</v>
      </c>
      <c r="BJ137" s="340"/>
      <c r="BK137" s="282"/>
      <c r="BL137" s="540">
        <v>0</v>
      </c>
      <c r="BM137" s="559"/>
      <c r="BN137" s="340"/>
      <c r="BO137" s="335"/>
      <c r="BP137" s="337"/>
      <c r="BQ137" s="337"/>
      <c r="BR137" s="335"/>
      <c r="BS137" s="337"/>
      <c r="BT137" s="335">
        <f t="shared" si="4"/>
        <v>0</v>
      </c>
      <c r="BU137" s="340"/>
    </row>
    <row r="138" customHeight="1" spans="1:73">
      <c r="A138" s="535" t="s">
        <v>1504</v>
      </c>
      <c r="B138" s="427" t="s">
        <v>1505</v>
      </c>
      <c r="C138" s="7" t="s">
        <v>1506</v>
      </c>
      <c r="D138" s="250" t="s">
        <v>201</v>
      </c>
      <c r="E138" s="275" t="s">
        <v>226</v>
      </c>
      <c r="F138" s="7"/>
      <c r="G138" s="222" t="s">
        <v>1507</v>
      </c>
      <c r="H138" s="7" t="s">
        <v>238</v>
      </c>
      <c r="I138" s="7" t="s">
        <v>220</v>
      </c>
      <c r="J138" s="7" t="s">
        <v>1508</v>
      </c>
      <c r="K138" s="7"/>
      <c r="L138" s="222" t="s">
        <v>1509</v>
      </c>
      <c r="M138" s="414" t="s">
        <v>1510</v>
      </c>
      <c r="N138" s="54">
        <v>45427</v>
      </c>
      <c r="O138" s="327" t="s">
        <v>384</v>
      </c>
      <c r="P138" s="60">
        <v>45</v>
      </c>
      <c r="Q138" s="539">
        <v>0.54</v>
      </c>
      <c r="R138" s="282"/>
      <c r="S138" s="282">
        <v>20.54</v>
      </c>
      <c r="T138" s="540">
        <v>0</v>
      </c>
      <c r="U138" s="634">
        <v>46032</v>
      </c>
      <c r="V138" s="331">
        <v>46027</v>
      </c>
      <c r="W138" s="539">
        <v>21.08</v>
      </c>
      <c r="X138" s="543" t="s">
        <v>56</v>
      </c>
      <c r="Y138" s="544"/>
      <c r="Z138" s="545"/>
      <c r="AA138" s="543"/>
      <c r="AB138" s="545">
        <f t="shared" si="0"/>
        <v>0</v>
      </c>
      <c r="AC138" s="250" t="s">
        <v>213</v>
      </c>
      <c r="AD138" s="283">
        <v>20.54</v>
      </c>
      <c r="AE138" s="540">
        <v>0</v>
      </c>
      <c r="AF138" s="634">
        <v>46063</v>
      </c>
      <c r="AG138" s="251">
        <v>46063</v>
      </c>
      <c r="AH138" s="335">
        <v>20.54</v>
      </c>
      <c r="AI138" s="336" t="s">
        <v>56</v>
      </c>
      <c r="AJ138" s="345"/>
      <c r="AK138" s="338"/>
      <c r="AL138" s="339"/>
      <c r="AM138" s="338">
        <f t="shared" si="7"/>
        <v>0</v>
      </c>
      <c r="AN138" s="340" t="s">
        <v>213</v>
      </c>
      <c r="AO138" s="282">
        <v>20.54</v>
      </c>
      <c r="AP138" s="540">
        <v>0</v>
      </c>
      <c r="AQ138" s="634">
        <v>46091</v>
      </c>
      <c r="AR138" s="340" t="s">
        <v>1379</v>
      </c>
      <c r="AS138" s="335">
        <v>20.54</v>
      </c>
      <c r="AT138" s="337" t="s">
        <v>56</v>
      </c>
      <c r="AU138" s="337"/>
      <c r="AV138" s="335"/>
      <c r="AW138" s="337"/>
      <c r="AX138" s="335">
        <f t="shared" si="6"/>
        <v>0</v>
      </c>
      <c r="AY138" s="340" t="s">
        <v>213</v>
      </c>
      <c r="AZ138" s="282">
        <v>20.54</v>
      </c>
      <c r="BA138" s="540">
        <v>0</v>
      </c>
      <c r="BB138" s="634">
        <v>46122</v>
      </c>
      <c r="BC138" s="485">
        <v>46118.7606475463</v>
      </c>
      <c r="BD138" s="335">
        <v>20.54</v>
      </c>
      <c r="BE138" s="337" t="s">
        <v>56</v>
      </c>
      <c r="BF138" s="337"/>
      <c r="BG138" s="335"/>
      <c r="BH138" s="337"/>
      <c r="BI138" s="335">
        <f t="shared" si="3"/>
        <v>0</v>
      </c>
      <c r="BJ138" s="340"/>
      <c r="BK138" s="282">
        <v>20.54</v>
      </c>
      <c r="BL138" s="540">
        <v>0</v>
      </c>
      <c r="BM138" s="634">
        <v>46152</v>
      </c>
      <c r="BN138" s="340"/>
      <c r="BO138" s="335"/>
      <c r="BP138" s="337"/>
      <c r="BQ138" s="337"/>
      <c r="BR138" s="335"/>
      <c r="BS138" s="337"/>
      <c r="BT138" s="335">
        <f t="shared" si="4"/>
        <v>20.54</v>
      </c>
      <c r="BU138" s="340"/>
    </row>
    <row r="139" customHeight="1" spans="1:73">
      <c r="A139" s="535" t="s">
        <v>1511</v>
      </c>
      <c r="B139" s="427" t="s">
        <v>1512</v>
      </c>
      <c r="C139" s="7" t="s">
        <v>1513</v>
      </c>
      <c r="D139" s="250" t="s">
        <v>201</v>
      </c>
      <c r="E139" s="275" t="s">
        <v>202</v>
      </c>
      <c r="F139" s="7"/>
      <c r="G139" s="536" t="s">
        <v>1514</v>
      </c>
      <c r="H139" s="7" t="s">
        <v>238</v>
      </c>
      <c r="I139" s="7" t="s">
        <v>206</v>
      </c>
      <c r="J139" s="7" t="s">
        <v>647</v>
      </c>
      <c r="K139" s="7" t="s">
        <v>1515</v>
      </c>
      <c r="L139" s="222" t="s">
        <v>1516</v>
      </c>
      <c r="M139" s="7"/>
      <c r="N139" s="54">
        <v>45434</v>
      </c>
      <c r="O139" s="327" t="s">
        <v>210</v>
      </c>
      <c r="P139" s="7" t="s">
        <v>242</v>
      </c>
      <c r="Q139" s="539">
        <v>23</v>
      </c>
      <c r="R139" s="282"/>
      <c r="S139" s="282">
        <v>23</v>
      </c>
      <c r="T139" s="540">
        <v>0</v>
      </c>
      <c r="U139" s="260">
        <v>46041</v>
      </c>
      <c r="V139" s="542">
        <v>46045</v>
      </c>
      <c r="W139" s="539">
        <v>46</v>
      </c>
      <c r="X139" s="543" t="s">
        <v>35</v>
      </c>
      <c r="Y139" s="544"/>
      <c r="Z139" s="545"/>
      <c r="AA139" s="543"/>
      <c r="AB139" s="545">
        <f t="shared" si="0"/>
        <v>0</v>
      </c>
      <c r="AC139" s="250" t="s">
        <v>213</v>
      </c>
      <c r="AD139" s="283">
        <v>23</v>
      </c>
      <c r="AE139" s="540">
        <v>0</v>
      </c>
      <c r="AF139" s="260">
        <v>46072</v>
      </c>
      <c r="AG139" s="251">
        <v>46083</v>
      </c>
      <c r="AH139" s="335">
        <v>23</v>
      </c>
      <c r="AI139" s="336" t="s">
        <v>56</v>
      </c>
      <c r="AJ139" s="345"/>
      <c r="AK139" s="338"/>
      <c r="AL139" s="339"/>
      <c r="AM139" s="338">
        <f t="shared" si="7"/>
        <v>0</v>
      </c>
      <c r="AN139" s="340" t="s">
        <v>213</v>
      </c>
      <c r="AO139" s="282">
        <v>23</v>
      </c>
      <c r="AP139" s="540">
        <v>0</v>
      </c>
      <c r="AQ139" s="260">
        <v>46100</v>
      </c>
      <c r="AR139" s="485">
        <v>46111.7769091319</v>
      </c>
      <c r="AS139" s="335">
        <v>23</v>
      </c>
      <c r="AT139" s="337" t="s">
        <v>56</v>
      </c>
      <c r="AU139" s="337"/>
      <c r="AV139" s="335"/>
      <c r="AW139" s="337"/>
      <c r="AX139" s="335">
        <f t="shared" si="6"/>
        <v>0</v>
      </c>
      <c r="AY139" s="340" t="s">
        <v>213</v>
      </c>
      <c r="AZ139" s="282">
        <v>23</v>
      </c>
      <c r="BA139" s="540">
        <v>0</v>
      </c>
      <c r="BB139" s="260">
        <v>46131</v>
      </c>
      <c r="BC139" s="340"/>
      <c r="BD139" s="335">
        <v>23</v>
      </c>
      <c r="BE139" s="337" t="s">
        <v>56</v>
      </c>
      <c r="BF139" s="337"/>
      <c r="BG139" s="335"/>
      <c r="BH139" s="337"/>
      <c r="BI139" s="335">
        <f t="shared" si="3"/>
        <v>0</v>
      </c>
      <c r="BJ139" s="340"/>
      <c r="BK139" s="282">
        <v>23</v>
      </c>
      <c r="BL139" s="540">
        <v>0</v>
      </c>
      <c r="BM139" s="260">
        <v>46161</v>
      </c>
      <c r="BN139" s="340" t="s">
        <v>797</v>
      </c>
      <c r="BO139" s="335">
        <v>23</v>
      </c>
      <c r="BP139" s="337" t="s">
        <v>56</v>
      </c>
      <c r="BQ139" s="337"/>
      <c r="BR139" s="335"/>
      <c r="BS139" s="337"/>
      <c r="BT139" s="335">
        <f t="shared" si="4"/>
        <v>0</v>
      </c>
      <c r="BU139" s="340"/>
    </row>
    <row r="140" customHeight="1" spans="1:73">
      <c r="A140" s="535" t="s">
        <v>1517</v>
      </c>
      <c r="B140" s="427" t="s">
        <v>1518</v>
      </c>
      <c r="C140" s="7" t="s">
        <v>1519</v>
      </c>
      <c r="D140" s="250" t="s">
        <v>201</v>
      </c>
      <c r="E140" s="275" t="s">
        <v>226</v>
      </c>
      <c r="F140" s="7"/>
      <c r="G140" s="536" t="s">
        <v>1520</v>
      </c>
      <c r="H140" s="7" t="s">
        <v>238</v>
      </c>
      <c r="I140" s="7" t="s">
        <v>206</v>
      </c>
      <c r="J140" s="7" t="s">
        <v>1521</v>
      </c>
      <c r="K140" s="7" t="s">
        <v>1522</v>
      </c>
      <c r="L140" s="222" t="s">
        <v>1523</v>
      </c>
      <c r="M140" s="414" t="s">
        <v>1524</v>
      </c>
      <c r="N140" s="54">
        <v>45435</v>
      </c>
      <c r="O140" s="327" t="s">
        <v>210</v>
      </c>
      <c r="P140" s="7" t="s">
        <v>242</v>
      </c>
      <c r="Q140" s="539">
        <v>0</v>
      </c>
      <c r="R140" s="282" t="s">
        <v>1525</v>
      </c>
      <c r="S140" s="282">
        <v>23</v>
      </c>
      <c r="T140" s="540">
        <v>0</v>
      </c>
      <c r="U140" s="260">
        <v>46032</v>
      </c>
      <c r="V140" s="331">
        <v>46034</v>
      </c>
      <c r="W140" s="539">
        <v>23</v>
      </c>
      <c r="X140" s="543" t="s">
        <v>56</v>
      </c>
      <c r="Y140" s="544"/>
      <c r="Z140" s="545"/>
      <c r="AA140" s="543"/>
      <c r="AB140" s="545">
        <f t="shared" si="0"/>
        <v>0</v>
      </c>
      <c r="AC140" s="250" t="s">
        <v>1526</v>
      </c>
      <c r="AD140" s="283">
        <v>23</v>
      </c>
      <c r="AE140" s="540">
        <v>0</v>
      </c>
      <c r="AF140" s="260">
        <v>46063</v>
      </c>
      <c r="AG140" s="251">
        <v>46066</v>
      </c>
      <c r="AH140" s="335">
        <v>23</v>
      </c>
      <c r="AI140" s="336" t="s">
        <v>56</v>
      </c>
      <c r="AJ140" s="337"/>
      <c r="AK140" s="335"/>
      <c r="AL140" s="336"/>
      <c r="AM140" s="335">
        <f t="shared" si="7"/>
        <v>0</v>
      </c>
      <c r="AN140" s="340" t="s">
        <v>1527</v>
      </c>
      <c r="AO140" s="282">
        <v>23</v>
      </c>
      <c r="AP140" s="540">
        <v>0</v>
      </c>
      <c r="AQ140" s="260">
        <v>46091</v>
      </c>
      <c r="AR140" s="485">
        <v>46095.4599762384</v>
      </c>
      <c r="AS140" s="335">
        <v>23</v>
      </c>
      <c r="AT140" s="337" t="s">
        <v>56</v>
      </c>
      <c r="AU140" s="337"/>
      <c r="AV140" s="335"/>
      <c r="AW140" s="337"/>
      <c r="AX140" s="335">
        <f t="shared" si="6"/>
        <v>0</v>
      </c>
      <c r="AY140" s="340" t="s">
        <v>1528</v>
      </c>
      <c r="AZ140" s="282">
        <v>23</v>
      </c>
      <c r="BA140" s="540">
        <v>0</v>
      </c>
      <c r="BB140" s="260">
        <v>46122</v>
      </c>
      <c r="BC140" s="485">
        <v>46126.4224070486</v>
      </c>
      <c r="BD140" s="335">
        <v>23</v>
      </c>
      <c r="BE140" s="337" t="s">
        <v>56</v>
      </c>
      <c r="BF140" s="337"/>
      <c r="BG140" s="335"/>
      <c r="BH140" s="337"/>
      <c r="BI140" s="335">
        <f t="shared" si="3"/>
        <v>0</v>
      </c>
      <c r="BJ140" s="340" t="s">
        <v>1529</v>
      </c>
      <c r="BK140" s="282">
        <v>23</v>
      </c>
      <c r="BL140" s="540">
        <v>0</v>
      </c>
      <c r="BM140" s="260">
        <v>46152</v>
      </c>
      <c r="BN140" s="340"/>
      <c r="BO140" s="335"/>
      <c r="BP140" s="337"/>
      <c r="BQ140" s="337"/>
      <c r="BR140" s="335"/>
      <c r="BS140" s="337"/>
      <c r="BT140" s="335">
        <f t="shared" si="4"/>
        <v>23</v>
      </c>
      <c r="BU140" s="340"/>
    </row>
    <row r="141" customHeight="1" spans="1:73">
      <c r="A141" s="535" t="s">
        <v>1530</v>
      </c>
      <c r="B141" s="305" t="s">
        <v>1531</v>
      </c>
      <c r="C141" s="7" t="s">
        <v>1532</v>
      </c>
      <c r="D141" s="250" t="s">
        <v>201</v>
      </c>
      <c r="E141" s="275" t="s">
        <v>202</v>
      </c>
      <c r="F141" s="7"/>
      <c r="G141" s="536" t="s">
        <v>1533</v>
      </c>
      <c r="H141" s="7" t="s">
        <v>238</v>
      </c>
      <c r="I141" s="7" t="s">
        <v>206</v>
      </c>
      <c r="J141" s="7" t="s">
        <v>1534</v>
      </c>
      <c r="K141" s="7" t="s">
        <v>1535</v>
      </c>
      <c r="L141" s="222" t="s">
        <v>1536</v>
      </c>
      <c r="M141" s="414" t="s">
        <v>1537</v>
      </c>
      <c r="N141" s="54">
        <v>45443</v>
      </c>
      <c r="O141" s="411" t="s">
        <v>384</v>
      </c>
      <c r="P141" s="7" t="s">
        <v>242</v>
      </c>
      <c r="Q141" s="539">
        <v>0</v>
      </c>
      <c r="R141" s="282" t="s">
        <v>1538</v>
      </c>
      <c r="S141" s="282">
        <v>20.54</v>
      </c>
      <c r="T141" s="540">
        <v>0</v>
      </c>
      <c r="U141" s="261">
        <v>46032</v>
      </c>
      <c r="V141" s="542">
        <v>46032</v>
      </c>
      <c r="W141" s="539">
        <v>20.54</v>
      </c>
      <c r="X141" s="543" t="s">
        <v>56</v>
      </c>
      <c r="Y141" s="544"/>
      <c r="Z141" s="545"/>
      <c r="AA141" s="543"/>
      <c r="AB141" s="545">
        <f t="shared" si="0"/>
        <v>0</v>
      </c>
      <c r="AC141" s="250" t="s">
        <v>1539</v>
      </c>
      <c r="AD141" s="283">
        <v>20.54</v>
      </c>
      <c r="AE141" s="540">
        <v>0</v>
      </c>
      <c r="AF141" s="261">
        <v>46063</v>
      </c>
      <c r="AG141" s="485">
        <v>46066.5262805787</v>
      </c>
      <c r="AH141" s="335">
        <v>20.54</v>
      </c>
      <c r="AI141" s="336" t="s">
        <v>56</v>
      </c>
      <c r="AJ141" s="337"/>
      <c r="AK141" s="335"/>
      <c r="AL141" s="336"/>
      <c r="AM141" s="335">
        <f t="shared" si="7"/>
        <v>0</v>
      </c>
      <c r="AN141" s="340" t="s">
        <v>1540</v>
      </c>
      <c r="AO141" s="282">
        <v>20.54</v>
      </c>
      <c r="AP141" s="540">
        <v>0</v>
      </c>
      <c r="AQ141" s="261">
        <v>46091</v>
      </c>
      <c r="AR141" s="485">
        <v>46091.8228120255</v>
      </c>
      <c r="AS141" s="335">
        <v>20.54</v>
      </c>
      <c r="AT141" s="337" t="s">
        <v>56</v>
      </c>
      <c r="AU141" s="337"/>
      <c r="AV141" s="335"/>
      <c r="AW141" s="337"/>
      <c r="AX141" s="335">
        <f t="shared" si="6"/>
        <v>0</v>
      </c>
      <c r="AY141" s="340" t="s">
        <v>1541</v>
      </c>
      <c r="AZ141" s="282">
        <v>20.54</v>
      </c>
      <c r="BA141" s="540">
        <v>0</v>
      </c>
      <c r="BB141" s="261">
        <v>46122</v>
      </c>
      <c r="BC141" s="340" t="s">
        <v>375</v>
      </c>
      <c r="BD141" s="335">
        <v>20.54</v>
      </c>
      <c r="BE141" s="337" t="s">
        <v>56</v>
      </c>
      <c r="BF141" s="337"/>
      <c r="BG141" s="335"/>
      <c r="BH141" s="337"/>
      <c r="BI141" s="335">
        <f t="shared" si="3"/>
        <v>0</v>
      </c>
      <c r="BJ141" s="340" t="s">
        <v>1542</v>
      </c>
      <c r="BK141" s="282">
        <v>20.54</v>
      </c>
      <c r="BL141" s="540">
        <v>0</v>
      </c>
      <c r="BM141" s="261">
        <v>46152</v>
      </c>
      <c r="BN141" s="340"/>
      <c r="BO141" s="335"/>
      <c r="BP141" s="337"/>
      <c r="BQ141" s="337"/>
      <c r="BR141" s="335"/>
      <c r="BS141" s="337"/>
      <c r="BT141" s="335">
        <f t="shared" si="4"/>
        <v>20.54</v>
      </c>
      <c r="BU141" s="340"/>
    </row>
    <row r="142" customHeight="1" spans="1:73">
      <c r="A142" s="659" t="s">
        <v>1543</v>
      </c>
      <c r="B142" s="662" t="s">
        <v>1544</v>
      </c>
      <c r="C142" s="420" t="s">
        <v>1545</v>
      </c>
      <c r="D142" s="250" t="s">
        <v>201</v>
      </c>
      <c r="E142" s="422" t="s">
        <v>226</v>
      </c>
      <c r="F142" s="420"/>
      <c r="G142" s="660" t="s">
        <v>1546</v>
      </c>
      <c r="H142" s="420" t="s">
        <v>238</v>
      </c>
      <c r="I142" s="420" t="s">
        <v>220</v>
      </c>
      <c r="J142" s="420" t="s">
        <v>1547</v>
      </c>
      <c r="K142" s="420" t="s">
        <v>1548</v>
      </c>
      <c r="L142" s="423" t="s">
        <v>1549</v>
      </c>
      <c r="M142" s="420"/>
      <c r="N142" s="425">
        <v>45454</v>
      </c>
      <c r="O142" s="327" t="s">
        <v>384</v>
      </c>
      <c r="P142" s="420" t="s">
        <v>242</v>
      </c>
      <c r="Q142" s="539">
        <v>0.6</v>
      </c>
      <c r="R142" s="282" t="s">
        <v>1550</v>
      </c>
      <c r="S142" s="282">
        <v>20.54</v>
      </c>
      <c r="T142" s="540">
        <v>0</v>
      </c>
      <c r="U142" s="634">
        <v>46032</v>
      </c>
      <c r="V142" s="331">
        <v>46027</v>
      </c>
      <c r="W142" s="539">
        <v>20.54</v>
      </c>
      <c r="X142" s="543" t="s">
        <v>23</v>
      </c>
      <c r="Y142" s="544"/>
      <c r="Z142" s="545"/>
      <c r="AA142" s="543"/>
      <c r="AB142" s="545">
        <f t="shared" si="0"/>
        <v>0.600000000000001</v>
      </c>
      <c r="AC142" s="250" t="s">
        <v>1551</v>
      </c>
      <c r="AD142" s="283">
        <v>20.54</v>
      </c>
      <c r="AE142" s="540">
        <v>0</v>
      </c>
      <c r="AF142" s="634">
        <v>46063</v>
      </c>
      <c r="AG142" s="251">
        <v>46058</v>
      </c>
      <c r="AH142" s="335">
        <v>20.54</v>
      </c>
      <c r="AI142" s="336" t="s">
        <v>23</v>
      </c>
      <c r="AJ142" s="337"/>
      <c r="AK142" s="335"/>
      <c r="AL142" s="336"/>
      <c r="AM142" s="335">
        <f t="shared" si="7"/>
        <v>0.600000000000001</v>
      </c>
      <c r="AN142" s="340" t="s">
        <v>1552</v>
      </c>
      <c r="AO142" s="282">
        <v>20.54</v>
      </c>
      <c r="AP142" s="540">
        <v>0</v>
      </c>
      <c r="AQ142" s="634">
        <v>46091</v>
      </c>
      <c r="AR142" s="340" t="s">
        <v>680</v>
      </c>
      <c r="AS142" s="335">
        <v>20.54</v>
      </c>
      <c r="AT142" s="337" t="s">
        <v>23</v>
      </c>
      <c r="AU142" s="337"/>
      <c r="AV142" s="335"/>
      <c r="AW142" s="337"/>
      <c r="AX142" s="335">
        <f t="shared" si="6"/>
        <v>0.600000000000001</v>
      </c>
      <c r="AY142" s="340" t="s">
        <v>1553</v>
      </c>
      <c r="AZ142" s="282">
        <v>20.54</v>
      </c>
      <c r="BA142" s="540">
        <v>0</v>
      </c>
      <c r="BB142" s="634">
        <v>46122</v>
      </c>
      <c r="BC142" s="340" t="s">
        <v>1381</v>
      </c>
      <c r="BD142" s="335">
        <v>20.54</v>
      </c>
      <c r="BE142" s="337" t="s">
        <v>23</v>
      </c>
      <c r="BF142" s="337"/>
      <c r="BG142" s="335"/>
      <c r="BH142" s="337"/>
      <c r="BI142" s="335">
        <f t="shared" si="3"/>
        <v>0.600000000000001</v>
      </c>
      <c r="BJ142" s="340" t="s">
        <v>1554</v>
      </c>
      <c r="BK142" s="282">
        <v>20.54</v>
      </c>
      <c r="BL142" s="540">
        <v>0</v>
      </c>
      <c r="BM142" s="634">
        <v>46152</v>
      </c>
      <c r="BN142" s="340"/>
      <c r="BO142" s="335"/>
      <c r="BP142" s="337"/>
      <c r="BQ142" s="337"/>
      <c r="BR142" s="335"/>
      <c r="BS142" s="337"/>
      <c r="BT142" s="335">
        <f t="shared" si="4"/>
        <v>21.14</v>
      </c>
      <c r="BU142" s="340"/>
    </row>
    <row r="143" customHeight="1" spans="1:73">
      <c r="A143" s="535" t="s">
        <v>1555</v>
      </c>
      <c r="B143" s="427" t="s">
        <v>1556</v>
      </c>
      <c r="C143" s="7" t="s">
        <v>1557</v>
      </c>
      <c r="D143" s="250" t="s">
        <v>201</v>
      </c>
      <c r="E143" s="275" t="s">
        <v>202</v>
      </c>
      <c r="F143" s="7"/>
      <c r="G143" s="222" t="s">
        <v>1558</v>
      </c>
      <c r="H143" s="7" t="s">
        <v>238</v>
      </c>
      <c r="I143" s="7" t="s">
        <v>220</v>
      </c>
      <c r="J143" s="7" t="s">
        <v>1508</v>
      </c>
      <c r="K143" s="134" t="s">
        <v>1559</v>
      </c>
      <c r="L143" s="222" t="s">
        <v>1560</v>
      </c>
      <c r="M143" s="414" t="s">
        <v>1561</v>
      </c>
      <c r="N143" s="54">
        <v>45462</v>
      </c>
      <c r="O143" s="327" t="s">
        <v>210</v>
      </c>
      <c r="P143" s="7" t="s">
        <v>242</v>
      </c>
      <c r="Q143" s="539">
        <v>0</v>
      </c>
      <c r="R143" s="282"/>
      <c r="S143" s="282">
        <v>23</v>
      </c>
      <c r="T143" s="540">
        <v>0</v>
      </c>
      <c r="U143" s="634">
        <v>46032</v>
      </c>
      <c r="V143" s="331">
        <v>46039</v>
      </c>
      <c r="W143" s="539">
        <v>23</v>
      </c>
      <c r="X143" s="543" t="s">
        <v>56</v>
      </c>
      <c r="Y143" s="544"/>
      <c r="Z143" s="545"/>
      <c r="AA143" s="543"/>
      <c r="AB143" s="545">
        <f t="shared" si="0"/>
        <v>0</v>
      </c>
      <c r="AC143" s="250" t="s">
        <v>213</v>
      </c>
      <c r="AD143" s="283">
        <v>23</v>
      </c>
      <c r="AE143" s="540">
        <v>0</v>
      </c>
      <c r="AF143" s="634">
        <v>46063</v>
      </c>
      <c r="AG143" s="485">
        <v>46067.570285162</v>
      </c>
      <c r="AH143" s="335">
        <v>23</v>
      </c>
      <c r="AI143" s="336" t="s">
        <v>56</v>
      </c>
      <c r="AJ143" s="345"/>
      <c r="AK143" s="338"/>
      <c r="AL143" s="339"/>
      <c r="AM143" s="338">
        <f t="shared" si="7"/>
        <v>0</v>
      </c>
      <c r="AN143" s="340" t="s">
        <v>213</v>
      </c>
      <c r="AO143" s="282">
        <v>23</v>
      </c>
      <c r="AP143" s="540">
        <v>0</v>
      </c>
      <c r="AQ143" s="634">
        <v>46091</v>
      </c>
      <c r="AR143" s="485">
        <v>46097.8931155903</v>
      </c>
      <c r="AS143" s="335">
        <v>23</v>
      </c>
      <c r="AT143" s="337" t="s">
        <v>56</v>
      </c>
      <c r="AU143" s="337"/>
      <c r="AV143" s="335"/>
      <c r="AW143" s="337"/>
      <c r="AX143" s="335">
        <f t="shared" si="6"/>
        <v>0</v>
      </c>
      <c r="AY143" s="340" t="s">
        <v>213</v>
      </c>
      <c r="AZ143" s="282">
        <v>23</v>
      </c>
      <c r="BA143" s="540">
        <v>0</v>
      </c>
      <c r="BB143" s="634">
        <v>46122</v>
      </c>
      <c r="BC143" s="485">
        <v>46132.745662963</v>
      </c>
      <c r="BD143" s="335">
        <v>23</v>
      </c>
      <c r="BE143" s="337" t="s">
        <v>56</v>
      </c>
      <c r="BF143" s="337"/>
      <c r="BG143" s="335"/>
      <c r="BH143" s="337"/>
      <c r="BI143" s="335">
        <f t="shared" si="3"/>
        <v>0</v>
      </c>
      <c r="BJ143" s="340"/>
      <c r="BK143" s="282">
        <v>23</v>
      </c>
      <c r="BL143" s="540">
        <v>0</v>
      </c>
      <c r="BM143" s="634">
        <v>46152</v>
      </c>
      <c r="BN143" s="340"/>
      <c r="BO143" s="335"/>
      <c r="BP143" s="337"/>
      <c r="BQ143" s="337"/>
      <c r="BR143" s="335"/>
      <c r="BS143" s="337"/>
      <c r="BT143" s="335">
        <f t="shared" si="4"/>
        <v>23</v>
      </c>
      <c r="BU143" s="340"/>
    </row>
    <row r="144" customHeight="1" spans="1:73">
      <c r="A144" s="535" t="s">
        <v>1562</v>
      </c>
      <c r="B144" s="427" t="s">
        <v>1563</v>
      </c>
      <c r="C144" s="7" t="s">
        <v>1564</v>
      </c>
      <c r="D144" s="250" t="s">
        <v>201</v>
      </c>
      <c r="E144" s="275" t="s">
        <v>226</v>
      </c>
      <c r="F144" s="7"/>
      <c r="G144" s="536" t="s">
        <v>1565</v>
      </c>
      <c r="H144" s="7" t="s">
        <v>238</v>
      </c>
      <c r="I144" s="7" t="s">
        <v>206</v>
      </c>
      <c r="J144" s="7" t="s">
        <v>1566</v>
      </c>
      <c r="K144" s="7" t="s">
        <v>1567</v>
      </c>
      <c r="L144" s="222" t="s">
        <v>1568</v>
      </c>
      <c r="M144" s="414" t="s">
        <v>1569</v>
      </c>
      <c r="N144" s="54">
        <v>45463</v>
      </c>
      <c r="O144" s="411" t="s">
        <v>384</v>
      </c>
      <c r="P144" s="7" t="s">
        <v>242</v>
      </c>
      <c r="Q144" s="539">
        <v>0</v>
      </c>
      <c r="R144" s="282" t="s">
        <v>1570</v>
      </c>
      <c r="S144" s="282">
        <v>20.54</v>
      </c>
      <c r="T144" s="540">
        <v>0</v>
      </c>
      <c r="U144" s="634">
        <v>46042</v>
      </c>
      <c r="V144" s="331">
        <v>46049</v>
      </c>
      <c r="W144" s="539">
        <v>21</v>
      </c>
      <c r="X144" s="543" t="s">
        <v>23</v>
      </c>
      <c r="Y144" s="544"/>
      <c r="Z144" s="545"/>
      <c r="AA144" s="543"/>
      <c r="AB144" s="545">
        <f t="shared" si="0"/>
        <v>-0.460000000000001</v>
      </c>
      <c r="AC144" s="250" t="s">
        <v>213</v>
      </c>
      <c r="AD144" s="283">
        <v>20.54</v>
      </c>
      <c r="AE144" s="540">
        <v>0</v>
      </c>
      <c r="AF144" s="634">
        <v>46073</v>
      </c>
      <c r="AG144" s="251">
        <v>46083</v>
      </c>
      <c r="AH144" s="335">
        <v>20.54</v>
      </c>
      <c r="AI144" s="336" t="s">
        <v>56</v>
      </c>
      <c r="AJ144" s="345"/>
      <c r="AK144" s="338"/>
      <c r="AL144" s="339"/>
      <c r="AM144" s="338">
        <f t="shared" si="7"/>
        <v>-0.460000000000001</v>
      </c>
      <c r="AN144" s="340" t="s">
        <v>213</v>
      </c>
      <c r="AO144" s="282">
        <v>20.54</v>
      </c>
      <c r="AP144" s="540">
        <v>0</v>
      </c>
      <c r="AQ144" s="634">
        <v>46101</v>
      </c>
      <c r="AR144" s="485">
        <v>46120</v>
      </c>
      <c r="AS144" s="335">
        <v>21</v>
      </c>
      <c r="AT144" s="337" t="s">
        <v>23</v>
      </c>
      <c r="AU144" s="337"/>
      <c r="AV144" s="335"/>
      <c r="AW144" s="337"/>
      <c r="AX144" s="335">
        <f t="shared" si="6"/>
        <v>-0.920000000000002</v>
      </c>
      <c r="AY144" s="340" t="s">
        <v>213</v>
      </c>
      <c r="AZ144" s="282">
        <v>17.25</v>
      </c>
      <c r="BA144" s="540">
        <v>0</v>
      </c>
      <c r="BB144" s="634">
        <v>46132</v>
      </c>
      <c r="BC144" s="340" t="s">
        <v>411</v>
      </c>
      <c r="BD144" s="335">
        <v>16.33</v>
      </c>
      <c r="BE144" s="337" t="s">
        <v>23</v>
      </c>
      <c r="BF144" s="337"/>
      <c r="BG144" s="335"/>
      <c r="BH144" s="337"/>
      <c r="BI144" s="335">
        <f t="shared" si="3"/>
        <v>0</v>
      </c>
      <c r="BJ144" s="340"/>
      <c r="BK144" s="282">
        <v>17.25</v>
      </c>
      <c r="BL144" s="540">
        <v>0</v>
      </c>
      <c r="BM144" s="634">
        <v>46162</v>
      </c>
      <c r="BN144" s="340"/>
      <c r="BO144" s="335"/>
      <c r="BP144" s="337"/>
      <c r="BQ144" s="337"/>
      <c r="BR144" s="335"/>
      <c r="BS144" s="337"/>
      <c r="BT144" s="335">
        <f t="shared" si="4"/>
        <v>17.25</v>
      </c>
      <c r="BU144" s="340"/>
    </row>
    <row r="145" customHeight="1" spans="1:73">
      <c r="A145" s="659" t="s">
        <v>1571</v>
      </c>
      <c r="B145" s="663" t="s">
        <v>1572</v>
      </c>
      <c r="C145" s="420" t="s">
        <v>1573</v>
      </c>
      <c r="D145" s="250" t="s">
        <v>251</v>
      </c>
      <c r="E145" s="422" t="s">
        <v>226</v>
      </c>
      <c r="F145" s="422">
        <v>24</v>
      </c>
      <c r="G145" s="423" t="s">
        <v>1574</v>
      </c>
      <c r="H145" s="420" t="s">
        <v>238</v>
      </c>
      <c r="I145" s="420" t="s">
        <v>220</v>
      </c>
      <c r="J145" s="420" t="s">
        <v>1319</v>
      </c>
      <c r="K145" s="420" t="s">
        <v>1575</v>
      </c>
      <c r="L145" s="423" t="s">
        <v>1576</v>
      </c>
      <c r="M145" s="298" t="s">
        <v>1577</v>
      </c>
      <c r="N145" s="425">
        <v>45495</v>
      </c>
      <c r="O145" s="327" t="s">
        <v>210</v>
      </c>
      <c r="P145" s="420" t="s">
        <v>242</v>
      </c>
      <c r="Q145" s="539">
        <v>126</v>
      </c>
      <c r="T145" s="540">
        <v>0</v>
      </c>
      <c r="U145" s="559"/>
      <c r="V145" s="350"/>
      <c r="W145" s="545"/>
      <c r="X145" s="543"/>
      <c r="Y145" s="544"/>
      <c r="Z145" s="545"/>
      <c r="AA145" s="543"/>
      <c r="AB145" s="545">
        <f t="shared" si="0"/>
        <v>126</v>
      </c>
      <c r="AC145" s="250" t="s">
        <v>213</v>
      </c>
      <c r="AD145" s="280"/>
      <c r="AE145" s="540">
        <v>0</v>
      </c>
      <c r="AF145" s="559"/>
      <c r="AH145" s="338"/>
      <c r="AI145" s="339"/>
      <c r="AJ145" s="345"/>
      <c r="AK145" s="338"/>
      <c r="AL145" s="339"/>
      <c r="AM145" s="338">
        <f t="shared" si="7"/>
        <v>126</v>
      </c>
      <c r="AN145" s="340" t="s">
        <v>213</v>
      </c>
      <c r="AP145" s="540">
        <v>0</v>
      </c>
      <c r="AQ145" s="559"/>
      <c r="AR145" s="340"/>
      <c r="AS145" s="335"/>
      <c r="AT145" s="337"/>
      <c r="AU145" s="337"/>
      <c r="AV145" s="335"/>
      <c r="AW145" s="337"/>
      <c r="AX145" s="335">
        <f t="shared" si="6"/>
        <v>126</v>
      </c>
      <c r="AY145" s="340" t="s">
        <v>213</v>
      </c>
      <c r="BA145" s="540">
        <v>0</v>
      </c>
      <c r="BB145" s="559"/>
      <c r="BC145" s="340"/>
      <c r="BD145" s="335"/>
      <c r="BE145" s="337"/>
      <c r="BF145" s="337"/>
      <c r="BG145" s="335"/>
      <c r="BH145" s="337"/>
      <c r="BI145" s="335">
        <f t="shared" si="3"/>
        <v>126</v>
      </c>
      <c r="BJ145" s="340"/>
      <c r="BL145" s="540">
        <v>0</v>
      </c>
      <c r="BM145" s="559"/>
      <c r="BN145" s="340"/>
      <c r="BO145" s="335"/>
      <c r="BP145" s="337"/>
      <c r="BQ145" s="337"/>
      <c r="BR145" s="335"/>
      <c r="BS145" s="337"/>
      <c r="BT145" s="335">
        <f t="shared" si="4"/>
        <v>126</v>
      </c>
      <c r="BU145" s="340"/>
    </row>
    <row r="146" customHeight="1" spans="1:73">
      <c r="A146" s="535" t="s">
        <v>1578</v>
      </c>
      <c r="B146" s="298" t="s">
        <v>1579</v>
      </c>
      <c r="C146" s="7" t="s">
        <v>492</v>
      </c>
      <c r="D146" s="250" t="s">
        <v>251</v>
      </c>
      <c r="E146" s="275" t="s">
        <v>226</v>
      </c>
      <c r="F146" s="7"/>
      <c r="G146" s="222" t="s">
        <v>1580</v>
      </c>
      <c r="H146" s="7" t="s">
        <v>238</v>
      </c>
      <c r="I146" s="7" t="s">
        <v>220</v>
      </c>
      <c r="J146" s="7" t="s">
        <v>1581</v>
      </c>
      <c r="K146" s="444" t="s">
        <v>1582</v>
      </c>
      <c r="L146" s="222" t="s">
        <v>1583</v>
      </c>
      <c r="M146" s="7"/>
      <c r="N146" s="355">
        <v>45492</v>
      </c>
      <c r="O146" s="327" t="s">
        <v>384</v>
      </c>
      <c r="P146" s="7" t="s">
        <v>242</v>
      </c>
      <c r="Q146" s="539">
        <v>0</v>
      </c>
      <c r="T146" s="540">
        <v>0</v>
      </c>
      <c r="U146" s="559"/>
      <c r="V146" s="350"/>
      <c r="W146" s="545"/>
      <c r="X146" s="543"/>
      <c r="Y146" s="544"/>
      <c r="Z146" s="545"/>
      <c r="AA146" s="543"/>
      <c r="AB146" s="545">
        <f t="shared" si="0"/>
        <v>0</v>
      </c>
      <c r="AC146" s="250" t="s">
        <v>213</v>
      </c>
      <c r="AD146" s="280"/>
      <c r="AE146" s="540">
        <v>0</v>
      </c>
      <c r="AF146" s="559"/>
      <c r="AH146" s="338"/>
      <c r="AI146" s="339"/>
      <c r="AJ146" s="345"/>
      <c r="AK146" s="338"/>
      <c r="AL146" s="339"/>
      <c r="AM146" s="338">
        <f t="shared" si="7"/>
        <v>0</v>
      </c>
      <c r="AN146" s="340" t="s">
        <v>213</v>
      </c>
      <c r="AP146" s="540">
        <v>0</v>
      </c>
      <c r="AQ146" s="559"/>
      <c r="AR146" s="340"/>
      <c r="AS146" s="335"/>
      <c r="AT146" s="337"/>
      <c r="AU146" s="337"/>
      <c r="AV146" s="335"/>
      <c r="AW146" s="337"/>
      <c r="AX146" s="335">
        <f t="shared" si="6"/>
        <v>0</v>
      </c>
      <c r="AY146" s="340" t="s">
        <v>213</v>
      </c>
      <c r="BA146" s="540">
        <v>0</v>
      </c>
      <c r="BB146" s="559"/>
      <c r="BC146" s="340"/>
      <c r="BD146" s="335"/>
      <c r="BE146" s="337"/>
      <c r="BF146" s="337"/>
      <c r="BG146" s="335"/>
      <c r="BH146" s="337"/>
      <c r="BI146" s="335">
        <f t="shared" si="3"/>
        <v>0</v>
      </c>
      <c r="BJ146" s="340"/>
      <c r="BL146" s="540">
        <v>0</v>
      </c>
      <c r="BM146" s="559"/>
      <c r="BN146" s="340"/>
      <c r="BO146" s="335"/>
      <c r="BP146" s="337"/>
      <c r="BQ146" s="337"/>
      <c r="BR146" s="335"/>
      <c r="BS146" s="337"/>
      <c r="BT146" s="335">
        <f t="shared" si="4"/>
        <v>0</v>
      </c>
      <c r="BU146" s="340"/>
    </row>
    <row r="147" customHeight="1" spans="1:73">
      <c r="A147" s="535" t="s">
        <v>1584</v>
      </c>
      <c r="B147" s="298" t="s">
        <v>1585</v>
      </c>
      <c r="C147" s="7" t="s">
        <v>1586</v>
      </c>
      <c r="D147" s="250" t="s">
        <v>251</v>
      </c>
      <c r="E147" s="275" t="s">
        <v>202</v>
      </c>
      <c r="F147" s="7"/>
      <c r="G147" s="222" t="s">
        <v>1587</v>
      </c>
      <c r="H147" s="7" t="s">
        <v>238</v>
      </c>
      <c r="I147" s="7" t="s">
        <v>220</v>
      </c>
      <c r="J147" s="7" t="s">
        <v>1588</v>
      </c>
      <c r="K147" s="7" t="s">
        <v>1589</v>
      </c>
      <c r="L147" s="222" t="s">
        <v>1590</v>
      </c>
      <c r="M147" s="298" t="s">
        <v>1591</v>
      </c>
      <c r="N147" s="54">
        <v>45497</v>
      </c>
      <c r="O147" s="411" t="s">
        <v>384</v>
      </c>
      <c r="P147" s="7" t="s">
        <v>242</v>
      </c>
      <c r="Q147" s="539">
        <v>0</v>
      </c>
      <c r="T147" s="540">
        <v>0</v>
      </c>
      <c r="U147" s="559"/>
      <c r="V147" s="350"/>
      <c r="W147" s="545"/>
      <c r="X147" s="543"/>
      <c r="Y147" s="544"/>
      <c r="Z147" s="545"/>
      <c r="AA147" s="543"/>
      <c r="AB147" s="545">
        <f t="shared" si="0"/>
        <v>0</v>
      </c>
      <c r="AC147" s="250" t="s">
        <v>213</v>
      </c>
      <c r="AD147" s="280"/>
      <c r="AE147" s="540">
        <v>0</v>
      </c>
      <c r="AF147" s="559"/>
      <c r="AH147" s="338"/>
      <c r="AI147" s="339"/>
      <c r="AJ147" s="345"/>
      <c r="AK147" s="338"/>
      <c r="AL147" s="339"/>
      <c r="AM147" s="338">
        <f t="shared" si="7"/>
        <v>0</v>
      </c>
      <c r="AN147" s="340" t="s">
        <v>213</v>
      </c>
      <c r="AP147" s="540">
        <v>0</v>
      </c>
      <c r="AQ147" s="559"/>
      <c r="AR147" s="340"/>
      <c r="AS147" s="335"/>
      <c r="AT147" s="337"/>
      <c r="AU147" s="337"/>
      <c r="AV147" s="335"/>
      <c r="AW147" s="337"/>
      <c r="AX147" s="335">
        <f t="shared" si="6"/>
        <v>0</v>
      </c>
      <c r="AY147" s="340" t="s">
        <v>213</v>
      </c>
      <c r="BA147" s="540">
        <v>0</v>
      </c>
      <c r="BB147" s="559"/>
      <c r="BC147" s="340"/>
      <c r="BD147" s="335"/>
      <c r="BE147" s="337"/>
      <c r="BF147" s="337"/>
      <c r="BG147" s="335"/>
      <c r="BH147" s="337"/>
      <c r="BI147" s="335">
        <f t="shared" si="3"/>
        <v>0</v>
      </c>
      <c r="BJ147" s="340"/>
      <c r="BL147" s="540">
        <v>0</v>
      </c>
      <c r="BM147" s="559"/>
      <c r="BN147" s="340"/>
      <c r="BO147" s="335"/>
      <c r="BP147" s="337"/>
      <c r="BQ147" s="337"/>
      <c r="BR147" s="335"/>
      <c r="BS147" s="337"/>
      <c r="BT147" s="335">
        <f t="shared" si="4"/>
        <v>0</v>
      </c>
      <c r="BU147" s="340"/>
    </row>
    <row r="148" customHeight="1" spans="1:73">
      <c r="A148" s="659" t="s">
        <v>1592</v>
      </c>
      <c r="B148" s="662" t="s">
        <v>1593</v>
      </c>
      <c r="C148" s="375" t="s">
        <v>1594</v>
      </c>
      <c r="D148" s="250" t="s">
        <v>201</v>
      </c>
      <c r="E148" s="422" t="s">
        <v>202</v>
      </c>
      <c r="F148" s="420"/>
      <c r="G148" s="664" t="s">
        <v>1595</v>
      </c>
      <c r="H148" s="420" t="s">
        <v>238</v>
      </c>
      <c r="I148" s="420" t="s">
        <v>220</v>
      </c>
      <c r="J148" s="420" t="s">
        <v>879</v>
      </c>
      <c r="K148" s="375" t="s">
        <v>1596</v>
      </c>
      <c r="L148" s="665" t="s">
        <v>1597</v>
      </c>
      <c r="M148" s="414" t="s">
        <v>1598</v>
      </c>
      <c r="N148" s="420"/>
      <c r="O148" s="327" t="s">
        <v>384</v>
      </c>
      <c r="P148" s="420" t="s">
        <v>242</v>
      </c>
      <c r="Q148" s="539">
        <v>-1.42</v>
      </c>
      <c r="R148" s="250" t="s">
        <v>1599</v>
      </c>
      <c r="S148" s="282">
        <v>20.54</v>
      </c>
      <c r="T148" s="540">
        <v>0</v>
      </c>
      <c r="U148" s="634">
        <v>46032</v>
      </c>
      <c r="V148" s="331">
        <v>46042</v>
      </c>
      <c r="W148" s="539">
        <v>19.12</v>
      </c>
      <c r="X148" s="543" t="s">
        <v>56</v>
      </c>
      <c r="Y148" s="544"/>
      <c r="Z148" s="545"/>
      <c r="AA148" s="543"/>
      <c r="AB148" s="545">
        <f t="shared" si="0"/>
        <v>0</v>
      </c>
      <c r="AC148" s="250" t="s">
        <v>213</v>
      </c>
      <c r="AD148" s="283">
        <v>20.54</v>
      </c>
      <c r="AE148" s="540">
        <v>0</v>
      </c>
      <c r="AF148" s="634">
        <v>46063</v>
      </c>
      <c r="AG148" s="251">
        <v>46073</v>
      </c>
      <c r="AH148" s="335">
        <v>20</v>
      </c>
      <c r="AI148" s="336" t="s">
        <v>23</v>
      </c>
      <c r="AJ148" s="345"/>
      <c r="AK148" s="338"/>
      <c r="AL148" s="339"/>
      <c r="AM148" s="338">
        <f t="shared" si="7"/>
        <v>0.539999999999999</v>
      </c>
      <c r="AN148" s="340" t="s">
        <v>213</v>
      </c>
      <c r="AO148" s="282">
        <v>20.54</v>
      </c>
      <c r="AP148" s="540">
        <v>0</v>
      </c>
      <c r="AQ148" s="634">
        <v>46091</v>
      </c>
      <c r="AR148" s="340" t="s">
        <v>267</v>
      </c>
      <c r="AS148" s="335">
        <v>21.1</v>
      </c>
      <c r="AT148" s="337" t="s">
        <v>56</v>
      </c>
      <c r="AU148" s="337"/>
      <c r="AV148" s="335"/>
      <c r="AW148" s="337"/>
      <c r="AX148" s="335">
        <f t="shared" si="6"/>
        <v>-0.0200000000000031</v>
      </c>
      <c r="AY148" s="340" t="s">
        <v>213</v>
      </c>
      <c r="AZ148" s="282">
        <v>20.54</v>
      </c>
      <c r="BA148" s="540">
        <v>0</v>
      </c>
      <c r="BB148" s="634">
        <v>46122</v>
      </c>
      <c r="BC148" s="340" t="s">
        <v>1182</v>
      </c>
      <c r="BD148" s="335">
        <v>21</v>
      </c>
      <c r="BE148" s="337" t="s">
        <v>23</v>
      </c>
      <c r="BF148" s="337"/>
      <c r="BG148" s="335"/>
      <c r="BH148" s="337"/>
      <c r="BI148" s="335">
        <f t="shared" si="3"/>
        <v>-0.480000000000004</v>
      </c>
      <c r="BJ148" s="340"/>
      <c r="BK148" s="282">
        <v>20.54</v>
      </c>
      <c r="BL148" s="540">
        <v>0</v>
      </c>
      <c r="BM148" s="634">
        <v>46152</v>
      </c>
      <c r="BN148" s="340"/>
      <c r="BO148" s="335"/>
      <c r="BP148" s="337"/>
      <c r="BQ148" s="337"/>
      <c r="BR148" s="335"/>
      <c r="BS148" s="337"/>
      <c r="BT148" s="335">
        <f t="shared" si="4"/>
        <v>20.06</v>
      </c>
      <c r="BU148" s="340"/>
    </row>
    <row r="149" customHeight="1" spans="1:73">
      <c r="A149" s="666" t="s">
        <v>1600</v>
      </c>
      <c r="B149" s="404" t="s">
        <v>1601</v>
      </c>
      <c r="C149" s="405" t="s">
        <v>1602</v>
      </c>
      <c r="D149" s="250" t="s">
        <v>201</v>
      </c>
      <c r="E149" s="407" t="s">
        <v>226</v>
      </c>
      <c r="F149" s="405"/>
      <c r="G149" s="408" t="s">
        <v>1603</v>
      </c>
      <c r="H149" s="405" t="s">
        <v>238</v>
      </c>
      <c r="I149" s="405" t="s">
        <v>206</v>
      </c>
      <c r="J149" s="667" t="s">
        <v>1604</v>
      </c>
      <c r="K149" s="668" t="s">
        <v>1605</v>
      </c>
      <c r="L149" s="669" t="s">
        <v>1606</v>
      </c>
      <c r="M149" s="415" t="s">
        <v>1607</v>
      </c>
      <c r="N149" s="670">
        <v>45510</v>
      </c>
      <c r="O149" s="411" t="s">
        <v>464</v>
      </c>
      <c r="P149" s="405" t="s">
        <v>242</v>
      </c>
      <c r="Q149" s="539">
        <v>0</v>
      </c>
      <c r="S149" s="282">
        <v>30</v>
      </c>
      <c r="T149" s="540">
        <v>0</v>
      </c>
      <c r="U149" s="634">
        <v>46044</v>
      </c>
      <c r="V149" s="361">
        <v>46204</v>
      </c>
      <c r="W149" s="539">
        <v>30</v>
      </c>
      <c r="X149" s="543" t="s">
        <v>35</v>
      </c>
      <c r="Y149" s="544"/>
      <c r="Z149" s="545"/>
      <c r="AA149" s="543"/>
      <c r="AB149" s="545">
        <f t="shared" si="0"/>
        <v>0</v>
      </c>
      <c r="AC149" s="250" t="s">
        <v>213</v>
      </c>
      <c r="AD149" s="283">
        <v>30</v>
      </c>
      <c r="AE149" s="540">
        <v>0</v>
      </c>
      <c r="AF149" s="634">
        <v>46075</v>
      </c>
      <c r="AG149" s="251">
        <v>46076</v>
      </c>
      <c r="AH149" s="335">
        <v>30</v>
      </c>
      <c r="AI149" s="336" t="s">
        <v>56</v>
      </c>
      <c r="AJ149" s="345"/>
      <c r="AK149" s="338"/>
      <c r="AL149" s="339"/>
      <c r="AM149" s="338">
        <f t="shared" si="7"/>
        <v>0</v>
      </c>
      <c r="AN149" s="340" t="s">
        <v>1608</v>
      </c>
      <c r="AO149" s="282">
        <v>30</v>
      </c>
      <c r="AP149" s="540">
        <v>0</v>
      </c>
      <c r="AQ149" s="634">
        <v>46103</v>
      </c>
      <c r="AR149" s="340" t="s">
        <v>914</v>
      </c>
      <c r="AS149" s="335">
        <v>30</v>
      </c>
      <c r="AT149" s="337" t="s">
        <v>35</v>
      </c>
      <c r="AU149" s="337"/>
      <c r="AV149" s="335"/>
      <c r="AW149" s="337"/>
      <c r="AX149" s="335">
        <f t="shared" si="6"/>
        <v>0</v>
      </c>
      <c r="AY149" s="340" t="s">
        <v>1609</v>
      </c>
      <c r="AZ149" s="282">
        <v>30</v>
      </c>
      <c r="BA149" s="540">
        <v>0</v>
      </c>
      <c r="BB149" s="634">
        <v>46134</v>
      </c>
      <c r="BC149" s="485">
        <v>46132.7627543287</v>
      </c>
      <c r="BD149" s="335">
        <v>30</v>
      </c>
      <c r="BE149" s="337" t="s">
        <v>56</v>
      </c>
      <c r="BF149" s="337"/>
      <c r="BG149" s="335"/>
      <c r="BH149" s="337"/>
      <c r="BI149" s="335">
        <f t="shared" si="3"/>
        <v>0</v>
      </c>
      <c r="BJ149" s="340"/>
      <c r="BK149" s="282">
        <v>30</v>
      </c>
      <c r="BL149" s="540">
        <v>0</v>
      </c>
      <c r="BM149" s="634">
        <v>46164</v>
      </c>
      <c r="BN149" s="340"/>
      <c r="BO149" s="335"/>
      <c r="BP149" s="337"/>
      <c r="BQ149" s="337"/>
      <c r="BR149" s="335"/>
      <c r="BS149" s="337"/>
      <c r="BT149" s="335">
        <f t="shared" si="4"/>
        <v>30</v>
      </c>
      <c r="BU149" s="340"/>
    </row>
    <row r="150" customHeight="1" spans="1:73">
      <c r="A150" s="535" t="s">
        <v>1610</v>
      </c>
      <c r="B150" s="427" t="s">
        <v>1611</v>
      </c>
      <c r="C150" s="7" t="s">
        <v>1612</v>
      </c>
      <c r="D150" s="250" t="s">
        <v>201</v>
      </c>
      <c r="E150" s="275" t="s">
        <v>202</v>
      </c>
      <c r="F150" s="7"/>
      <c r="G150" s="222" t="s">
        <v>1613</v>
      </c>
      <c r="H150" s="7" t="s">
        <v>238</v>
      </c>
      <c r="I150" s="7" t="s">
        <v>220</v>
      </c>
      <c r="J150" s="7" t="s">
        <v>1614</v>
      </c>
      <c r="K150" s="444" t="s">
        <v>1615</v>
      </c>
      <c r="L150" s="222" t="s">
        <v>1616</v>
      </c>
      <c r="M150" s="416" t="s">
        <v>1617</v>
      </c>
      <c r="N150" s="355">
        <v>45540</v>
      </c>
      <c r="O150" s="327" t="s">
        <v>232</v>
      </c>
      <c r="P150" s="7" t="s">
        <v>242</v>
      </c>
      <c r="Q150" s="539">
        <v>0</v>
      </c>
      <c r="R150" s="250" t="s">
        <v>1618</v>
      </c>
      <c r="S150" s="282">
        <v>17.25</v>
      </c>
      <c r="T150" s="540">
        <v>0</v>
      </c>
      <c r="U150" s="634">
        <v>46023</v>
      </c>
      <c r="V150" s="350" t="s">
        <v>385</v>
      </c>
      <c r="W150" s="539">
        <v>17.25</v>
      </c>
      <c r="X150" s="543" t="s">
        <v>56</v>
      </c>
      <c r="Y150" s="544"/>
      <c r="Z150" s="545"/>
      <c r="AA150" s="543"/>
      <c r="AB150" s="545">
        <f t="shared" si="0"/>
        <v>0</v>
      </c>
      <c r="AC150" s="250" t="s">
        <v>1619</v>
      </c>
      <c r="AD150" s="283">
        <v>17.25</v>
      </c>
      <c r="AE150" s="540">
        <v>0</v>
      </c>
      <c r="AF150" s="634">
        <v>46054</v>
      </c>
      <c r="AG150" s="251">
        <v>46076</v>
      </c>
      <c r="AH150" s="335">
        <v>17.25</v>
      </c>
      <c r="AI150" s="336" t="s">
        <v>56</v>
      </c>
      <c r="AJ150" s="337"/>
      <c r="AK150" s="335"/>
      <c r="AL150" s="336"/>
      <c r="AM150" s="335">
        <f t="shared" si="7"/>
        <v>0</v>
      </c>
      <c r="AN150" s="340" t="s">
        <v>1620</v>
      </c>
      <c r="AO150" s="282">
        <v>17.25</v>
      </c>
      <c r="AP150" s="540">
        <v>0</v>
      </c>
      <c r="AQ150" s="634">
        <v>46082</v>
      </c>
      <c r="AR150" s="485">
        <v>46104.3713498843</v>
      </c>
      <c r="AS150" s="335">
        <v>17.25</v>
      </c>
      <c r="AT150" s="337" t="s">
        <v>56</v>
      </c>
      <c r="AU150" s="337"/>
      <c r="AV150" s="335"/>
      <c r="AW150" s="337"/>
      <c r="AX150" s="335">
        <f t="shared" si="6"/>
        <v>0</v>
      </c>
      <c r="AY150" s="340" t="s">
        <v>1621</v>
      </c>
      <c r="AZ150" s="282">
        <v>17.25</v>
      </c>
      <c r="BA150" s="540">
        <v>0</v>
      </c>
      <c r="BB150" s="634">
        <v>46113</v>
      </c>
      <c r="BC150" s="340" t="s">
        <v>411</v>
      </c>
      <c r="BD150" s="335">
        <v>17.25</v>
      </c>
      <c r="BE150" s="337" t="s">
        <v>23</v>
      </c>
      <c r="BF150" s="337"/>
      <c r="BG150" s="335"/>
      <c r="BH150" s="337"/>
      <c r="BI150" s="335">
        <f t="shared" si="3"/>
        <v>0</v>
      </c>
      <c r="BJ150" s="340" t="s">
        <v>1622</v>
      </c>
      <c r="BK150" s="282">
        <v>17.25</v>
      </c>
      <c r="BL150" s="540">
        <v>0</v>
      </c>
      <c r="BM150" s="634">
        <v>46143</v>
      </c>
      <c r="BN150" s="340"/>
      <c r="BO150" s="335"/>
      <c r="BP150" s="337"/>
      <c r="BQ150" s="337"/>
      <c r="BR150" s="335"/>
      <c r="BS150" s="337"/>
      <c r="BT150" s="335">
        <f t="shared" si="4"/>
        <v>17.25</v>
      </c>
      <c r="BU150" s="340"/>
    </row>
    <row r="151" customHeight="1" spans="1:73">
      <c r="A151" s="535" t="s">
        <v>1623</v>
      </c>
      <c r="B151" s="7" t="s">
        <v>1624</v>
      </c>
      <c r="C151" s="7" t="s">
        <v>1625</v>
      </c>
      <c r="D151" s="250" t="s">
        <v>201</v>
      </c>
      <c r="E151" s="275" t="s">
        <v>202</v>
      </c>
      <c r="F151" s="7"/>
      <c r="G151" s="222" t="s">
        <v>1613</v>
      </c>
      <c r="H151" s="7" t="s">
        <v>238</v>
      </c>
      <c r="I151" s="7" t="s">
        <v>206</v>
      </c>
      <c r="J151" s="7" t="s">
        <v>1614</v>
      </c>
      <c r="K151" s="444" t="s">
        <v>1615</v>
      </c>
      <c r="L151" s="222" t="s">
        <v>1616</v>
      </c>
      <c r="M151" s="7"/>
      <c r="N151" s="355">
        <v>45542</v>
      </c>
      <c r="O151" s="327" t="s">
        <v>210</v>
      </c>
      <c r="P151" s="7" t="s">
        <v>242</v>
      </c>
      <c r="Q151" s="539">
        <v>0</v>
      </c>
      <c r="R151" s="250" t="s">
        <v>1626</v>
      </c>
      <c r="S151" s="282">
        <v>23</v>
      </c>
      <c r="T151" s="540">
        <v>0</v>
      </c>
      <c r="U151" s="634">
        <v>46032</v>
      </c>
      <c r="V151" s="350" t="s">
        <v>385</v>
      </c>
      <c r="W151" s="539">
        <v>23</v>
      </c>
      <c r="X151" s="543" t="s">
        <v>56</v>
      </c>
      <c r="Y151" s="544"/>
      <c r="Z151" s="545"/>
      <c r="AA151" s="543"/>
      <c r="AB151" s="545">
        <f t="shared" si="0"/>
        <v>0</v>
      </c>
      <c r="AC151" s="250" t="s">
        <v>1627</v>
      </c>
      <c r="AD151" s="283">
        <v>23</v>
      </c>
      <c r="AE151" s="540">
        <v>0</v>
      </c>
      <c r="AF151" s="634">
        <v>46063</v>
      </c>
      <c r="AG151" s="251">
        <v>46076</v>
      </c>
      <c r="AH151" s="335">
        <v>23</v>
      </c>
      <c r="AI151" s="336" t="s">
        <v>56</v>
      </c>
      <c r="AJ151" s="337"/>
      <c r="AK151" s="335"/>
      <c r="AL151" s="336"/>
      <c r="AM151" s="335">
        <f t="shared" si="7"/>
        <v>0</v>
      </c>
      <c r="AN151" s="340" t="s">
        <v>1628</v>
      </c>
      <c r="AO151" s="282">
        <v>23</v>
      </c>
      <c r="AP151" s="540">
        <v>0</v>
      </c>
      <c r="AQ151" s="634">
        <v>46091</v>
      </c>
      <c r="AR151" s="485">
        <v>46104.371726713</v>
      </c>
      <c r="AS151" s="335">
        <v>23</v>
      </c>
      <c r="AT151" s="337" t="s">
        <v>56</v>
      </c>
      <c r="AU151" s="337"/>
      <c r="AV151" s="335"/>
      <c r="AW151" s="337"/>
      <c r="AX151" s="335">
        <f t="shared" si="6"/>
        <v>0</v>
      </c>
      <c r="AY151" s="340" t="s">
        <v>1629</v>
      </c>
      <c r="AZ151" s="282">
        <v>23</v>
      </c>
      <c r="BA151" s="540">
        <v>0</v>
      </c>
      <c r="BB151" s="634">
        <v>46122</v>
      </c>
      <c r="BC151" s="340" t="s">
        <v>411</v>
      </c>
      <c r="BD151" s="335">
        <v>23</v>
      </c>
      <c r="BE151" s="337" t="s">
        <v>23</v>
      </c>
      <c r="BF151" s="337"/>
      <c r="BG151" s="335"/>
      <c r="BH151" s="337"/>
      <c r="BI151" s="335">
        <f t="shared" si="3"/>
        <v>0</v>
      </c>
      <c r="BJ151" s="340" t="s">
        <v>1630</v>
      </c>
      <c r="BK151" s="282">
        <v>23</v>
      </c>
      <c r="BL151" s="540">
        <v>0</v>
      </c>
      <c r="BM151" s="634">
        <v>46152</v>
      </c>
      <c r="BN151" s="340"/>
      <c r="BO151" s="335"/>
      <c r="BP151" s="337"/>
      <c r="BQ151" s="337"/>
      <c r="BR151" s="335"/>
      <c r="BS151" s="337"/>
      <c r="BT151" s="335">
        <f t="shared" si="4"/>
        <v>23</v>
      </c>
      <c r="BU151" s="340"/>
    </row>
    <row r="152" customHeight="1" spans="1:73">
      <c r="A152" s="535" t="s">
        <v>1631</v>
      </c>
      <c r="B152" s="7" t="s">
        <v>1632</v>
      </c>
      <c r="C152" s="7" t="s">
        <v>1633</v>
      </c>
      <c r="D152" s="250" t="s">
        <v>201</v>
      </c>
      <c r="E152" s="275" t="s">
        <v>202</v>
      </c>
      <c r="F152" s="7"/>
      <c r="G152" s="222" t="s">
        <v>1634</v>
      </c>
      <c r="H152" s="7" t="s">
        <v>238</v>
      </c>
      <c r="I152" s="7"/>
      <c r="J152" s="7" t="s">
        <v>1635</v>
      </c>
      <c r="K152" s="7"/>
      <c r="L152" s="222" t="s">
        <v>1636</v>
      </c>
      <c r="M152" s="7"/>
      <c r="N152" s="355">
        <v>45546</v>
      </c>
      <c r="O152" s="327" t="s">
        <v>210</v>
      </c>
      <c r="P152" s="7" t="s">
        <v>242</v>
      </c>
      <c r="Q152" s="539">
        <v>0</v>
      </c>
      <c r="S152" s="282">
        <v>20.54</v>
      </c>
      <c r="T152" s="540">
        <v>0</v>
      </c>
      <c r="U152" s="634">
        <v>46023</v>
      </c>
      <c r="V152" s="331">
        <v>46036</v>
      </c>
      <c r="W152" s="539">
        <v>20.54</v>
      </c>
      <c r="X152" s="543" t="s">
        <v>56</v>
      </c>
      <c r="Y152" s="544"/>
      <c r="Z152" s="545"/>
      <c r="AA152" s="543"/>
      <c r="AB152" s="545">
        <f t="shared" si="0"/>
        <v>0</v>
      </c>
      <c r="AC152" s="250" t="s">
        <v>213</v>
      </c>
      <c r="AD152" s="283">
        <v>20.54</v>
      </c>
      <c r="AE152" s="540">
        <v>0</v>
      </c>
      <c r="AF152" s="634">
        <v>46054</v>
      </c>
      <c r="AG152" s="485">
        <v>46078.7097094444</v>
      </c>
      <c r="AH152" s="335">
        <v>20.54</v>
      </c>
      <c r="AI152" s="336" t="s">
        <v>56</v>
      </c>
      <c r="AJ152" s="345"/>
      <c r="AK152" s="338"/>
      <c r="AL152" s="339"/>
      <c r="AM152" s="338">
        <f t="shared" si="7"/>
        <v>0</v>
      </c>
      <c r="AN152" s="340" t="s">
        <v>213</v>
      </c>
      <c r="AO152" s="282">
        <v>20.54</v>
      </c>
      <c r="AP152" s="540">
        <v>0</v>
      </c>
      <c r="AQ152" s="634">
        <v>46082</v>
      </c>
      <c r="AR152" s="340" t="s">
        <v>360</v>
      </c>
      <c r="AS152" s="335">
        <v>20.54</v>
      </c>
      <c r="AT152" s="337" t="s">
        <v>56</v>
      </c>
      <c r="AU152" s="337"/>
      <c r="AV152" s="335"/>
      <c r="AW152" s="337"/>
      <c r="AX152" s="335">
        <f t="shared" si="6"/>
        <v>0</v>
      </c>
      <c r="AY152" s="340" t="s">
        <v>213</v>
      </c>
      <c r="AZ152" s="282">
        <v>20.54</v>
      </c>
      <c r="BA152" s="540">
        <v>0</v>
      </c>
      <c r="BB152" s="634">
        <v>46113</v>
      </c>
      <c r="BC152" s="340" t="s">
        <v>468</v>
      </c>
      <c r="BD152" s="335">
        <v>20.54</v>
      </c>
      <c r="BE152" s="337" t="s">
        <v>56</v>
      </c>
      <c r="BF152" s="337"/>
      <c r="BG152" s="335"/>
      <c r="BH152" s="337"/>
      <c r="BI152" s="335">
        <f t="shared" si="3"/>
        <v>0</v>
      </c>
      <c r="BJ152" s="340"/>
      <c r="BK152" s="282">
        <v>20.54</v>
      </c>
      <c r="BL152" s="540">
        <v>0</v>
      </c>
      <c r="BM152" s="634">
        <v>46143</v>
      </c>
      <c r="BN152" s="340"/>
      <c r="BO152" s="335"/>
      <c r="BP152" s="337"/>
      <c r="BQ152" s="337"/>
      <c r="BR152" s="335"/>
      <c r="BS152" s="337"/>
      <c r="BT152" s="335">
        <f t="shared" si="4"/>
        <v>20.54</v>
      </c>
      <c r="BU152" s="340"/>
    </row>
    <row r="153" customHeight="1" spans="1:73">
      <c r="A153" s="535" t="s">
        <v>1637</v>
      </c>
      <c r="B153" s="7" t="s">
        <v>1638</v>
      </c>
      <c r="C153" s="7" t="s">
        <v>1639</v>
      </c>
      <c r="D153" s="250" t="s">
        <v>201</v>
      </c>
      <c r="E153" s="275" t="s">
        <v>226</v>
      </c>
      <c r="F153" s="7"/>
      <c r="G153" s="222" t="s">
        <v>1640</v>
      </c>
      <c r="H153" s="7" t="s">
        <v>238</v>
      </c>
      <c r="I153" s="7" t="s">
        <v>206</v>
      </c>
      <c r="J153" s="7" t="s">
        <v>1641</v>
      </c>
      <c r="K153" s="7" t="s">
        <v>1642</v>
      </c>
      <c r="L153" s="222" t="s">
        <v>1643</v>
      </c>
      <c r="M153" s="7"/>
      <c r="N153" s="54">
        <v>45547</v>
      </c>
      <c r="O153" s="327" t="s">
        <v>384</v>
      </c>
      <c r="P153" s="7" t="s">
        <v>242</v>
      </c>
      <c r="Q153" s="539">
        <v>0</v>
      </c>
      <c r="R153" s="250" t="s">
        <v>1644</v>
      </c>
      <c r="S153" s="282">
        <v>20.54</v>
      </c>
      <c r="T153" s="540">
        <v>0</v>
      </c>
      <c r="U153" s="634">
        <v>46023</v>
      </c>
      <c r="V153" s="331">
        <v>46035</v>
      </c>
      <c r="W153" s="539">
        <v>20.54</v>
      </c>
      <c r="X153" s="543" t="s">
        <v>56</v>
      </c>
      <c r="Y153" s="544"/>
      <c r="Z153" s="545"/>
      <c r="AA153" s="543"/>
      <c r="AB153" s="545">
        <f t="shared" si="0"/>
        <v>0</v>
      </c>
      <c r="AC153" s="250" t="s">
        <v>1645</v>
      </c>
      <c r="AD153" s="283">
        <v>20.54</v>
      </c>
      <c r="AE153" s="540">
        <v>0</v>
      </c>
      <c r="AF153" s="634">
        <v>46054</v>
      </c>
      <c r="AG153" s="485">
        <v>46066.498198044</v>
      </c>
      <c r="AH153" s="335">
        <v>20.54</v>
      </c>
      <c r="AI153" s="336" t="s">
        <v>56</v>
      </c>
      <c r="AJ153" s="337"/>
      <c r="AK153" s="335"/>
      <c r="AL153" s="336"/>
      <c r="AM153" s="335">
        <f t="shared" si="7"/>
        <v>0</v>
      </c>
      <c r="AN153" s="340" t="s">
        <v>1646</v>
      </c>
      <c r="AO153" s="282">
        <v>20.54</v>
      </c>
      <c r="AP153" s="540">
        <v>0</v>
      </c>
      <c r="AQ153" s="634">
        <v>46082</v>
      </c>
      <c r="AR153" s="340" t="s">
        <v>233</v>
      </c>
      <c r="AS153" s="335">
        <v>20.54</v>
      </c>
      <c r="AT153" s="337" t="s">
        <v>56</v>
      </c>
      <c r="AU153" s="337"/>
      <c r="AV153" s="335"/>
      <c r="AW153" s="337"/>
      <c r="AX153" s="335">
        <f t="shared" si="6"/>
        <v>0</v>
      </c>
      <c r="AY153" s="340" t="s">
        <v>1647</v>
      </c>
      <c r="AZ153" s="282">
        <v>20.54</v>
      </c>
      <c r="BA153" s="540">
        <v>0</v>
      </c>
      <c r="BB153" s="634">
        <v>46113</v>
      </c>
      <c r="BC153" s="485">
        <v>46135.5037003241</v>
      </c>
      <c r="BD153" s="335">
        <v>20.54</v>
      </c>
      <c r="BE153" s="337" t="s">
        <v>56</v>
      </c>
      <c r="BF153" s="337"/>
      <c r="BG153" s="335"/>
      <c r="BH153" s="337"/>
      <c r="BI153" s="335">
        <f t="shared" si="3"/>
        <v>0</v>
      </c>
      <c r="BJ153" s="340" t="s">
        <v>1648</v>
      </c>
      <c r="BK153" s="282">
        <v>20.54</v>
      </c>
      <c r="BL153" s="540">
        <v>0</v>
      </c>
      <c r="BM153" s="634">
        <v>46143</v>
      </c>
      <c r="BN153" s="340"/>
      <c r="BO153" s="335"/>
      <c r="BP153" s="337"/>
      <c r="BQ153" s="337"/>
      <c r="BR153" s="335"/>
      <c r="BS153" s="337"/>
      <c r="BT153" s="335">
        <f t="shared" si="4"/>
        <v>20.54</v>
      </c>
      <c r="BU153" s="340"/>
    </row>
    <row r="154" customHeight="1" spans="1:73">
      <c r="A154" s="535" t="s">
        <v>1649</v>
      </c>
      <c r="B154" s="298" t="s">
        <v>1650</v>
      </c>
      <c r="C154" s="7" t="s">
        <v>1651</v>
      </c>
      <c r="D154" s="250" t="s">
        <v>251</v>
      </c>
      <c r="E154" s="7"/>
      <c r="F154" s="7"/>
      <c r="G154" s="222" t="s">
        <v>1652</v>
      </c>
      <c r="H154" s="7" t="s">
        <v>238</v>
      </c>
      <c r="I154" s="7" t="s">
        <v>220</v>
      </c>
      <c r="J154" s="7" t="s">
        <v>341</v>
      </c>
      <c r="K154" s="7" t="s">
        <v>1653</v>
      </c>
      <c r="L154" s="222" t="s">
        <v>1654</v>
      </c>
      <c r="M154" s="298" t="s">
        <v>1655</v>
      </c>
      <c r="N154" s="54">
        <v>45553</v>
      </c>
      <c r="O154" s="327" t="s">
        <v>210</v>
      </c>
      <c r="P154" s="60">
        <v>25</v>
      </c>
      <c r="Q154" s="539">
        <v>0</v>
      </c>
      <c r="T154" s="540">
        <v>0</v>
      </c>
      <c r="U154" s="559"/>
      <c r="V154" s="350"/>
      <c r="W154" s="545"/>
      <c r="X154" s="543"/>
      <c r="Y154" s="544"/>
      <c r="Z154" s="545"/>
      <c r="AA154" s="543"/>
      <c r="AB154" s="545">
        <f t="shared" si="0"/>
        <v>0</v>
      </c>
      <c r="AC154" s="250" t="s">
        <v>213</v>
      </c>
      <c r="AD154" s="280"/>
      <c r="AE154" s="540">
        <v>0</v>
      </c>
      <c r="AF154" s="559"/>
      <c r="AH154" s="338"/>
      <c r="AI154" s="339"/>
      <c r="AJ154" s="345"/>
      <c r="AK154" s="338"/>
      <c r="AL154" s="339"/>
      <c r="AM154" s="338">
        <f t="shared" si="7"/>
        <v>0</v>
      </c>
      <c r="AN154" s="340" t="s">
        <v>213</v>
      </c>
      <c r="AP154" s="540">
        <v>0</v>
      </c>
      <c r="AQ154" s="559"/>
      <c r="AR154" s="340"/>
      <c r="AS154" s="335"/>
      <c r="AT154" s="337"/>
      <c r="AU154" s="337"/>
      <c r="AV154" s="335"/>
      <c r="AW154" s="337"/>
      <c r="AX154" s="335">
        <f t="shared" si="6"/>
        <v>0</v>
      </c>
      <c r="AY154" s="340" t="s">
        <v>213</v>
      </c>
      <c r="BA154" s="540">
        <v>0</v>
      </c>
      <c r="BB154" s="559"/>
      <c r="BC154" s="340"/>
      <c r="BD154" s="335"/>
      <c r="BE154" s="337"/>
      <c r="BF154" s="337"/>
      <c r="BG154" s="335"/>
      <c r="BH154" s="337"/>
      <c r="BI154" s="335">
        <f t="shared" si="3"/>
        <v>0</v>
      </c>
      <c r="BJ154" s="340"/>
      <c r="BL154" s="540">
        <v>0</v>
      </c>
      <c r="BM154" s="559"/>
      <c r="BN154" s="340"/>
      <c r="BO154" s="335"/>
      <c r="BP154" s="337"/>
      <c r="BQ154" s="337"/>
      <c r="BR154" s="335"/>
      <c r="BS154" s="337"/>
      <c r="BT154" s="335">
        <f t="shared" si="4"/>
        <v>0</v>
      </c>
      <c r="BU154" s="340"/>
    </row>
    <row r="155" customHeight="1" spans="1:73">
      <c r="A155" s="535" t="s">
        <v>1656</v>
      </c>
      <c r="B155" s="298" t="s">
        <v>1657</v>
      </c>
      <c r="C155" s="7" t="s">
        <v>1658</v>
      </c>
      <c r="D155" s="250" t="s">
        <v>251</v>
      </c>
      <c r="E155" s="275" t="s">
        <v>226</v>
      </c>
      <c r="F155" s="7"/>
      <c r="G155" s="222" t="s">
        <v>1659</v>
      </c>
      <c r="H155" s="7" t="s">
        <v>238</v>
      </c>
      <c r="I155" s="7" t="s">
        <v>220</v>
      </c>
      <c r="J155" s="7" t="s">
        <v>1430</v>
      </c>
      <c r="K155" s="7" t="s">
        <v>1660</v>
      </c>
      <c r="L155" s="222" t="s">
        <v>1661</v>
      </c>
      <c r="M155" s="7"/>
      <c r="N155" s="54">
        <v>45553</v>
      </c>
      <c r="O155" s="327" t="s">
        <v>210</v>
      </c>
      <c r="P155" s="60">
        <v>25</v>
      </c>
      <c r="Q155" s="539">
        <v>60</v>
      </c>
      <c r="T155" s="540">
        <v>0</v>
      </c>
      <c r="U155" s="261">
        <v>46032</v>
      </c>
      <c r="V155" s="331">
        <v>46039</v>
      </c>
      <c r="W155" s="539">
        <v>60</v>
      </c>
      <c r="X155" s="543" t="s">
        <v>23</v>
      </c>
      <c r="Y155" s="544"/>
      <c r="Z155" s="545"/>
      <c r="AA155" s="543"/>
      <c r="AB155" s="545">
        <f t="shared" si="0"/>
        <v>0</v>
      </c>
      <c r="AC155" s="250" t="s">
        <v>213</v>
      </c>
      <c r="AD155" s="280"/>
      <c r="AE155" s="540">
        <v>0</v>
      </c>
      <c r="AF155" s="261">
        <v>46063</v>
      </c>
      <c r="AH155" s="338"/>
      <c r="AI155" s="339"/>
      <c r="AJ155" s="345"/>
      <c r="AK155" s="338"/>
      <c r="AL155" s="339"/>
      <c r="AM155" s="338">
        <f t="shared" si="7"/>
        <v>0</v>
      </c>
      <c r="AN155" s="340" t="s">
        <v>213</v>
      </c>
      <c r="AP155" s="540">
        <v>0</v>
      </c>
      <c r="AQ155" s="261">
        <v>46091</v>
      </c>
      <c r="AR155" s="340"/>
      <c r="AS155" s="335"/>
      <c r="AT155" s="337"/>
      <c r="AU155" s="337"/>
      <c r="AV155" s="335"/>
      <c r="AW155" s="337"/>
      <c r="AX155" s="335">
        <f t="shared" si="6"/>
        <v>0</v>
      </c>
      <c r="AY155" s="340" t="s">
        <v>213</v>
      </c>
      <c r="BA155" s="540">
        <v>0</v>
      </c>
      <c r="BB155" s="261">
        <v>46122</v>
      </c>
      <c r="BC155" s="340"/>
      <c r="BD155" s="335"/>
      <c r="BE155" s="337"/>
      <c r="BF155" s="337"/>
      <c r="BG155" s="335"/>
      <c r="BH155" s="337"/>
      <c r="BI155" s="335">
        <f t="shared" si="3"/>
        <v>0</v>
      </c>
      <c r="BJ155" s="340"/>
      <c r="BL155" s="540">
        <v>0</v>
      </c>
      <c r="BM155" s="261">
        <v>46152</v>
      </c>
      <c r="BN155" s="340"/>
      <c r="BO155" s="335"/>
      <c r="BP155" s="337"/>
      <c r="BQ155" s="337"/>
      <c r="BR155" s="335"/>
      <c r="BS155" s="337"/>
      <c r="BT155" s="335">
        <f t="shared" si="4"/>
        <v>0</v>
      </c>
      <c r="BU155" s="340"/>
    </row>
    <row r="156" customHeight="1" spans="1:73">
      <c r="A156" s="535" t="s">
        <v>1662</v>
      </c>
      <c r="B156" s="7" t="s">
        <v>1663</v>
      </c>
      <c r="C156" s="7" t="s">
        <v>1664</v>
      </c>
      <c r="D156" s="250" t="s">
        <v>201</v>
      </c>
      <c r="E156" s="275" t="s">
        <v>202</v>
      </c>
      <c r="F156" s="7"/>
      <c r="G156" s="222" t="s">
        <v>1665</v>
      </c>
      <c r="H156" s="7" t="s">
        <v>238</v>
      </c>
      <c r="I156" s="7" t="s">
        <v>206</v>
      </c>
      <c r="J156" s="7" t="s">
        <v>1666</v>
      </c>
      <c r="K156" s="7" t="s">
        <v>1667</v>
      </c>
      <c r="L156" s="222" t="s">
        <v>1668</v>
      </c>
      <c r="M156" s="7"/>
      <c r="N156" s="54">
        <v>45558</v>
      </c>
      <c r="O156" s="327" t="s">
        <v>210</v>
      </c>
      <c r="P156" s="7" t="s">
        <v>242</v>
      </c>
      <c r="Q156" s="539">
        <v>0</v>
      </c>
      <c r="R156" s="250" t="s">
        <v>1669</v>
      </c>
      <c r="S156" s="282">
        <v>23</v>
      </c>
      <c r="T156" s="540">
        <v>0</v>
      </c>
      <c r="U156" s="671">
        <v>46296</v>
      </c>
      <c r="V156" s="542">
        <v>46048.4025268287</v>
      </c>
      <c r="W156" s="539">
        <v>23</v>
      </c>
      <c r="X156" s="543" t="s">
        <v>56</v>
      </c>
      <c r="Y156" s="544"/>
      <c r="Z156" s="545"/>
      <c r="AA156" s="543"/>
      <c r="AB156" s="545">
        <f t="shared" si="0"/>
        <v>0</v>
      </c>
      <c r="AC156" s="250" t="s">
        <v>1670</v>
      </c>
      <c r="AD156" s="283">
        <v>23</v>
      </c>
      <c r="AE156" s="540">
        <v>0</v>
      </c>
      <c r="AF156" s="671">
        <v>46327</v>
      </c>
      <c r="AG156" s="250"/>
      <c r="AH156" s="335">
        <v>23</v>
      </c>
      <c r="AI156" s="336" t="s">
        <v>56</v>
      </c>
      <c r="AJ156" s="337"/>
      <c r="AK156" s="335"/>
      <c r="AL156" s="336"/>
      <c r="AM156" s="335">
        <f t="shared" si="7"/>
        <v>0</v>
      </c>
      <c r="AN156" s="340" t="s">
        <v>1671</v>
      </c>
      <c r="AO156" s="282">
        <v>23</v>
      </c>
      <c r="AP156" s="540">
        <v>0</v>
      </c>
      <c r="AQ156" s="671">
        <v>46357</v>
      </c>
      <c r="AR156" s="340" t="s">
        <v>723</v>
      </c>
      <c r="AS156" s="335">
        <v>23</v>
      </c>
      <c r="AT156" s="337" t="s">
        <v>56</v>
      </c>
      <c r="AU156" s="337"/>
      <c r="AV156" s="335"/>
      <c r="AW156" s="337"/>
      <c r="AX156" s="335">
        <f t="shared" si="6"/>
        <v>0</v>
      </c>
      <c r="AY156" s="340" t="s">
        <v>1672</v>
      </c>
      <c r="AZ156" s="282">
        <v>23</v>
      </c>
      <c r="BA156" s="540">
        <v>0</v>
      </c>
      <c r="BB156" s="671">
        <v>46388</v>
      </c>
      <c r="BC156" s="340" t="s">
        <v>626</v>
      </c>
      <c r="BD156" s="335">
        <v>23</v>
      </c>
      <c r="BE156" s="337" t="s">
        <v>56</v>
      </c>
      <c r="BF156" s="337"/>
      <c r="BG156" s="335"/>
      <c r="BH156" s="337"/>
      <c r="BI156" s="335">
        <f t="shared" si="3"/>
        <v>0</v>
      </c>
      <c r="BJ156" s="340" t="s">
        <v>1673</v>
      </c>
      <c r="BK156" s="282">
        <v>23</v>
      </c>
      <c r="BL156" s="540">
        <v>0</v>
      </c>
      <c r="BM156" s="671">
        <v>46419</v>
      </c>
      <c r="BN156" s="340"/>
      <c r="BO156" s="335"/>
      <c r="BP156" s="337"/>
      <c r="BQ156" s="337"/>
      <c r="BR156" s="335"/>
      <c r="BS156" s="337"/>
      <c r="BT156" s="335">
        <f t="shared" si="4"/>
        <v>23</v>
      </c>
      <c r="BU156" s="340"/>
    </row>
    <row r="157" customHeight="1" spans="1:73">
      <c r="A157" s="535" t="s">
        <v>1674</v>
      </c>
      <c r="B157" s="7" t="s">
        <v>1675</v>
      </c>
      <c r="C157" s="7" t="s">
        <v>1676</v>
      </c>
      <c r="D157" s="250" t="s">
        <v>201</v>
      </c>
      <c r="E157" s="275" t="s">
        <v>202</v>
      </c>
      <c r="F157" s="7"/>
      <c r="G157" s="222" t="s">
        <v>1677</v>
      </c>
      <c r="H157" s="7" t="s">
        <v>238</v>
      </c>
      <c r="I157" s="7" t="s">
        <v>220</v>
      </c>
      <c r="J157" s="7" t="s">
        <v>1678</v>
      </c>
      <c r="K157" s="7" t="s">
        <v>1679</v>
      </c>
      <c r="L157" s="222" t="s">
        <v>1680</v>
      </c>
      <c r="M157" s="414" t="s">
        <v>1681</v>
      </c>
      <c r="N157" s="54">
        <v>45567</v>
      </c>
      <c r="O157" s="327" t="s">
        <v>384</v>
      </c>
      <c r="P157" s="7" t="s">
        <v>242</v>
      </c>
      <c r="Q157" s="539">
        <v>0</v>
      </c>
      <c r="R157" s="250" t="s">
        <v>1682</v>
      </c>
      <c r="S157" s="282">
        <v>20.54</v>
      </c>
      <c r="T157" s="540">
        <v>2</v>
      </c>
      <c r="U157" s="634">
        <v>46032</v>
      </c>
      <c r="V157" s="331">
        <v>46026</v>
      </c>
      <c r="W157" s="539">
        <v>20.54</v>
      </c>
      <c r="X157" s="543" t="s">
        <v>35</v>
      </c>
      <c r="Y157" s="544"/>
      <c r="Z157" s="539">
        <v>2</v>
      </c>
      <c r="AA157" s="543" t="s">
        <v>35</v>
      </c>
      <c r="AB157" s="545">
        <f t="shared" si="0"/>
        <v>0</v>
      </c>
      <c r="AC157" s="250" t="s">
        <v>1683</v>
      </c>
      <c r="AD157" s="283">
        <v>20.54</v>
      </c>
      <c r="AE157" s="540">
        <v>2</v>
      </c>
      <c r="AF157" s="634">
        <v>46063</v>
      </c>
      <c r="AG157" s="251">
        <v>46059</v>
      </c>
      <c r="AH157" s="335">
        <v>20.54</v>
      </c>
      <c r="AI157" s="336" t="s">
        <v>35</v>
      </c>
      <c r="AJ157" s="337"/>
      <c r="AK157" s="335">
        <v>2</v>
      </c>
      <c r="AL157" s="336" t="s">
        <v>35</v>
      </c>
      <c r="AM157" s="335">
        <f t="shared" si="7"/>
        <v>0</v>
      </c>
      <c r="AN157" s="340" t="s">
        <v>1684</v>
      </c>
      <c r="AO157" s="282">
        <v>20.54</v>
      </c>
      <c r="AP157" s="540">
        <v>2</v>
      </c>
      <c r="AQ157" s="634">
        <v>46091</v>
      </c>
      <c r="AR157" s="340" t="s">
        <v>1685</v>
      </c>
      <c r="AS157" s="335">
        <v>20.54</v>
      </c>
      <c r="AT157" s="337" t="s">
        <v>35</v>
      </c>
      <c r="AU157" s="337"/>
      <c r="AV157" s="335">
        <v>2</v>
      </c>
      <c r="AW157" s="337" t="s">
        <v>35</v>
      </c>
      <c r="AX157" s="335">
        <f t="shared" si="6"/>
        <v>0</v>
      </c>
      <c r="AY157" s="340" t="s">
        <v>1686</v>
      </c>
      <c r="AZ157" s="282">
        <v>20.54</v>
      </c>
      <c r="BA157" s="540">
        <v>2</v>
      </c>
      <c r="BB157" s="634">
        <v>46122</v>
      </c>
      <c r="BC157" s="340" t="s">
        <v>563</v>
      </c>
      <c r="BD157" s="335">
        <v>20.54</v>
      </c>
      <c r="BE157" s="337" t="s">
        <v>35</v>
      </c>
      <c r="BF157" s="337"/>
      <c r="BG157" s="335">
        <v>2</v>
      </c>
      <c r="BH157" s="337" t="s">
        <v>35</v>
      </c>
      <c r="BI157" s="335">
        <f t="shared" si="3"/>
        <v>0</v>
      </c>
      <c r="BJ157" s="340" t="s">
        <v>1687</v>
      </c>
      <c r="BK157" s="282">
        <v>20.54</v>
      </c>
      <c r="BL157" s="540">
        <v>2</v>
      </c>
      <c r="BM157" s="634">
        <v>46152</v>
      </c>
      <c r="BN157" s="340" t="s">
        <v>512</v>
      </c>
      <c r="BO157" s="335">
        <v>20.54</v>
      </c>
      <c r="BP157" s="337" t="s">
        <v>35</v>
      </c>
      <c r="BQ157" s="337"/>
      <c r="BR157" s="335">
        <v>2</v>
      </c>
      <c r="BS157" s="337" t="s">
        <v>35</v>
      </c>
      <c r="BT157" s="335">
        <f t="shared" si="4"/>
        <v>0</v>
      </c>
      <c r="BU157" s="340"/>
    </row>
    <row r="158" customHeight="1" spans="1:73">
      <c r="A158" s="535" t="s">
        <v>1688</v>
      </c>
      <c r="B158" s="7" t="s">
        <v>1689</v>
      </c>
      <c r="C158" s="7" t="s">
        <v>1690</v>
      </c>
      <c r="D158" s="250" t="s">
        <v>201</v>
      </c>
      <c r="E158" s="275" t="s">
        <v>202</v>
      </c>
      <c r="F158" s="7"/>
      <c r="G158" s="222" t="s">
        <v>1691</v>
      </c>
      <c r="H158" s="7" t="s">
        <v>238</v>
      </c>
      <c r="I158" s="7" t="s">
        <v>220</v>
      </c>
      <c r="J158" s="7" t="s">
        <v>1692</v>
      </c>
      <c r="K158" s="7" t="s">
        <v>1693</v>
      </c>
      <c r="L158" s="222" t="s">
        <v>1694</v>
      </c>
      <c r="M158" s="7"/>
      <c r="N158" s="54">
        <v>45576</v>
      </c>
      <c r="O158" s="327" t="s">
        <v>384</v>
      </c>
      <c r="P158" s="7" t="s">
        <v>242</v>
      </c>
      <c r="Q158" s="539">
        <v>0</v>
      </c>
      <c r="S158" s="282">
        <v>20.54</v>
      </c>
      <c r="T158" s="540">
        <v>0</v>
      </c>
      <c r="U158" s="559"/>
      <c r="V158" s="350"/>
      <c r="W158" s="545"/>
      <c r="X158" s="543"/>
      <c r="Y158" s="544"/>
      <c r="Z158" s="545"/>
      <c r="AA158" s="543"/>
      <c r="AB158" s="545">
        <f t="shared" si="0"/>
        <v>20.54</v>
      </c>
      <c r="AC158" s="250" t="s">
        <v>213</v>
      </c>
      <c r="AD158" s="283">
        <f>10+45</f>
        <v>55</v>
      </c>
      <c r="AE158" s="540">
        <v>0</v>
      </c>
      <c r="AF158" s="559"/>
      <c r="AG158" s="251">
        <v>46073</v>
      </c>
      <c r="AH158" s="335">
        <v>75.54</v>
      </c>
      <c r="AI158" s="336" t="s">
        <v>56</v>
      </c>
      <c r="AJ158" s="345"/>
      <c r="AK158" s="338"/>
      <c r="AL158" s="339"/>
      <c r="AM158" s="338">
        <f t="shared" si="7"/>
        <v>0</v>
      </c>
      <c r="AN158" s="340" t="s">
        <v>213</v>
      </c>
      <c r="AO158" s="282">
        <v>20.54</v>
      </c>
      <c r="AP158" s="540">
        <v>0</v>
      </c>
      <c r="AQ158" s="559"/>
      <c r="AR158" s="485">
        <v>46111.7844664468</v>
      </c>
      <c r="AS158" s="335">
        <v>20.54</v>
      </c>
      <c r="AT158" s="337" t="s">
        <v>56</v>
      </c>
      <c r="AU158" s="337"/>
      <c r="AV158" s="335"/>
      <c r="AW158" s="337"/>
      <c r="AX158" s="335">
        <f t="shared" si="6"/>
        <v>0</v>
      </c>
      <c r="AY158" s="340" t="s">
        <v>213</v>
      </c>
      <c r="AZ158" s="282">
        <v>20.54</v>
      </c>
      <c r="BA158" s="540">
        <v>0</v>
      </c>
      <c r="BB158" s="261">
        <v>46122</v>
      </c>
      <c r="BC158" s="340" t="s">
        <v>223</v>
      </c>
      <c r="BD158" s="335">
        <v>20.54</v>
      </c>
      <c r="BE158" s="337" t="s">
        <v>56</v>
      </c>
      <c r="BF158" s="337"/>
      <c r="BG158" s="335"/>
      <c r="BH158" s="337"/>
      <c r="BI158" s="335">
        <f t="shared" si="3"/>
        <v>0</v>
      </c>
      <c r="BJ158" s="340"/>
      <c r="BK158" s="282">
        <v>20.54</v>
      </c>
      <c r="BL158" s="540">
        <v>0</v>
      </c>
      <c r="BM158" s="261">
        <v>46152</v>
      </c>
      <c r="BN158" s="340"/>
      <c r="BO158" s="335"/>
      <c r="BP158" s="337"/>
      <c r="BQ158" s="337"/>
      <c r="BR158" s="335"/>
      <c r="BS158" s="337"/>
      <c r="BT158" s="335">
        <f t="shared" si="4"/>
        <v>20.54</v>
      </c>
      <c r="BU158" s="340"/>
    </row>
    <row r="159" customHeight="1" spans="1:73">
      <c r="A159" s="535" t="s">
        <v>1695</v>
      </c>
      <c r="B159" s="7" t="s">
        <v>1696</v>
      </c>
      <c r="C159" s="7" t="s">
        <v>1697</v>
      </c>
      <c r="D159" s="250" t="s">
        <v>201</v>
      </c>
      <c r="E159" s="275" t="s">
        <v>202</v>
      </c>
      <c r="F159" s="7"/>
      <c r="G159" s="222" t="s">
        <v>1698</v>
      </c>
      <c r="H159" s="7" t="s">
        <v>238</v>
      </c>
      <c r="I159" s="7" t="s">
        <v>220</v>
      </c>
      <c r="J159" s="7" t="s">
        <v>1016</v>
      </c>
      <c r="K159" s="7" t="s">
        <v>1699</v>
      </c>
      <c r="L159" s="7" t="s">
        <v>1700</v>
      </c>
      <c r="M159" s="415" t="s">
        <v>1701</v>
      </c>
      <c r="N159" s="54">
        <v>46008</v>
      </c>
      <c r="O159" s="327" t="s">
        <v>384</v>
      </c>
      <c r="P159" s="7" t="s">
        <v>242</v>
      </c>
      <c r="Q159" s="539">
        <v>0</v>
      </c>
      <c r="S159" s="282">
        <v>20.54</v>
      </c>
      <c r="T159" s="540">
        <v>0</v>
      </c>
      <c r="U159" s="634">
        <v>46032</v>
      </c>
      <c r="V159" s="542">
        <v>46048.805648588</v>
      </c>
      <c r="W159" s="539">
        <v>20.54</v>
      </c>
      <c r="X159" s="543" t="s">
        <v>56</v>
      </c>
      <c r="Y159" s="544"/>
      <c r="Z159" s="545"/>
      <c r="AA159" s="543"/>
      <c r="AB159" s="545">
        <f t="shared" si="0"/>
        <v>0</v>
      </c>
      <c r="AC159" s="250" t="s">
        <v>1702</v>
      </c>
      <c r="AD159" s="283">
        <v>20.54</v>
      </c>
      <c r="AE159" s="540">
        <v>0</v>
      </c>
      <c r="AF159" s="634">
        <v>46063</v>
      </c>
      <c r="AG159" s="251">
        <v>46076</v>
      </c>
      <c r="AH159" s="335">
        <v>20.54</v>
      </c>
      <c r="AI159" s="336" t="s">
        <v>56</v>
      </c>
      <c r="AJ159" s="337"/>
      <c r="AK159" s="335"/>
      <c r="AL159" s="336"/>
      <c r="AM159" s="335">
        <f t="shared" si="7"/>
        <v>0</v>
      </c>
      <c r="AN159" s="340" t="s">
        <v>213</v>
      </c>
      <c r="AO159" s="282">
        <v>20.54</v>
      </c>
      <c r="AP159" s="540">
        <v>0</v>
      </c>
      <c r="AQ159" s="634">
        <v>46091</v>
      </c>
      <c r="AR159" s="485">
        <v>46109.3934966088</v>
      </c>
      <c r="AS159" s="335">
        <v>20.54</v>
      </c>
      <c r="AT159" s="337" t="s">
        <v>56</v>
      </c>
      <c r="AU159" s="337"/>
      <c r="AV159" s="335"/>
      <c r="AW159" s="337"/>
      <c r="AX159" s="335">
        <f t="shared" si="6"/>
        <v>0</v>
      </c>
      <c r="AY159" s="340" t="s">
        <v>213</v>
      </c>
      <c r="AZ159" s="282">
        <v>20.54</v>
      </c>
      <c r="BA159" s="540">
        <v>0</v>
      </c>
      <c r="BB159" s="634">
        <v>46122</v>
      </c>
      <c r="BC159" s="340" t="s">
        <v>1182</v>
      </c>
      <c r="BD159" s="335">
        <v>20.54</v>
      </c>
      <c r="BE159" s="337" t="s">
        <v>56</v>
      </c>
      <c r="BF159" s="337"/>
      <c r="BG159" s="335"/>
      <c r="BH159" s="337"/>
      <c r="BI159" s="335">
        <f t="shared" si="3"/>
        <v>0</v>
      </c>
      <c r="BJ159" s="340"/>
      <c r="BK159" s="282">
        <v>20.54</v>
      </c>
      <c r="BL159" s="540">
        <v>0</v>
      </c>
      <c r="BM159" s="634">
        <v>46152</v>
      </c>
      <c r="BN159" s="340"/>
      <c r="BO159" s="335"/>
      <c r="BP159" s="337"/>
      <c r="BQ159" s="337"/>
      <c r="BR159" s="335"/>
      <c r="BS159" s="337"/>
      <c r="BT159" s="335">
        <f t="shared" si="4"/>
        <v>20.54</v>
      </c>
      <c r="BU159" s="340"/>
    </row>
    <row r="160" customHeight="1" spans="1:73">
      <c r="A160" s="535" t="s">
        <v>1703</v>
      </c>
      <c r="B160" s="298" t="s">
        <v>1696</v>
      </c>
      <c r="C160" s="7" t="s">
        <v>1308</v>
      </c>
      <c r="D160" s="250" t="s">
        <v>1704</v>
      </c>
      <c r="E160" s="275" t="s">
        <v>202</v>
      </c>
      <c r="F160" s="7"/>
      <c r="G160" s="222" t="s">
        <v>1698</v>
      </c>
      <c r="H160" s="7" t="s">
        <v>238</v>
      </c>
      <c r="I160" s="7" t="s">
        <v>220</v>
      </c>
      <c r="J160" s="7" t="s">
        <v>1016</v>
      </c>
      <c r="K160" s="7" t="s">
        <v>1699</v>
      </c>
      <c r="L160" s="7" t="s">
        <v>1700</v>
      </c>
      <c r="M160" s="7"/>
      <c r="N160" s="54">
        <v>45582</v>
      </c>
      <c r="O160" s="327" t="s">
        <v>384</v>
      </c>
      <c r="P160" s="7" t="s">
        <v>242</v>
      </c>
      <c r="Q160" s="539">
        <v>77.25</v>
      </c>
      <c r="T160" s="540">
        <v>0</v>
      </c>
      <c r="U160" s="559"/>
      <c r="V160" s="350"/>
      <c r="W160" s="545"/>
      <c r="X160" s="543"/>
      <c r="Y160" s="544"/>
      <c r="Z160" s="545"/>
      <c r="AA160" s="543"/>
      <c r="AB160" s="545">
        <f t="shared" si="0"/>
        <v>77.25</v>
      </c>
      <c r="AC160" s="250" t="s">
        <v>213</v>
      </c>
      <c r="AD160" s="280"/>
      <c r="AE160" s="540">
        <v>0</v>
      </c>
      <c r="AF160" s="559"/>
      <c r="AH160" s="338"/>
      <c r="AI160" s="339"/>
      <c r="AJ160" s="345"/>
      <c r="AK160" s="338"/>
      <c r="AL160" s="339"/>
      <c r="AM160" s="338">
        <f t="shared" si="7"/>
        <v>77.25</v>
      </c>
      <c r="AN160" s="340" t="s">
        <v>213</v>
      </c>
      <c r="AP160" s="540">
        <v>0</v>
      </c>
      <c r="AQ160" s="559"/>
      <c r="AR160" s="340"/>
      <c r="AS160" s="335"/>
      <c r="AT160" s="337"/>
      <c r="AU160" s="337"/>
      <c r="AV160" s="335"/>
      <c r="AW160" s="337"/>
      <c r="AX160" s="335">
        <f t="shared" si="6"/>
        <v>77.25</v>
      </c>
      <c r="AY160" s="340" t="s">
        <v>213</v>
      </c>
      <c r="BA160" s="540">
        <v>0</v>
      </c>
      <c r="BB160" s="559"/>
      <c r="BC160" s="340"/>
      <c r="BD160" s="335"/>
      <c r="BE160" s="337"/>
      <c r="BF160" s="337"/>
      <c r="BG160" s="335"/>
      <c r="BH160" s="337"/>
      <c r="BI160" s="335">
        <f t="shared" si="3"/>
        <v>77.25</v>
      </c>
      <c r="BJ160" s="340"/>
      <c r="BL160" s="540">
        <v>0</v>
      </c>
      <c r="BM160" s="559"/>
      <c r="BN160" s="340"/>
      <c r="BO160" s="335"/>
      <c r="BP160" s="337"/>
      <c r="BQ160" s="337"/>
      <c r="BR160" s="335"/>
      <c r="BS160" s="337"/>
      <c r="BT160" s="335">
        <f t="shared" si="4"/>
        <v>77.25</v>
      </c>
      <c r="BU160" s="340"/>
    </row>
    <row r="161" customHeight="1" spans="1:73">
      <c r="A161" s="535" t="s">
        <v>1705</v>
      </c>
      <c r="B161" s="298" t="s">
        <v>1706</v>
      </c>
      <c r="C161" s="7" t="s">
        <v>1707</v>
      </c>
      <c r="D161" s="250" t="s">
        <v>1704</v>
      </c>
      <c r="E161" s="275" t="s">
        <v>226</v>
      </c>
      <c r="F161" s="7"/>
      <c r="G161" s="222" t="s">
        <v>1708</v>
      </c>
      <c r="H161" s="7" t="s">
        <v>238</v>
      </c>
      <c r="I161" s="7" t="s">
        <v>220</v>
      </c>
      <c r="J161" s="7" t="s">
        <v>1709</v>
      </c>
      <c r="K161" s="7" t="s">
        <v>1710</v>
      </c>
      <c r="L161" s="222" t="s">
        <v>1711</v>
      </c>
      <c r="M161" s="414" t="s">
        <v>1712</v>
      </c>
      <c r="N161" s="54">
        <v>45588</v>
      </c>
      <c r="O161" s="443" t="s">
        <v>210</v>
      </c>
      <c r="P161" s="7" t="s">
        <v>242</v>
      </c>
      <c r="Q161" s="539">
        <v>0</v>
      </c>
      <c r="T161" s="540">
        <v>0</v>
      </c>
      <c r="U161" s="559"/>
      <c r="V161" s="350"/>
      <c r="W161" s="545"/>
      <c r="X161" s="543"/>
      <c r="Y161" s="544"/>
      <c r="Z161" s="545"/>
      <c r="AA161" s="543"/>
      <c r="AB161" s="545">
        <f t="shared" si="0"/>
        <v>0</v>
      </c>
      <c r="AC161" s="250" t="s">
        <v>213</v>
      </c>
      <c r="AD161" s="280"/>
      <c r="AE161" s="540">
        <v>0</v>
      </c>
      <c r="AF161" s="559"/>
      <c r="AH161" s="338"/>
      <c r="AI161" s="339"/>
      <c r="AJ161" s="345"/>
      <c r="AK161" s="338"/>
      <c r="AL161" s="339"/>
      <c r="AM161" s="338">
        <f t="shared" si="7"/>
        <v>0</v>
      </c>
      <c r="AN161" s="340" t="s">
        <v>213</v>
      </c>
      <c r="AP161" s="540">
        <v>0</v>
      </c>
      <c r="AQ161" s="559"/>
      <c r="AR161" s="340"/>
      <c r="AS161" s="335"/>
      <c r="AT161" s="337"/>
      <c r="AU161" s="337"/>
      <c r="AV161" s="335"/>
      <c r="AW161" s="337"/>
      <c r="AX161" s="335">
        <f t="shared" si="6"/>
        <v>0</v>
      </c>
      <c r="AY161" s="340" t="s">
        <v>213</v>
      </c>
      <c r="BA161" s="540">
        <v>0</v>
      </c>
      <c r="BB161" s="559"/>
      <c r="BC161" s="340"/>
      <c r="BD161" s="335"/>
      <c r="BE161" s="337"/>
      <c r="BF161" s="337"/>
      <c r="BG161" s="335"/>
      <c r="BH161" s="337"/>
      <c r="BI161" s="335">
        <f t="shared" si="3"/>
        <v>0</v>
      </c>
      <c r="BJ161" s="340"/>
      <c r="BL161" s="540">
        <v>0</v>
      </c>
      <c r="BM161" s="559"/>
      <c r="BN161" s="340"/>
      <c r="BO161" s="335"/>
      <c r="BP161" s="337"/>
      <c r="BQ161" s="337"/>
      <c r="BR161" s="335"/>
      <c r="BS161" s="337"/>
      <c r="BT161" s="335">
        <f t="shared" si="4"/>
        <v>0</v>
      </c>
      <c r="BU161" s="340"/>
    </row>
    <row r="162" customHeight="1" spans="1:73">
      <c r="A162" s="672" t="s">
        <v>1713</v>
      </c>
      <c r="B162" s="396" t="s">
        <v>1714</v>
      </c>
      <c r="C162" s="396" t="s">
        <v>1715</v>
      </c>
      <c r="D162" s="250" t="s">
        <v>201</v>
      </c>
      <c r="E162" s="398" t="s">
        <v>202</v>
      </c>
      <c r="F162" s="396"/>
      <c r="G162" s="400" t="s">
        <v>1716</v>
      </c>
      <c r="H162" s="396" t="s">
        <v>238</v>
      </c>
      <c r="I162" s="396" t="s">
        <v>206</v>
      </c>
      <c r="J162" s="396" t="s">
        <v>1717</v>
      </c>
      <c r="K162" s="396" t="s">
        <v>1718</v>
      </c>
      <c r="L162" s="400" t="s">
        <v>1719</v>
      </c>
      <c r="M162" s="455" t="s">
        <v>1720</v>
      </c>
      <c r="N162" s="450">
        <v>45603</v>
      </c>
      <c r="O162" s="327" t="s">
        <v>210</v>
      </c>
      <c r="P162" s="396" t="s">
        <v>242</v>
      </c>
      <c r="Q162" s="539">
        <v>0</v>
      </c>
      <c r="R162" s="250" t="s">
        <v>1721</v>
      </c>
      <c r="S162" s="282">
        <v>23</v>
      </c>
      <c r="T162" s="540">
        <v>0</v>
      </c>
      <c r="U162" s="634">
        <v>46032</v>
      </c>
      <c r="V162" s="331">
        <v>46044</v>
      </c>
      <c r="W162" s="539">
        <v>23</v>
      </c>
      <c r="X162" s="543" t="s">
        <v>35</v>
      </c>
      <c r="Y162" s="544"/>
      <c r="Z162" s="545"/>
      <c r="AA162" s="543"/>
      <c r="AB162" s="545">
        <f t="shared" si="0"/>
        <v>0</v>
      </c>
      <c r="AC162" s="250" t="s">
        <v>1722</v>
      </c>
      <c r="AD162" s="283">
        <v>23</v>
      </c>
      <c r="AE162" s="540">
        <v>0</v>
      </c>
      <c r="AF162" s="634">
        <v>46063</v>
      </c>
      <c r="AG162" s="251">
        <v>46072</v>
      </c>
      <c r="AH162" s="335">
        <v>23</v>
      </c>
      <c r="AI162" s="336" t="s">
        <v>35</v>
      </c>
      <c r="AJ162" s="337"/>
      <c r="AK162" s="335"/>
      <c r="AL162" s="336"/>
      <c r="AM162" s="335">
        <f t="shared" si="7"/>
        <v>0</v>
      </c>
      <c r="AN162" s="340" t="s">
        <v>1723</v>
      </c>
      <c r="AO162" s="282">
        <v>23</v>
      </c>
      <c r="AP162" s="540">
        <v>0</v>
      </c>
      <c r="AQ162" s="634">
        <v>46091</v>
      </c>
      <c r="AR162" s="340" t="s">
        <v>1724</v>
      </c>
      <c r="AS162" s="335">
        <v>20</v>
      </c>
      <c r="AT162" s="337" t="s">
        <v>35</v>
      </c>
      <c r="AU162" s="337"/>
      <c r="AV162" s="335"/>
      <c r="AW162" s="337"/>
      <c r="AX162" s="335">
        <f t="shared" si="6"/>
        <v>3</v>
      </c>
      <c r="AY162" s="340" t="s">
        <v>1725</v>
      </c>
      <c r="AZ162" s="282">
        <v>23</v>
      </c>
      <c r="BA162" s="540">
        <v>0</v>
      </c>
      <c r="BB162" s="634">
        <v>46122</v>
      </c>
      <c r="BC162" s="340" t="s">
        <v>375</v>
      </c>
      <c r="BD162" s="335">
        <v>25</v>
      </c>
      <c r="BE162" s="337" t="s">
        <v>35</v>
      </c>
      <c r="BF162" s="337"/>
      <c r="BG162" s="335"/>
      <c r="BH162" s="337"/>
      <c r="BI162" s="335">
        <f t="shared" si="3"/>
        <v>1</v>
      </c>
      <c r="BJ162" s="340" t="s">
        <v>1726</v>
      </c>
      <c r="BK162" s="282">
        <v>23</v>
      </c>
      <c r="BL162" s="540">
        <v>0</v>
      </c>
      <c r="BM162" s="634">
        <v>46152</v>
      </c>
      <c r="BN162" s="340"/>
      <c r="BO162" s="335"/>
      <c r="BP162" s="337"/>
      <c r="BQ162" s="337"/>
      <c r="BR162" s="335"/>
      <c r="BS162" s="337"/>
      <c r="BT162" s="335">
        <f t="shared" si="4"/>
        <v>24</v>
      </c>
      <c r="BU162" s="340"/>
    </row>
    <row r="163" customHeight="1" spans="1:73">
      <c r="A163" s="535" t="s">
        <v>1727</v>
      </c>
      <c r="B163" s="12" t="s">
        <v>1728</v>
      </c>
      <c r="C163" s="7" t="s">
        <v>1729</v>
      </c>
      <c r="D163" s="250" t="s">
        <v>201</v>
      </c>
      <c r="E163" s="275" t="s">
        <v>226</v>
      </c>
      <c r="F163" s="7"/>
      <c r="G163" s="222" t="s">
        <v>1730</v>
      </c>
      <c r="H163" s="7" t="s">
        <v>238</v>
      </c>
      <c r="I163" s="7" t="s">
        <v>220</v>
      </c>
      <c r="J163" s="7" t="s">
        <v>1731</v>
      </c>
      <c r="K163" s="7"/>
      <c r="L163" s="222" t="s">
        <v>1732</v>
      </c>
      <c r="M163" s="7"/>
      <c r="N163" s="54">
        <v>45604</v>
      </c>
      <c r="O163" s="327" t="s">
        <v>210</v>
      </c>
      <c r="P163" s="7" t="s">
        <v>242</v>
      </c>
      <c r="Q163" s="539">
        <v>54</v>
      </c>
      <c r="S163" s="282">
        <v>10</v>
      </c>
      <c r="T163" s="540">
        <v>0</v>
      </c>
      <c r="U163" s="559"/>
      <c r="V163" s="350"/>
      <c r="W163" s="545"/>
      <c r="X163" s="543"/>
      <c r="Y163" s="544"/>
      <c r="Z163" s="545"/>
      <c r="AA163" s="543"/>
      <c r="AB163" s="545">
        <f t="shared" si="0"/>
        <v>64</v>
      </c>
      <c r="AC163" s="250" t="s">
        <v>213</v>
      </c>
      <c r="AD163" s="283">
        <v>10</v>
      </c>
      <c r="AE163" s="540">
        <v>0</v>
      </c>
      <c r="AF163" s="559"/>
      <c r="AG163" s="251">
        <v>46057</v>
      </c>
      <c r="AH163" s="335">
        <v>74</v>
      </c>
      <c r="AI163" s="336" t="s">
        <v>23</v>
      </c>
      <c r="AJ163" s="345"/>
      <c r="AK163" s="338"/>
      <c r="AL163" s="339"/>
      <c r="AM163" s="338">
        <f t="shared" si="7"/>
        <v>0</v>
      </c>
      <c r="AN163" s="340" t="s">
        <v>213</v>
      </c>
      <c r="AO163" s="282">
        <v>23</v>
      </c>
      <c r="AP163" s="540">
        <v>0</v>
      </c>
      <c r="AQ163" s="261">
        <v>46091</v>
      </c>
      <c r="AR163" s="340" t="s">
        <v>360</v>
      </c>
      <c r="AS163" s="335">
        <v>23</v>
      </c>
      <c r="AT163" s="337" t="s">
        <v>23</v>
      </c>
      <c r="AU163" s="337"/>
      <c r="AV163" s="335"/>
      <c r="AW163" s="337"/>
      <c r="AX163" s="335">
        <f t="shared" si="6"/>
        <v>0</v>
      </c>
      <c r="AY163" s="340" t="s">
        <v>213</v>
      </c>
      <c r="AZ163" s="282">
        <v>23</v>
      </c>
      <c r="BA163" s="540">
        <v>0</v>
      </c>
      <c r="BB163" s="261">
        <v>46122</v>
      </c>
      <c r="BC163" s="340"/>
      <c r="BD163" s="335"/>
      <c r="BE163" s="337"/>
      <c r="BF163" s="337"/>
      <c r="BG163" s="335"/>
      <c r="BH163" s="337"/>
      <c r="BI163" s="335">
        <f t="shared" si="3"/>
        <v>23</v>
      </c>
      <c r="BJ163" s="340"/>
      <c r="BK163" s="282">
        <v>23</v>
      </c>
      <c r="BL163" s="540">
        <v>0</v>
      </c>
      <c r="BM163" s="261">
        <v>46152</v>
      </c>
      <c r="BN163" s="340"/>
      <c r="BO163" s="335"/>
      <c r="BP163" s="337"/>
      <c r="BQ163" s="337"/>
      <c r="BR163" s="335"/>
      <c r="BS163" s="337"/>
      <c r="BT163" s="335">
        <f t="shared" si="4"/>
        <v>46</v>
      </c>
      <c r="BU163" s="340"/>
    </row>
    <row r="164" customHeight="1" spans="1:73">
      <c r="A164" s="535" t="s">
        <v>1733</v>
      </c>
      <c r="B164" s="7" t="s">
        <v>1734</v>
      </c>
      <c r="C164" s="7" t="s">
        <v>1735</v>
      </c>
      <c r="D164" s="250" t="s">
        <v>201</v>
      </c>
      <c r="E164" s="275" t="s">
        <v>202</v>
      </c>
      <c r="F164" s="7"/>
      <c r="G164" s="222" t="s">
        <v>1736</v>
      </c>
      <c r="H164" s="7" t="s">
        <v>238</v>
      </c>
      <c r="I164" s="7" t="s">
        <v>220</v>
      </c>
      <c r="J164" s="7" t="s">
        <v>1737</v>
      </c>
      <c r="K164" s="7" t="s">
        <v>1738</v>
      </c>
      <c r="L164" s="222" t="s">
        <v>1739</v>
      </c>
      <c r="M164" s="7"/>
      <c r="N164" s="54">
        <v>45607</v>
      </c>
      <c r="O164" s="327" t="s">
        <v>232</v>
      </c>
      <c r="P164" s="7" t="s">
        <v>242</v>
      </c>
      <c r="Q164" s="539">
        <v>0</v>
      </c>
      <c r="R164" s="250" t="s">
        <v>1740</v>
      </c>
      <c r="S164" s="282">
        <v>17.25</v>
      </c>
      <c r="T164" s="540">
        <v>0</v>
      </c>
      <c r="U164" s="634">
        <v>46041</v>
      </c>
      <c r="V164" s="331">
        <v>46041</v>
      </c>
      <c r="W164" s="539">
        <v>17.25</v>
      </c>
      <c r="X164" s="543" t="s">
        <v>56</v>
      </c>
      <c r="Y164" s="544"/>
      <c r="Z164" s="545"/>
      <c r="AA164" s="543"/>
      <c r="AB164" s="545">
        <f t="shared" si="0"/>
        <v>0</v>
      </c>
      <c r="AC164" s="250" t="s">
        <v>1741</v>
      </c>
      <c r="AD164" s="283">
        <v>17.25</v>
      </c>
      <c r="AE164" s="540">
        <v>0</v>
      </c>
      <c r="AF164" s="634">
        <v>46072</v>
      </c>
      <c r="AG164" s="250"/>
      <c r="AH164" s="335">
        <v>17.25</v>
      </c>
      <c r="AI164" s="336" t="s">
        <v>56</v>
      </c>
      <c r="AJ164" s="337"/>
      <c r="AK164" s="335"/>
      <c r="AL164" s="336"/>
      <c r="AM164" s="335">
        <f t="shared" si="7"/>
        <v>0</v>
      </c>
      <c r="AN164" s="340" t="s">
        <v>1742</v>
      </c>
      <c r="AO164" s="282">
        <v>17.25</v>
      </c>
      <c r="AP164" s="540">
        <v>0</v>
      </c>
      <c r="AQ164" s="634">
        <v>46100</v>
      </c>
      <c r="AR164" s="340" t="s">
        <v>1743</v>
      </c>
      <c r="AS164" s="335">
        <v>17.25</v>
      </c>
      <c r="AT164" s="337" t="s">
        <v>56</v>
      </c>
      <c r="AU164" s="337"/>
      <c r="AV164" s="335"/>
      <c r="AW164" s="337"/>
      <c r="AX164" s="335">
        <f t="shared" si="6"/>
        <v>0</v>
      </c>
      <c r="AY164" s="340" t="s">
        <v>1744</v>
      </c>
      <c r="AZ164" s="282">
        <v>17.25</v>
      </c>
      <c r="BA164" s="540">
        <v>0</v>
      </c>
      <c r="BB164" s="634">
        <v>46131</v>
      </c>
      <c r="BC164" s="485">
        <v>46132.414730787</v>
      </c>
      <c r="BD164" s="335">
        <v>17.25</v>
      </c>
      <c r="BE164" s="337" t="s">
        <v>56</v>
      </c>
      <c r="BF164" s="337"/>
      <c r="BG164" s="335"/>
      <c r="BH164" s="337"/>
      <c r="BI164" s="335">
        <f t="shared" si="3"/>
        <v>0</v>
      </c>
      <c r="BJ164" s="340" t="s">
        <v>1745</v>
      </c>
      <c r="BK164" s="282">
        <v>17.25</v>
      </c>
      <c r="BL164" s="540">
        <v>0</v>
      </c>
      <c r="BM164" s="634">
        <v>46161</v>
      </c>
      <c r="BN164" s="340"/>
      <c r="BO164" s="335"/>
      <c r="BP164" s="337"/>
      <c r="BQ164" s="337"/>
      <c r="BR164" s="335"/>
      <c r="BS164" s="337"/>
      <c r="BT164" s="335">
        <f t="shared" si="4"/>
        <v>17.25</v>
      </c>
      <c r="BU164" s="340"/>
    </row>
    <row r="165" customHeight="1" spans="1:73">
      <c r="A165" s="673" t="s">
        <v>1746</v>
      </c>
      <c r="B165" s="298" t="s">
        <v>1747</v>
      </c>
      <c r="C165" s="7" t="s">
        <v>1748</v>
      </c>
      <c r="D165" s="250" t="s">
        <v>251</v>
      </c>
      <c r="E165" s="275" t="s">
        <v>226</v>
      </c>
      <c r="F165" s="7"/>
      <c r="G165" s="222" t="s">
        <v>1749</v>
      </c>
      <c r="H165" s="7" t="s">
        <v>238</v>
      </c>
      <c r="I165" s="7" t="s">
        <v>206</v>
      </c>
      <c r="J165" s="7" t="s">
        <v>1750</v>
      </c>
      <c r="K165" s="7" t="s">
        <v>1751</v>
      </c>
      <c r="L165" s="222" t="s">
        <v>1752</v>
      </c>
      <c r="M165" s="416" t="s">
        <v>1753</v>
      </c>
      <c r="N165" s="54">
        <v>45607</v>
      </c>
      <c r="O165" s="327" t="s">
        <v>384</v>
      </c>
      <c r="P165" s="674" t="s">
        <v>242</v>
      </c>
      <c r="Q165" s="539">
        <v>0</v>
      </c>
      <c r="T165" s="540">
        <v>0</v>
      </c>
      <c r="U165" s="559"/>
      <c r="V165" s="350"/>
      <c r="W165" s="545"/>
      <c r="X165" s="543"/>
      <c r="Y165" s="544"/>
      <c r="Z165" s="545"/>
      <c r="AA165" s="543"/>
      <c r="AB165" s="545">
        <f t="shared" si="0"/>
        <v>0</v>
      </c>
      <c r="AC165" s="250" t="s">
        <v>213</v>
      </c>
      <c r="AD165" s="280"/>
      <c r="AE165" s="540">
        <v>0</v>
      </c>
      <c r="AF165" s="559"/>
      <c r="AH165" s="338"/>
      <c r="AI165" s="339"/>
      <c r="AJ165" s="345"/>
      <c r="AK165" s="338"/>
      <c r="AL165" s="339"/>
      <c r="AM165" s="338">
        <f t="shared" si="7"/>
        <v>0</v>
      </c>
      <c r="AN165" s="340" t="s">
        <v>213</v>
      </c>
      <c r="AP165" s="540">
        <v>0</v>
      </c>
      <c r="AQ165" s="559"/>
      <c r="AR165" s="340"/>
      <c r="AS165" s="335"/>
      <c r="AT165" s="337"/>
      <c r="AU165" s="337"/>
      <c r="AV165" s="335"/>
      <c r="AW165" s="337"/>
      <c r="AX165" s="335">
        <f t="shared" si="6"/>
        <v>0</v>
      </c>
      <c r="AY165" s="340" t="s">
        <v>213</v>
      </c>
      <c r="BA165" s="540">
        <v>0</v>
      </c>
      <c r="BB165" s="559"/>
      <c r="BC165" s="340"/>
      <c r="BD165" s="335"/>
      <c r="BE165" s="337"/>
      <c r="BF165" s="337"/>
      <c r="BG165" s="335"/>
      <c r="BH165" s="337"/>
      <c r="BI165" s="335">
        <f t="shared" si="3"/>
        <v>0</v>
      </c>
      <c r="BJ165" s="340"/>
      <c r="BL165" s="540">
        <v>0</v>
      </c>
      <c r="BM165" s="559"/>
      <c r="BN165" s="340"/>
      <c r="BO165" s="335"/>
      <c r="BP165" s="337"/>
      <c r="BQ165" s="337"/>
      <c r="BR165" s="335"/>
      <c r="BS165" s="337"/>
      <c r="BT165" s="335">
        <f t="shared" si="4"/>
        <v>0</v>
      </c>
      <c r="BU165" s="340"/>
    </row>
    <row r="166" customHeight="1" spans="1:73">
      <c r="A166" s="535" t="s">
        <v>1754</v>
      </c>
      <c r="B166" s="427" t="s">
        <v>1755</v>
      </c>
      <c r="C166" s="7" t="s">
        <v>1244</v>
      </c>
      <c r="D166" s="250" t="s">
        <v>201</v>
      </c>
      <c r="E166" s="275" t="s">
        <v>226</v>
      </c>
      <c r="F166" s="7"/>
      <c r="G166" s="222" t="s">
        <v>965</v>
      </c>
      <c r="H166" s="7" t="s">
        <v>238</v>
      </c>
      <c r="I166" s="7" t="s">
        <v>220</v>
      </c>
      <c r="J166" s="7" t="s">
        <v>1756</v>
      </c>
      <c r="K166" s="7" t="s">
        <v>1757</v>
      </c>
      <c r="L166" s="222" t="s">
        <v>1758</v>
      </c>
      <c r="M166" s="298" t="s">
        <v>1759</v>
      </c>
      <c r="N166" s="54">
        <v>45615</v>
      </c>
      <c r="O166" s="552" t="s">
        <v>384</v>
      </c>
      <c r="P166" s="7" t="s">
        <v>242</v>
      </c>
      <c r="Q166" s="539">
        <v>0</v>
      </c>
      <c r="R166" s="250" t="s">
        <v>1760</v>
      </c>
      <c r="S166" s="282">
        <v>20.54</v>
      </c>
      <c r="T166" s="540">
        <v>0</v>
      </c>
      <c r="U166" s="634">
        <v>46032</v>
      </c>
      <c r="V166" s="350" t="s">
        <v>1761</v>
      </c>
      <c r="W166" s="539">
        <v>20.54</v>
      </c>
      <c r="X166" s="543" t="s">
        <v>56</v>
      </c>
      <c r="Y166" s="544"/>
      <c r="Z166" s="545"/>
      <c r="AA166" s="543"/>
      <c r="AB166" s="545">
        <f t="shared" si="0"/>
        <v>0</v>
      </c>
      <c r="AC166" s="250" t="s">
        <v>1762</v>
      </c>
      <c r="AD166" s="283">
        <v>20.54</v>
      </c>
      <c r="AE166" s="540">
        <v>0</v>
      </c>
      <c r="AF166" s="634">
        <v>46063</v>
      </c>
      <c r="AG166" s="485">
        <v>46065.6711514583</v>
      </c>
      <c r="AH166" s="335">
        <v>20.54</v>
      </c>
      <c r="AI166" s="336" t="s">
        <v>56</v>
      </c>
      <c r="AJ166" s="337"/>
      <c r="AK166" s="335"/>
      <c r="AL166" s="336"/>
      <c r="AM166" s="335">
        <f t="shared" si="7"/>
        <v>0</v>
      </c>
      <c r="AN166" s="340" t="s">
        <v>1763</v>
      </c>
      <c r="AO166" s="282">
        <v>20.54</v>
      </c>
      <c r="AP166" s="540">
        <v>0</v>
      </c>
      <c r="AQ166" s="634">
        <v>46091</v>
      </c>
      <c r="AR166" s="340" t="s">
        <v>267</v>
      </c>
      <c r="AS166" s="335">
        <v>20.54</v>
      </c>
      <c r="AT166" s="337" t="s">
        <v>56</v>
      </c>
      <c r="AU166" s="337"/>
      <c r="AV166" s="335"/>
      <c r="AW166" s="337"/>
      <c r="AX166" s="335">
        <f t="shared" si="6"/>
        <v>0</v>
      </c>
      <c r="AY166" s="340" t="s">
        <v>1764</v>
      </c>
      <c r="AZ166" s="282">
        <v>20.54</v>
      </c>
      <c r="BA166" s="540">
        <v>0</v>
      </c>
      <c r="BB166" s="634">
        <v>46122</v>
      </c>
      <c r="BC166" s="485">
        <v>46126.3724409491</v>
      </c>
      <c r="BD166" s="335">
        <v>20.54</v>
      </c>
      <c r="BE166" s="337" t="s">
        <v>56</v>
      </c>
      <c r="BF166" s="337"/>
      <c r="BG166" s="335"/>
      <c r="BH166" s="337"/>
      <c r="BI166" s="335">
        <f t="shared" si="3"/>
        <v>0</v>
      </c>
      <c r="BJ166" s="340" t="s">
        <v>1765</v>
      </c>
      <c r="BK166" s="282">
        <v>20.54</v>
      </c>
      <c r="BL166" s="540">
        <v>0</v>
      </c>
      <c r="BM166" s="634">
        <v>46152</v>
      </c>
      <c r="BN166" s="340"/>
      <c r="BO166" s="335"/>
      <c r="BP166" s="337"/>
      <c r="BQ166" s="337"/>
      <c r="BR166" s="335"/>
      <c r="BS166" s="337"/>
      <c r="BT166" s="335">
        <f t="shared" si="4"/>
        <v>20.54</v>
      </c>
      <c r="BU166" s="340"/>
    </row>
    <row r="167" customHeight="1" spans="1:73">
      <c r="A167" s="535" t="s">
        <v>1766</v>
      </c>
      <c r="B167" s="675" t="s">
        <v>1767</v>
      </c>
      <c r="C167" s="217" t="s">
        <v>1768</v>
      </c>
      <c r="D167" s="250" t="s">
        <v>201</v>
      </c>
      <c r="E167" s="676" t="s">
        <v>202</v>
      </c>
      <c r="F167" s="217"/>
      <c r="G167" s="677" t="s">
        <v>1769</v>
      </c>
      <c r="H167" s="217" t="s">
        <v>238</v>
      </c>
      <c r="I167" s="217" t="s">
        <v>220</v>
      </c>
      <c r="J167" s="217" t="s">
        <v>1770</v>
      </c>
      <c r="K167" s="217" t="s">
        <v>1771</v>
      </c>
      <c r="L167" s="677" t="s">
        <v>1772</v>
      </c>
      <c r="M167" s="217"/>
      <c r="N167" s="219">
        <v>45631</v>
      </c>
      <c r="O167" s="552" t="s">
        <v>232</v>
      </c>
      <c r="P167" s="217" t="s">
        <v>242</v>
      </c>
      <c r="Q167" s="539">
        <v>0</v>
      </c>
      <c r="R167" s="250" t="s">
        <v>1773</v>
      </c>
      <c r="S167" s="282">
        <v>17.25</v>
      </c>
      <c r="T167" s="540">
        <v>0</v>
      </c>
      <c r="U167" s="634">
        <v>46032</v>
      </c>
      <c r="V167" s="331">
        <v>46035</v>
      </c>
      <c r="W167" s="539">
        <v>17.25</v>
      </c>
      <c r="X167" s="543" t="s">
        <v>56</v>
      </c>
      <c r="Y167" s="544"/>
      <c r="Z167" s="545"/>
      <c r="AA167" s="543"/>
      <c r="AB167" s="545">
        <f t="shared" si="0"/>
        <v>0</v>
      </c>
      <c r="AC167" s="250" t="s">
        <v>1774</v>
      </c>
      <c r="AD167" s="283">
        <v>17.25</v>
      </c>
      <c r="AE167" s="540">
        <v>0</v>
      </c>
      <c r="AF167" s="634">
        <v>46063</v>
      </c>
      <c r="AG167" s="251">
        <v>46073</v>
      </c>
      <c r="AH167" s="335">
        <v>17.25</v>
      </c>
      <c r="AI167" s="336" t="s">
        <v>56</v>
      </c>
      <c r="AJ167" s="337"/>
      <c r="AK167" s="335"/>
      <c r="AL167" s="336"/>
      <c r="AM167" s="335">
        <f t="shared" si="7"/>
        <v>0</v>
      </c>
      <c r="AN167" s="340" t="s">
        <v>1775</v>
      </c>
      <c r="AO167" s="282">
        <v>17.25</v>
      </c>
      <c r="AP167" s="540">
        <v>0</v>
      </c>
      <c r="AQ167" s="634">
        <v>46091</v>
      </c>
      <c r="AR167" s="340" t="s">
        <v>267</v>
      </c>
      <c r="AS167" s="335">
        <v>17.25</v>
      </c>
      <c r="AT167" s="337" t="s">
        <v>23</v>
      </c>
      <c r="AU167" s="337"/>
      <c r="AV167" s="335"/>
      <c r="AW167" s="337"/>
      <c r="AX167" s="335">
        <f t="shared" si="6"/>
        <v>0</v>
      </c>
      <c r="AY167" s="340" t="s">
        <v>1776</v>
      </c>
      <c r="AZ167" s="282">
        <v>17.25</v>
      </c>
      <c r="BA167" s="540">
        <v>0</v>
      </c>
      <c r="BB167" s="634">
        <v>46122</v>
      </c>
      <c r="BC167" s="340" t="s">
        <v>1777</v>
      </c>
      <c r="BD167" s="335">
        <v>17.25</v>
      </c>
      <c r="BE167" s="337" t="s">
        <v>56</v>
      </c>
      <c r="BF167" s="337"/>
      <c r="BG167" s="335"/>
      <c r="BH167" s="337"/>
      <c r="BI167" s="335">
        <f t="shared" si="3"/>
        <v>0</v>
      </c>
      <c r="BJ167" s="340" t="s">
        <v>1778</v>
      </c>
      <c r="BK167" s="282">
        <v>17.25</v>
      </c>
      <c r="BL167" s="540">
        <v>0</v>
      </c>
      <c r="BM167" s="634">
        <v>46152</v>
      </c>
      <c r="BN167" s="340"/>
      <c r="BO167" s="335"/>
      <c r="BP167" s="337"/>
      <c r="BQ167" s="337"/>
      <c r="BR167" s="335"/>
      <c r="BS167" s="337"/>
      <c r="BT167" s="335">
        <f t="shared" si="4"/>
        <v>17.25</v>
      </c>
      <c r="BU167" s="340"/>
    </row>
    <row r="168" customHeight="1" spans="1:73">
      <c r="A168" s="535" t="s">
        <v>1779</v>
      </c>
      <c r="B168" s="678" t="s">
        <v>1780</v>
      </c>
      <c r="C168" s="217" t="s">
        <v>1781</v>
      </c>
      <c r="D168" s="250" t="s">
        <v>201</v>
      </c>
      <c r="E168" s="676" t="s">
        <v>226</v>
      </c>
      <c r="F168" s="676">
        <v>12</v>
      </c>
      <c r="G168" s="677" t="s">
        <v>1782</v>
      </c>
      <c r="H168" s="217" t="s">
        <v>238</v>
      </c>
      <c r="I168" s="217" t="s">
        <v>220</v>
      </c>
      <c r="J168" s="217" t="s">
        <v>1731</v>
      </c>
      <c r="K168" s="217" t="s">
        <v>1783</v>
      </c>
      <c r="L168" s="677" t="s">
        <v>1784</v>
      </c>
      <c r="M168" s="679" t="s">
        <v>1785</v>
      </c>
      <c r="N168" s="219">
        <v>45660</v>
      </c>
      <c r="O168" s="327" t="s">
        <v>384</v>
      </c>
      <c r="P168" s="217" t="s">
        <v>242</v>
      </c>
      <c r="Q168" s="539">
        <v>7.78</v>
      </c>
      <c r="S168" s="282">
        <v>20.54</v>
      </c>
      <c r="T168" s="540">
        <v>11</v>
      </c>
      <c r="U168" s="634">
        <v>46044</v>
      </c>
      <c r="V168" s="331">
        <v>46049</v>
      </c>
      <c r="W168" s="539">
        <f>20.54+14.32</f>
        <v>34.86</v>
      </c>
      <c r="X168" s="543" t="s">
        <v>23</v>
      </c>
      <c r="Y168" s="680">
        <v>46049</v>
      </c>
      <c r="Z168" s="539">
        <v>4.46</v>
      </c>
      <c r="AA168" s="543" t="s">
        <v>23</v>
      </c>
      <c r="AB168" s="545">
        <f t="shared" si="0"/>
        <v>0</v>
      </c>
      <c r="AC168" s="250" t="s">
        <v>213</v>
      </c>
      <c r="AD168" s="283">
        <v>20.54</v>
      </c>
      <c r="AE168" s="540">
        <v>11</v>
      </c>
      <c r="AF168" s="634">
        <v>46075</v>
      </c>
      <c r="AG168" s="251">
        <v>46081</v>
      </c>
      <c r="AH168" s="335">
        <f>10+20</f>
        <v>30</v>
      </c>
      <c r="AI168" s="336" t="s">
        <v>56</v>
      </c>
      <c r="AJ168" s="345"/>
      <c r="AK168" s="338"/>
      <c r="AL168" s="339"/>
      <c r="AM168" s="338">
        <f t="shared" si="7"/>
        <v>1.54</v>
      </c>
      <c r="AN168" s="340" t="s">
        <v>213</v>
      </c>
      <c r="AO168" s="282">
        <v>20.54</v>
      </c>
      <c r="AP168" s="540">
        <v>11</v>
      </c>
      <c r="AQ168" s="634">
        <v>46103</v>
      </c>
      <c r="AR168" s="340" t="s">
        <v>914</v>
      </c>
      <c r="AS168" s="335">
        <v>30</v>
      </c>
      <c r="AT168" s="337" t="s">
        <v>35</v>
      </c>
      <c r="AU168" s="337"/>
      <c r="AV168" s="335"/>
      <c r="AW168" s="337"/>
      <c r="AX168" s="335">
        <f t="shared" si="6"/>
        <v>3.08</v>
      </c>
      <c r="AY168" s="340" t="s">
        <v>213</v>
      </c>
      <c r="AZ168" s="282">
        <v>20.54</v>
      </c>
      <c r="BA168" s="540">
        <v>11</v>
      </c>
      <c r="BB168" s="634">
        <v>46134</v>
      </c>
      <c r="BC168" s="340" t="s">
        <v>905</v>
      </c>
      <c r="BD168" s="335">
        <f>15+20</f>
        <v>35</v>
      </c>
      <c r="BE168" s="337" t="s">
        <v>23</v>
      </c>
      <c r="BF168" s="337"/>
      <c r="BG168" s="335"/>
      <c r="BH168" s="337"/>
      <c r="BI168" s="335">
        <f t="shared" si="3"/>
        <v>-0.380000000000003</v>
      </c>
      <c r="BJ168" s="340"/>
      <c r="BK168" s="282">
        <v>20.54</v>
      </c>
      <c r="BL168" s="540">
        <f>11+4+5</f>
        <v>20</v>
      </c>
      <c r="BM168" s="634">
        <v>46164</v>
      </c>
      <c r="BN168" s="340"/>
      <c r="BO168" s="335"/>
      <c r="BP168" s="337"/>
      <c r="BQ168" s="337"/>
      <c r="BR168" s="335"/>
      <c r="BS168" s="337"/>
      <c r="BT168" s="335">
        <f t="shared" si="4"/>
        <v>40.16</v>
      </c>
      <c r="BU168" s="340"/>
    </row>
    <row r="169" customHeight="1" spans="1:73">
      <c r="A169" s="535" t="s">
        <v>1786</v>
      </c>
      <c r="B169" s="427" t="s">
        <v>1787</v>
      </c>
      <c r="C169" s="7" t="s">
        <v>1788</v>
      </c>
      <c r="D169" s="250" t="s">
        <v>201</v>
      </c>
      <c r="E169" s="275" t="s">
        <v>202</v>
      </c>
      <c r="F169" s="275">
        <v>24</v>
      </c>
      <c r="G169" s="222" t="s">
        <v>1789</v>
      </c>
      <c r="H169" s="7" t="s">
        <v>238</v>
      </c>
      <c r="I169" s="7" t="s">
        <v>220</v>
      </c>
      <c r="J169" s="7" t="s">
        <v>1790</v>
      </c>
      <c r="K169" s="7" t="s">
        <v>1791</v>
      </c>
      <c r="L169" s="222" t="s">
        <v>1792</v>
      </c>
      <c r="M169" s="7"/>
      <c r="N169" s="54">
        <v>45666</v>
      </c>
      <c r="O169" s="327" t="s">
        <v>384</v>
      </c>
      <c r="P169" s="7" t="s">
        <v>242</v>
      </c>
      <c r="Q169" s="539">
        <v>0</v>
      </c>
      <c r="R169" s="250" t="s">
        <v>1793</v>
      </c>
      <c r="S169" s="282">
        <v>20.54</v>
      </c>
      <c r="T169" s="540">
        <v>0</v>
      </c>
      <c r="U169" s="634">
        <v>46032</v>
      </c>
      <c r="V169" s="331">
        <v>46049</v>
      </c>
      <c r="W169" s="539">
        <v>20.54</v>
      </c>
      <c r="X169" s="543" t="s">
        <v>56</v>
      </c>
      <c r="Y169" s="544"/>
      <c r="Z169" s="545"/>
      <c r="AA169" s="543"/>
      <c r="AB169" s="545">
        <f t="shared" si="0"/>
        <v>0</v>
      </c>
      <c r="AC169" s="250" t="s">
        <v>1794</v>
      </c>
      <c r="AD169" s="283">
        <v>20.54</v>
      </c>
      <c r="AE169" s="540">
        <v>0</v>
      </c>
      <c r="AF169" s="634">
        <v>46063</v>
      </c>
      <c r="AG169" s="251">
        <v>46056</v>
      </c>
      <c r="AH169" s="335">
        <v>20.54</v>
      </c>
      <c r="AI169" s="336" t="s">
        <v>56</v>
      </c>
      <c r="AJ169" s="337"/>
      <c r="AK169" s="335"/>
      <c r="AL169" s="336"/>
      <c r="AM169" s="335">
        <f t="shared" si="7"/>
        <v>0</v>
      </c>
      <c r="AN169" s="340" t="s">
        <v>213</v>
      </c>
      <c r="AO169" s="282">
        <v>20.54</v>
      </c>
      <c r="AP169" s="540">
        <v>0</v>
      </c>
      <c r="AQ169" s="634">
        <v>46091</v>
      </c>
      <c r="AR169" s="340" t="s">
        <v>386</v>
      </c>
      <c r="AS169" s="335">
        <v>20.5</v>
      </c>
      <c r="AT169" s="337" t="s">
        <v>56</v>
      </c>
      <c r="AU169" s="337"/>
      <c r="AV169" s="335"/>
      <c r="AW169" s="337"/>
      <c r="AX169" s="335">
        <f t="shared" si="6"/>
        <v>0.0399999999999991</v>
      </c>
      <c r="AY169" s="340" t="s">
        <v>213</v>
      </c>
      <c r="AZ169" s="282">
        <v>20.54</v>
      </c>
      <c r="BA169" s="540">
        <v>0</v>
      </c>
      <c r="BB169" s="634">
        <v>46122</v>
      </c>
      <c r="BC169" s="485">
        <v>46132.7684244097</v>
      </c>
      <c r="BD169" s="335">
        <v>20.58</v>
      </c>
      <c r="BE169" s="337" t="s">
        <v>56</v>
      </c>
      <c r="BF169" s="337"/>
      <c r="BG169" s="335"/>
      <c r="BH169" s="337"/>
      <c r="BI169" s="335">
        <f t="shared" si="3"/>
        <v>0</v>
      </c>
      <c r="BJ169" s="340"/>
      <c r="BK169" s="282">
        <v>20.54</v>
      </c>
      <c r="BL169" s="540">
        <v>0</v>
      </c>
      <c r="BM169" s="634">
        <v>46152</v>
      </c>
      <c r="BN169" s="340"/>
      <c r="BO169" s="335"/>
      <c r="BP169" s="337"/>
      <c r="BQ169" s="337"/>
      <c r="BR169" s="335"/>
      <c r="BS169" s="337"/>
      <c r="BT169" s="335">
        <f t="shared" si="4"/>
        <v>20.54</v>
      </c>
      <c r="BU169" s="340"/>
    </row>
    <row r="170" customHeight="1" spans="1:73">
      <c r="A170" s="535" t="s">
        <v>1795</v>
      </c>
      <c r="B170" s="305" t="s">
        <v>1440</v>
      </c>
      <c r="C170" s="7" t="s">
        <v>1796</v>
      </c>
      <c r="D170" s="250" t="s">
        <v>201</v>
      </c>
      <c r="E170" s="275" t="s">
        <v>202</v>
      </c>
      <c r="F170" s="275">
        <v>24</v>
      </c>
      <c r="G170" s="222" t="s">
        <v>1442</v>
      </c>
      <c r="H170" s="7" t="s">
        <v>238</v>
      </c>
      <c r="I170" s="7" t="s">
        <v>220</v>
      </c>
      <c r="J170" s="7" t="s">
        <v>1430</v>
      </c>
      <c r="K170" s="7" t="s">
        <v>1443</v>
      </c>
      <c r="L170" s="222" t="s">
        <v>1797</v>
      </c>
      <c r="M170" s="7"/>
      <c r="N170" s="54">
        <v>45666</v>
      </c>
      <c r="O170" s="327" t="s">
        <v>210</v>
      </c>
      <c r="P170" s="7" t="s">
        <v>242</v>
      </c>
      <c r="Q170" s="539">
        <v>0</v>
      </c>
      <c r="S170" s="282">
        <v>23</v>
      </c>
      <c r="T170" s="540">
        <v>0</v>
      </c>
      <c r="U170" s="634">
        <v>46035</v>
      </c>
      <c r="V170" s="331">
        <v>46041</v>
      </c>
      <c r="W170" s="539">
        <v>23</v>
      </c>
      <c r="X170" s="543" t="s">
        <v>56</v>
      </c>
      <c r="Y170" s="544"/>
      <c r="Z170" s="545"/>
      <c r="AA170" s="543"/>
      <c r="AB170" s="545">
        <f t="shared" si="0"/>
        <v>0</v>
      </c>
      <c r="AC170" s="250" t="s">
        <v>1798</v>
      </c>
      <c r="AD170" s="283">
        <v>23</v>
      </c>
      <c r="AE170" s="540">
        <v>0</v>
      </c>
      <c r="AF170" s="634">
        <v>46066</v>
      </c>
      <c r="AG170" s="250"/>
      <c r="AH170" s="335"/>
      <c r="AI170" s="336"/>
      <c r="AJ170" s="337"/>
      <c r="AK170" s="335"/>
      <c r="AL170" s="336"/>
      <c r="AM170" s="335">
        <f t="shared" si="7"/>
        <v>23</v>
      </c>
      <c r="AN170" s="340" t="s">
        <v>1799</v>
      </c>
      <c r="AO170" s="282">
        <v>10</v>
      </c>
      <c r="AP170" s="540">
        <v>0</v>
      </c>
      <c r="AQ170" s="634">
        <v>46094</v>
      </c>
      <c r="AR170" s="340"/>
      <c r="AS170" s="335"/>
      <c r="AT170" s="337"/>
      <c r="AU170" s="337"/>
      <c r="AV170" s="335"/>
      <c r="AW170" s="337"/>
      <c r="AX170" s="335">
        <f t="shared" si="6"/>
        <v>33</v>
      </c>
      <c r="AY170" s="340" t="s">
        <v>213</v>
      </c>
      <c r="AZ170" s="282">
        <v>10</v>
      </c>
      <c r="BA170" s="540">
        <v>0</v>
      </c>
      <c r="BB170" s="634">
        <v>46125</v>
      </c>
      <c r="BC170" s="340" t="s">
        <v>626</v>
      </c>
      <c r="BD170" s="335">
        <v>43</v>
      </c>
      <c r="BE170" s="337" t="s">
        <v>56</v>
      </c>
      <c r="BF170" s="337"/>
      <c r="BG170" s="335"/>
      <c r="BH170" s="337"/>
      <c r="BI170" s="335">
        <f t="shared" si="3"/>
        <v>0</v>
      </c>
      <c r="BJ170" s="340"/>
      <c r="BK170" s="282">
        <v>10</v>
      </c>
      <c r="BL170" s="540">
        <v>0</v>
      </c>
      <c r="BM170" s="634">
        <v>46155</v>
      </c>
      <c r="BN170" s="340"/>
      <c r="BO170" s="335"/>
      <c r="BP170" s="337"/>
      <c r="BQ170" s="337"/>
      <c r="BR170" s="335"/>
      <c r="BS170" s="337"/>
      <c r="BT170" s="335">
        <f t="shared" si="4"/>
        <v>10</v>
      </c>
      <c r="BU170" s="340"/>
    </row>
    <row r="171" customHeight="1" spans="1:73">
      <c r="A171" s="535" t="s">
        <v>1800</v>
      </c>
      <c r="B171" s="305" t="s">
        <v>1801</v>
      </c>
      <c r="C171" s="7" t="s">
        <v>1802</v>
      </c>
      <c r="D171" s="250" t="s">
        <v>201</v>
      </c>
      <c r="E171" s="275" t="s">
        <v>202</v>
      </c>
      <c r="F171" s="275">
        <v>24</v>
      </c>
      <c r="G171" s="222" t="s">
        <v>1803</v>
      </c>
      <c r="H171" s="7" t="s">
        <v>238</v>
      </c>
      <c r="I171" s="7" t="s">
        <v>220</v>
      </c>
      <c r="J171" s="7" t="s">
        <v>1804</v>
      </c>
      <c r="K171" s="681" t="s">
        <v>1805</v>
      </c>
      <c r="L171" s="222" t="s">
        <v>1806</v>
      </c>
      <c r="M171" s="7"/>
      <c r="N171" s="355">
        <v>45667</v>
      </c>
      <c r="O171" s="327" t="s">
        <v>384</v>
      </c>
      <c r="P171" s="7" t="s">
        <v>242</v>
      </c>
      <c r="Q171" s="539">
        <v>0.01</v>
      </c>
      <c r="R171" s="250" t="s">
        <v>1807</v>
      </c>
      <c r="S171" s="282">
        <v>20.54</v>
      </c>
      <c r="T171" s="540">
        <v>0</v>
      </c>
      <c r="U171" s="634">
        <v>46032</v>
      </c>
      <c r="V171" s="331">
        <v>46030</v>
      </c>
      <c r="W171" s="539">
        <v>20.54</v>
      </c>
      <c r="X171" s="543" t="s">
        <v>23</v>
      </c>
      <c r="Y171" s="544"/>
      <c r="Z171" s="545"/>
      <c r="AA171" s="543"/>
      <c r="AB171" s="545">
        <f t="shared" si="0"/>
        <v>0.0100000000000016</v>
      </c>
      <c r="AC171" s="250" t="s">
        <v>1808</v>
      </c>
      <c r="AD171" s="283">
        <v>20.54</v>
      </c>
      <c r="AE171" s="540">
        <v>0</v>
      </c>
      <c r="AF171" s="634">
        <v>46063</v>
      </c>
      <c r="AG171" s="251">
        <v>46066</v>
      </c>
      <c r="AH171" s="335">
        <v>20.54</v>
      </c>
      <c r="AI171" s="336" t="s">
        <v>23</v>
      </c>
      <c r="AJ171" s="337"/>
      <c r="AK171" s="335"/>
      <c r="AL171" s="336"/>
      <c r="AM171" s="335">
        <f t="shared" si="7"/>
        <v>0.0100000000000016</v>
      </c>
      <c r="AN171" s="340" t="s">
        <v>1809</v>
      </c>
      <c r="AO171" s="282">
        <v>20.54</v>
      </c>
      <c r="AP171" s="540">
        <v>0</v>
      </c>
      <c r="AQ171" s="634">
        <v>46091</v>
      </c>
      <c r="AR171" s="340" t="s">
        <v>360</v>
      </c>
      <c r="AS171" s="335">
        <v>20.54</v>
      </c>
      <c r="AT171" s="337" t="s">
        <v>35</v>
      </c>
      <c r="AU171" s="337"/>
      <c r="AV171" s="335"/>
      <c r="AW171" s="337"/>
      <c r="AX171" s="335">
        <f t="shared" si="6"/>
        <v>0.0100000000000016</v>
      </c>
      <c r="AY171" s="340" t="s">
        <v>1810</v>
      </c>
      <c r="AZ171" s="282">
        <v>20.54</v>
      </c>
      <c r="BA171" s="540">
        <v>0</v>
      </c>
      <c r="BB171" s="634">
        <v>46122</v>
      </c>
      <c r="BC171" s="340" t="s">
        <v>1062</v>
      </c>
      <c r="BD171" s="335">
        <v>20.54</v>
      </c>
      <c r="BE171" s="337" t="s">
        <v>23</v>
      </c>
      <c r="BF171" s="337"/>
      <c r="BG171" s="335"/>
      <c r="BH171" s="337"/>
      <c r="BI171" s="335">
        <f t="shared" si="3"/>
        <v>0.0100000000000016</v>
      </c>
      <c r="BJ171" s="340" t="s">
        <v>1811</v>
      </c>
      <c r="BK171" s="282">
        <v>20.54</v>
      </c>
      <c r="BL171" s="540">
        <v>0</v>
      </c>
      <c r="BM171" s="634">
        <v>46152</v>
      </c>
      <c r="BN171" s="340"/>
      <c r="BO171" s="335"/>
      <c r="BP171" s="337"/>
      <c r="BQ171" s="337"/>
      <c r="BR171" s="335"/>
      <c r="BS171" s="337"/>
      <c r="BT171" s="335">
        <f t="shared" si="4"/>
        <v>20.55</v>
      </c>
      <c r="BU171" s="340"/>
    </row>
    <row r="172" customHeight="1" spans="1:73">
      <c r="A172" s="535" t="s">
        <v>1812</v>
      </c>
      <c r="B172" s="7" t="s">
        <v>1813</v>
      </c>
      <c r="C172" s="7" t="s">
        <v>1814</v>
      </c>
      <c r="D172" s="250" t="s">
        <v>201</v>
      </c>
      <c r="E172" s="275" t="s">
        <v>226</v>
      </c>
      <c r="F172" s="275">
        <v>24</v>
      </c>
      <c r="G172" s="222" t="s">
        <v>1815</v>
      </c>
      <c r="H172" s="7" t="s">
        <v>238</v>
      </c>
      <c r="I172" s="7" t="s">
        <v>220</v>
      </c>
      <c r="J172" s="7" t="s">
        <v>1816</v>
      </c>
      <c r="K172" s="7"/>
      <c r="L172" s="222" t="s">
        <v>1817</v>
      </c>
      <c r="M172" s="7"/>
      <c r="N172" s="54">
        <v>45667</v>
      </c>
      <c r="O172" s="327" t="s">
        <v>384</v>
      </c>
      <c r="P172" s="7" t="s">
        <v>1818</v>
      </c>
      <c r="Q172" s="539">
        <v>0</v>
      </c>
      <c r="S172" s="282">
        <v>20.54</v>
      </c>
      <c r="T172" s="540">
        <v>0</v>
      </c>
      <c r="U172" s="634">
        <v>46032</v>
      </c>
      <c r="V172" s="331">
        <v>46032</v>
      </c>
      <c r="W172" s="539">
        <v>20.54</v>
      </c>
      <c r="X172" s="543" t="s">
        <v>56</v>
      </c>
      <c r="Y172" s="544"/>
      <c r="Z172" s="545"/>
      <c r="AA172" s="543"/>
      <c r="AB172" s="545">
        <f t="shared" si="0"/>
        <v>0</v>
      </c>
      <c r="AC172" s="250" t="s">
        <v>213</v>
      </c>
      <c r="AD172" s="283">
        <v>20.54</v>
      </c>
      <c r="AE172" s="540">
        <v>0</v>
      </c>
      <c r="AF172" s="634">
        <v>46063</v>
      </c>
      <c r="AG172" s="251">
        <v>46063</v>
      </c>
      <c r="AH172" s="335">
        <v>20.54</v>
      </c>
      <c r="AI172" s="336" t="s">
        <v>56</v>
      </c>
      <c r="AJ172" s="345"/>
      <c r="AK172" s="338"/>
      <c r="AL172" s="339"/>
      <c r="AM172" s="338">
        <f t="shared" si="7"/>
        <v>0</v>
      </c>
      <c r="AN172" s="340" t="s">
        <v>213</v>
      </c>
      <c r="AO172" s="282">
        <v>20.54</v>
      </c>
      <c r="AP172" s="540">
        <v>0</v>
      </c>
      <c r="AQ172" s="634">
        <v>46091</v>
      </c>
      <c r="AR172" s="340" t="s">
        <v>467</v>
      </c>
      <c r="AS172" s="335">
        <v>20.54</v>
      </c>
      <c r="AT172" s="337" t="s">
        <v>56</v>
      </c>
      <c r="AU172" s="337"/>
      <c r="AV172" s="335"/>
      <c r="AW172" s="337"/>
      <c r="AX172" s="335">
        <f t="shared" si="6"/>
        <v>0</v>
      </c>
      <c r="AY172" s="340" t="s">
        <v>213</v>
      </c>
      <c r="AZ172" s="282">
        <v>20.54</v>
      </c>
      <c r="BA172" s="540">
        <v>0</v>
      </c>
      <c r="BB172" s="634">
        <v>46122</v>
      </c>
      <c r="BC172" s="340" t="s">
        <v>1062</v>
      </c>
      <c r="BD172" s="335">
        <v>20.54</v>
      </c>
      <c r="BE172" s="337" t="s">
        <v>56</v>
      </c>
      <c r="BF172" s="337"/>
      <c r="BG172" s="335"/>
      <c r="BH172" s="337"/>
      <c r="BI172" s="335">
        <f t="shared" si="3"/>
        <v>0</v>
      </c>
      <c r="BJ172" s="340"/>
      <c r="BK172" s="282">
        <v>20.54</v>
      </c>
      <c r="BL172" s="540">
        <v>0</v>
      </c>
      <c r="BM172" s="634">
        <v>46152</v>
      </c>
      <c r="BN172" s="340"/>
      <c r="BO172" s="335"/>
      <c r="BP172" s="337"/>
      <c r="BQ172" s="337"/>
      <c r="BR172" s="335"/>
      <c r="BS172" s="337"/>
      <c r="BT172" s="335">
        <f t="shared" si="4"/>
        <v>20.54</v>
      </c>
      <c r="BU172" s="340"/>
    </row>
    <row r="173" customHeight="1" spans="1:73">
      <c r="A173" s="535" t="s">
        <v>1819</v>
      </c>
      <c r="B173" s="7" t="s">
        <v>1820</v>
      </c>
      <c r="C173" s="7" t="s">
        <v>1453</v>
      </c>
      <c r="D173" s="250" t="s">
        <v>201</v>
      </c>
      <c r="E173" s="275" t="s">
        <v>226</v>
      </c>
      <c r="F173" s="275">
        <v>24</v>
      </c>
      <c r="G173" s="222" t="s">
        <v>1821</v>
      </c>
      <c r="H173" s="7" t="s">
        <v>238</v>
      </c>
      <c r="I173" s="7" t="s">
        <v>220</v>
      </c>
      <c r="J173" s="7" t="s">
        <v>1822</v>
      </c>
      <c r="K173" s="7" t="s">
        <v>1823</v>
      </c>
      <c r="L173" s="222" t="s">
        <v>1824</v>
      </c>
      <c r="M173" s="414" t="s">
        <v>1825</v>
      </c>
      <c r="N173" s="54">
        <v>45671</v>
      </c>
      <c r="O173" s="327" t="s">
        <v>210</v>
      </c>
      <c r="P173" s="7" t="s">
        <v>242</v>
      </c>
      <c r="Q173" s="539">
        <v>0</v>
      </c>
      <c r="R173" s="250" t="s">
        <v>1826</v>
      </c>
      <c r="S173" s="282">
        <v>23</v>
      </c>
      <c r="T173" s="540">
        <v>0</v>
      </c>
      <c r="U173" s="634">
        <v>46032</v>
      </c>
      <c r="V173" s="331">
        <v>46036</v>
      </c>
      <c r="W173" s="539">
        <v>23</v>
      </c>
      <c r="X173" s="543" t="s">
        <v>56</v>
      </c>
      <c r="Y173" s="544"/>
      <c r="Z173" s="545"/>
      <c r="AA173" s="543"/>
      <c r="AB173" s="545">
        <f t="shared" si="0"/>
        <v>0</v>
      </c>
      <c r="AC173" s="250" t="s">
        <v>1827</v>
      </c>
      <c r="AD173" s="283">
        <v>23</v>
      </c>
      <c r="AE173" s="540">
        <v>0</v>
      </c>
      <c r="AF173" s="634">
        <v>46063</v>
      </c>
      <c r="AG173" s="485">
        <v>46071.796401088</v>
      </c>
      <c r="AH173" s="335">
        <v>23</v>
      </c>
      <c r="AI173" s="336" t="s">
        <v>56</v>
      </c>
      <c r="AJ173" s="337"/>
      <c r="AK173" s="335"/>
      <c r="AL173" s="336"/>
      <c r="AM173" s="335">
        <f t="shared" si="7"/>
        <v>0</v>
      </c>
      <c r="AN173" s="340" t="s">
        <v>1828</v>
      </c>
      <c r="AO173" s="282">
        <v>23</v>
      </c>
      <c r="AP173" s="540">
        <v>0</v>
      </c>
      <c r="AQ173" s="634">
        <v>46091</v>
      </c>
      <c r="AR173" s="340" t="s">
        <v>360</v>
      </c>
      <c r="AS173" s="335">
        <v>23</v>
      </c>
      <c r="AT173" s="337" t="s">
        <v>56</v>
      </c>
      <c r="AU173" s="337"/>
      <c r="AV173" s="335"/>
      <c r="AW173" s="337"/>
      <c r="AX173" s="335">
        <f t="shared" si="6"/>
        <v>0</v>
      </c>
      <c r="AY173" s="340" t="s">
        <v>1829</v>
      </c>
      <c r="AZ173" s="282">
        <v>23</v>
      </c>
      <c r="BA173" s="540">
        <v>0</v>
      </c>
      <c r="BB173" s="634">
        <v>46122</v>
      </c>
      <c r="BC173" s="340" t="s">
        <v>1777</v>
      </c>
      <c r="BD173" s="335">
        <v>23</v>
      </c>
      <c r="BE173" s="337" t="s">
        <v>56</v>
      </c>
      <c r="BF173" s="337"/>
      <c r="BG173" s="335"/>
      <c r="BH173" s="337"/>
      <c r="BI173" s="335">
        <f t="shared" si="3"/>
        <v>0</v>
      </c>
      <c r="BJ173" s="340" t="s">
        <v>1830</v>
      </c>
      <c r="BK173" s="282">
        <v>23</v>
      </c>
      <c r="BL173" s="540">
        <v>0</v>
      </c>
      <c r="BM173" s="634">
        <v>46152</v>
      </c>
      <c r="BN173" s="340"/>
      <c r="BO173" s="335"/>
      <c r="BP173" s="337"/>
      <c r="BQ173" s="337"/>
      <c r="BR173" s="335"/>
      <c r="BS173" s="337"/>
      <c r="BT173" s="335">
        <f t="shared" si="4"/>
        <v>23</v>
      </c>
      <c r="BU173" s="340"/>
    </row>
    <row r="174" customHeight="1" spans="1:73">
      <c r="A174" s="535" t="s">
        <v>1831</v>
      </c>
      <c r="B174" s="427" t="s">
        <v>1638</v>
      </c>
      <c r="C174" s="7" t="s">
        <v>1832</v>
      </c>
      <c r="D174" s="250" t="s">
        <v>201</v>
      </c>
      <c r="E174" s="275" t="s">
        <v>226</v>
      </c>
      <c r="F174" s="275">
        <v>24</v>
      </c>
      <c r="G174" s="222" t="s">
        <v>1640</v>
      </c>
      <c r="H174" s="7" t="s">
        <v>238</v>
      </c>
      <c r="I174" s="7" t="s">
        <v>206</v>
      </c>
      <c r="J174" s="7" t="s">
        <v>1833</v>
      </c>
      <c r="K174" s="7" t="s">
        <v>1642</v>
      </c>
      <c r="L174" s="222" t="s">
        <v>1643</v>
      </c>
      <c r="M174" s="7"/>
      <c r="N174" s="54">
        <v>45677</v>
      </c>
      <c r="O174" s="327" t="s">
        <v>210</v>
      </c>
      <c r="P174" s="7" t="s">
        <v>242</v>
      </c>
      <c r="Q174" s="539">
        <v>0</v>
      </c>
      <c r="R174" s="250" t="s">
        <v>1834</v>
      </c>
      <c r="S174" s="282">
        <v>23</v>
      </c>
      <c r="T174" s="540">
        <v>0</v>
      </c>
      <c r="U174" s="634">
        <v>46032</v>
      </c>
      <c r="V174" s="331">
        <v>46035</v>
      </c>
      <c r="W174" s="539">
        <v>23</v>
      </c>
      <c r="X174" s="543" t="s">
        <v>56</v>
      </c>
      <c r="Y174" s="544"/>
      <c r="Z174" s="545"/>
      <c r="AA174" s="543"/>
      <c r="AB174" s="545">
        <f t="shared" si="0"/>
        <v>0</v>
      </c>
      <c r="AC174" s="250" t="s">
        <v>1835</v>
      </c>
      <c r="AD174" s="283">
        <v>23</v>
      </c>
      <c r="AE174" s="540">
        <v>0</v>
      </c>
      <c r="AF174" s="634">
        <v>46063</v>
      </c>
      <c r="AG174" s="251">
        <v>46073</v>
      </c>
      <c r="AH174" s="335">
        <v>23</v>
      </c>
      <c r="AI174" s="336" t="s">
        <v>56</v>
      </c>
      <c r="AJ174" s="337"/>
      <c r="AK174" s="335"/>
      <c r="AL174" s="336"/>
      <c r="AM174" s="335">
        <f t="shared" si="7"/>
        <v>0</v>
      </c>
      <c r="AN174" s="340" t="s">
        <v>1836</v>
      </c>
      <c r="AO174" s="282">
        <v>23</v>
      </c>
      <c r="AP174" s="540">
        <v>0</v>
      </c>
      <c r="AQ174" s="634">
        <v>46091</v>
      </c>
      <c r="AR174" s="340" t="s">
        <v>233</v>
      </c>
      <c r="AS174" s="335">
        <v>23</v>
      </c>
      <c r="AT174" s="337" t="s">
        <v>56</v>
      </c>
      <c r="AU174" s="337"/>
      <c r="AV174" s="335"/>
      <c r="AW174" s="337"/>
      <c r="AX174" s="335">
        <f t="shared" si="6"/>
        <v>0</v>
      </c>
      <c r="AY174" s="340" t="s">
        <v>1837</v>
      </c>
      <c r="AZ174" s="282">
        <v>23</v>
      </c>
      <c r="BA174" s="540">
        <v>0</v>
      </c>
      <c r="BB174" s="634">
        <v>46122</v>
      </c>
      <c r="BC174" s="340" t="s">
        <v>398</v>
      </c>
      <c r="BD174" s="335">
        <v>23</v>
      </c>
      <c r="BE174" s="337" t="s">
        <v>56</v>
      </c>
      <c r="BF174" s="337"/>
      <c r="BG174" s="335"/>
      <c r="BH174" s="337"/>
      <c r="BI174" s="335">
        <f t="shared" si="3"/>
        <v>0</v>
      </c>
      <c r="BJ174" s="340" t="s">
        <v>1838</v>
      </c>
      <c r="BK174" s="282">
        <v>23</v>
      </c>
      <c r="BL174" s="540">
        <v>0</v>
      </c>
      <c r="BM174" s="634">
        <v>46152</v>
      </c>
      <c r="BN174" s="340"/>
      <c r="BO174" s="335"/>
      <c r="BP174" s="337"/>
      <c r="BQ174" s="337"/>
      <c r="BR174" s="335"/>
      <c r="BS174" s="337"/>
      <c r="BT174" s="335">
        <f t="shared" si="4"/>
        <v>23</v>
      </c>
      <c r="BU174" s="340"/>
    </row>
    <row r="175" customHeight="1" spans="1:73">
      <c r="A175" s="535" t="s">
        <v>1839</v>
      </c>
      <c r="B175" s="305" t="s">
        <v>1840</v>
      </c>
      <c r="C175" s="7" t="s">
        <v>1841</v>
      </c>
      <c r="D175" s="250" t="s">
        <v>201</v>
      </c>
      <c r="E175" s="275" t="s">
        <v>202</v>
      </c>
      <c r="F175" s="275">
        <v>24</v>
      </c>
      <c r="G175" s="222" t="s">
        <v>1842</v>
      </c>
      <c r="H175" s="7" t="s">
        <v>238</v>
      </c>
      <c r="I175" s="7" t="s">
        <v>220</v>
      </c>
      <c r="J175" s="7" t="s">
        <v>1843</v>
      </c>
      <c r="K175" s="7" t="s">
        <v>1844</v>
      </c>
      <c r="L175" s="222" t="s">
        <v>1845</v>
      </c>
      <c r="M175" s="414" t="s">
        <v>1846</v>
      </c>
      <c r="N175" s="54">
        <v>45678</v>
      </c>
      <c r="O175" s="327" t="s">
        <v>384</v>
      </c>
      <c r="P175" s="7" t="s">
        <v>242</v>
      </c>
      <c r="Q175" s="539">
        <v>0</v>
      </c>
      <c r="R175" s="250" t="s">
        <v>1847</v>
      </c>
      <c r="S175" s="282">
        <v>20.54</v>
      </c>
      <c r="T175" s="540">
        <v>2</v>
      </c>
      <c r="U175" s="634">
        <v>46032</v>
      </c>
      <c r="V175" s="331">
        <v>46026</v>
      </c>
      <c r="W175" s="539">
        <v>20.54</v>
      </c>
      <c r="X175" s="543" t="s">
        <v>23</v>
      </c>
      <c r="Y175" s="544"/>
      <c r="Z175" s="539">
        <v>2</v>
      </c>
      <c r="AA175" s="543" t="s">
        <v>23</v>
      </c>
      <c r="AB175" s="545">
        <f t="shared" si="0"/>
        <v>0</v>
      </c>
      <c r="AC175" s="250" t="s">
        <v>1848</v>
      </c>
      <c r="AD175" s="283">
        <v>20.54</v>
      </c>
      <c r="AE175" s="540">
        <v>2</v>
      </c>
      <c r="AF175" s="634">
        <v>46063</v>
      </c>
      <c r="AG175" s="251">
        <v>45324</v>
      </c>
      <c r="AH175" s="335">
        <v>20.54</v>
      </c>
      <c r="AI175" s="336" t="s">
        <v>23</v>
      </c>
      <c r="AJ175" s="337"/>
      <c r="AK175" s="335">
        <v>2</v>
      </c>
      <c r="AL175" s="336" t="s">
        <v>23</v>
      </c>
      <c r="AM175" s="335">
        <f t="shared" si="7"/>
        <v>0</v>
      </c>
      <c r="AN175" s="340" t="s">
        <v>1849</v>
      </c>
      <c r="AO175" s="282">
        <v>20.54</v>
      </c>
      <c r="AP175" s="540">
        <v>2</v>
      </c>
      <c r="AQ175" s="634">
        <v>46091</v>
      </c>
      <c r="AR175" s="340" t="s">
        <v>1685</v>
      </c>
      <c r="AS175" s="335">
        <v>20.54</v>
      </c>
      <c r="AT175" s="337" t="s">
        <v>23</v>
      </c>
      <c r="AU175" s="337"/>
      <c r="AV175" s="335">
        <v>2</v>
      </c>
      <c r="AW175" s="337" t="s">
        <v>23</v>
      </c>
      <c r="AX175" s="335">
        <f t="shared" si="6"/>
        <v>0</v>
      </c>
      <c r="AY175" s="340" t="s">
        <v>1850</v>
      </c>
      <c r="AZ175" s="282">
        <v>20.54</v>
      </c>
      <c r="BA175" s="540">
        <v>2</v>
      </c>
      <c r="BB175" s="634">
        <v>46122</v>
      </c>
      <c r="BC175" s="340" t="s">
        <v>510</v>
      </c>
      <c r="BD175" s="335">
        <v>20.54</v>
      </c>
      <c r="BE175" s="337" t="s">
        <v>23</v>
      </c>
      <c r="BF175" s="337"/>
      <c r="BG175" s="335">
        <v>2</v>
      </c>
      <c r="BH175" s="337" t="s">
        <v>23</v>
      </c>
      <c r="BI175" s="335">
        <f t="shared" si="3"/>
        <v>0</v>
      </c>
      <c r="BJ175" s="340" t="s">
        <v>1851</v>
      </c>
      <c r="BK175" s="282">
        <v>20.54</v>
      </c>
      <c r="BL175" s="540">
        <v>2</v>
      </c>
      <c r="BM175" s="634">
        <v>46152</v>
      </c>
      <c r="BN175" s="485">
        <v>46148.5060797801</v>
      </c>
      <c r="BO175" s="335">
        <v>22.54</v>
      </c>
      <c r="BP175" s="337" t="s">
        <v>56</v>
      </c>
      <c r="BQ175" s="337"/>
      <c r="BR175" s="335"/>
      <c r="BS175" s="337"/>
      <c r="BT175" s="335">
        <f t="shared" si="4"/>
        <v>0</v>
      </c>
      <c r="BU175" s="340"/>
    </row>
    <row r="176" customHeight="1" spans="1:73">
      <c r="A176" s="535" t="s">
        <v>1852</v>
      </c>
      <c r="B176" s="682" t="s">
        <v>1853</v>
      </c>
      <c r="C176" s="7" t="s">
        <v>1854</v>
      </c>
      <c r="D176" s="250" t="s">
        <v>201</v>
      </c>
      <c r="E176" s="275" t="s">
        <v>226</v>
      </c>
      <c r="F176" s="275">
        <v>24</v>
      </c>
      <c r="G176" s="222" t="s">
        <v>1855</v>
      </c>
      <c r="H176" s="7" t="s">
        <v>238</v>
      </c>
      <c r="I176" s="7" t="s">
        <v>206</v>
      </c>
      <c r="J176" s="7" t="s">
        <v>1856</v>
      </c>
      <c r="K176" s="7" t="s">
        <v>1857</v>
      </c>
      <c r="L176" s="222" t="s">
        <v>1858</v>
      </c>
      <c r="M176" s="7"/>
      <c r="N176" s="54">
        <v>45685</v>
      </c>
      <c r="O176" s="461" t="s">
        <v>384</v>
      </c>
      <c r="P176" s="7" t="s">
        <v>242</v>
      </c>
      <c r="Q176" s="539">
        <v>-0.92</v>
      </c>
      <c r="R176" s="250" t="s">
        <v>1859</v>
      </c>
      <c r="S176" s="282">
        <v>21</v>
      </c>
      <c r="T176" s="540">
        <v>0</v>
      </c>
      <c r="U176" s="634">
        <v>46032</v>
      </c>
      <c r="V176" s="331">
        <v>46027</v>
      </c>
      <c r="W176" s="539">
        <v>20.08</v>
      </c>
      <c r="X176" s="543" t="s">
        <v>56</v>
      </c>
      <c r="Y176" s="544"/>
      <c r="Z176" s="545"/>
      <c r="AA176" s="543"/>
      <c r="AB176" s="545">
        <f t="shared" si="0"/>
        <v>0</v>
      </c>
      <c r="AC176" s="250" t="s">
        <v>213</v>
      </c>
      <c r="AD176" s="283">
        <v>20.54</v>
      </c>
      <c r="AE176" s="540">
        <v>0</v>
      </c>
      <c r="AF176" s="634">
        <v>46063</v>
      </c>
      <c r="AG176" s="485">
        <v>46055.7860671412</v>
      </c>
      <c r="AH176" s="335">
        <v>21</v>
      </c>
      <c r="AI176" s="336" t="s">
        <v>56</v>
      </c>
      <c r="AJ176" s="345"/>
      <c r="AK176" s="338"/>
      <c r="AL176" s="339"/>
      <c r="AM176" s="338">
        <f t="shared" si="7"/>
        <v>-0.460000000000001</v>
      </c>
      <c r="AN176" s="340" t="s">
        <v>1860</v>
      </c>
      <c r="AO176" s="282">
        <v>20.54</v>
      </c>
      <c r="AP176" s="540">
        <v>0</v>
      </c>
      <c r="AQ176" s="634">
        <v>46091</v>
      </c>
      <c r="AR176" s="340" t="s">
        <v>1861</v>
      </c>
      <c r="AS176" s="335">
        <v>22</v>
      </c>
      <c r="AT176" s="337" t="s">
        <v>23</v>
      </c>
      <c r="AU176" s="337"/>
      <c r="AV176" s="335"/>
      <c r="AW176" s="337"/>
      <c r="AX176" s="335">
        <f t="shared" si="6"/>
        <v>-1.92</v>
      </c>
      <c r="AY176" s="340" t="s">
        <v>1862</v>
      </c>
      <c r="AZ176" s="282">
        <v>20.54</v>
      </c>
      <c r="BA176" s="540">
        <v>0</v>
      </c>
      <c r="BB176" s="634">
        <v>46122</v>
      </c>
      <c r="BC176" s="340" t="s">
        <v>954</v>
      </c>
      <c r="BD176" s="335">
        <v>21</v>
      </c>
      <c r="BE176" s="337" t="s">
        <v>23</v>
      </c>
      <c r="BF176" s="337"/>
      <c r="BG176" s="335"/>
      <c r="BH176" s="337"/>
      <c r="BI176" s="335">
        <f t="shared" si="3"/>
        <v>-2.38</v>
      </c>
      <c r="BJ176" s="340" t="s">
        <v>1863</v>
      </c>
      <c r="BK176" s="282">
        <v>20.54</v>
      </c>
      <c r="BL176" s="540">
        <v>0</v>
      </c>
      <c r="BM176" s="634">
        <v>46152</v>
      </c>
      <c r="BN176" s="340" t="s">
        <v>797</v>
      </c>
      <c r="BO176" s="335">
        <v>21</v>
      </c>
      <c r="BP176" s="337" t="s">
        <v>23</v>
      </c>
      <c r="BQ176" s="337"/>
      <c r="BR176" s="335"/>
      <c r="BS176" s="337"/>
      <c r="BT176" s="335">
        <f t="shared" si="4"/>
        <v>-2.84</v>
      </c>
      <c r="BU176" s="340"/>
    </row>
    <row r="177" customHeight="1" spans="1:73">
      <c r="A177" s="535" t="s">
        <v>1864</v>
      </c>
      <c r="B177" s="683" t="s">
        <v>301</v>
      </c>
      <c r="C177" s="307" t="s">
        <v>1865</v>
      </c>
      <c r="D177" s="250" t="s">
        <v>1866</v>
      </c>
      <c r="E177" s="466" t="s">
        <v>226</v>
      </c>
      <c r="F177" s="466">
        <v>24</v>
      </c>
      <c r="G177" s="467" t="s">
        <v>303</v>
      </c>
      <c r="H177" s="307" t="s">
        <v>238</v>
      </c>
      <c r="I177" s="307" t="s">
        <v>220</v>
      </c>
      <c r="J177" s="307" t="s">
        <v>1867</v>
      </c>
      <c r="K177" s="307" t="s">
        <v>305</v>
      </c>
      <c r="L177" s="467" t="s">
        <v>306</v>
      </c>
      <c r="M177" s="307"/>
      <c r="N177" s="468">
        <v>45693</v>
      </c>
      <c r="O177" s="327" t="s">
        <v>232</v>
      </c>
      <c r="P177" s="307" t="s">
        <v>242</v>
      </c>
      <c r="Q177" s="539">
        <v>0</v>
      </c>
      <c r="T177" s="540">
        <v>0</v>
      </c>
      <c r="U177" s="559"/>
      <c r="V177" s="350"/>
      <c r="W177" s="545"/>
      <c r="X177" s="543"/>
      <c r="Y177" s="544"/>
      <c r="Z177" s="545"/>
      <c r="AA177" s="543"/>
      <c r="AB177" s="545">
        <f t="shared" si="0"/>
        <v>0</v>
      </c>
      <c r="AC177" s="250" t="s">
        <v>213</v>
      </c>
      <c r="AD177" s="280"/>
      <c r="AE177" s="540">
        <v>0</v>
      </c>
      <c r="AF177" s="559"/>
      <c r="AH177" s="338"/>
      <c r="AI177" s="339"/>
      <c r="AJ177" s="345"/>
      <c r="AK177" s="338"/>
      <c r="AL177" s="339"/>
      <c r="AM177" s="338">
        <f t="shared" si="7"/>
        <v>0</v>
      </c>
      <c r="AN177" s="340" t="s">
        <v>213</v>
      </c>
      <c r="AO177" s="282">
        <v>17.25</v>
      </c>
      <c r="AP177" s="540">
        <v>0</v>
      </c>
      <c r="AQ177" s="261">
        <v>46091</v>
      </c>
      <c r="AR177" s="340" t="s">
        <v>309</v>
      </c>
      <c r="AS177" s="335">
        <v>17.25</v>
      </c>
      <c r="AT177" s="337" t="s">
        <v>23</v>
      </c>
      <c r="AU177" s="337"/>
      <c r="AV177" s="335"/>
      <c r="AW177" s="337"/>
      <c r="AX177" s="335">
        <f t="shared" si="6"/>
        <v>0</v>
      </c>
      <c r="AY177" s="340" t="s">
        <v>213</v>
      </c>
      <c r="AZ177" s="282">
        <v>17.25</v>
      </c>
      <c r="BA177" s="540">
        <v>0</v>
      </c>
      <c r="BB177" s="261">
        <v>46122</v>
      </c>
      <c r="BC177" s="340" t="s">
        <v>247</v>
      </c>
      <c r="BD177" s="335">
        <v>17.25</v>
      </c>
      <c r="BE177" s="337" t="s">
        <v>56</v>
      </c>
      <c r="BF177" s="337"/>
      <c r="BG177" s="335"/>
      <c r="BH177" s="337"/>
      <c r="BI177" s="335">
        <f t="shared" si="3"/>
        <v>0</v>
      </c>
      <c r="BJ177" s="340"/>
      <c r="BK177" s="282">
        <v>17.25</v>
      </c>
      <c r="BL177" s="540">
        <v>0</v>
      </c>
      <c r="BM177" s="261">
        <v>46152</v>
      </c>
      <c r="BN177" s="340"/>
      <c r="BO177" s="335"/>
      <c r="BP177" s="337"/>
      <c r="BQ177" s="337"/>
      <c r="BR177" s="335"/>
      <c r="BS177" s="337"/>
      <c r="BT177" s="335">
        <f t="shared" si="4"/>
        <v>17.25</v>
      </c>
      <c r="BU177" s="340"/>
    </row>
    <row r="178" customHeight="1" spans="1:73">
      <c r="A178" s="535" t="s">
        <v>1868</v>
      </c>
      <c r="B178" s="427" t="s">
        <v>1869</v>
      </c>
      <c r="C178" s="7" t="s">
        <v>1870</v>
      </c>
      <c r="D178" s="250" t="s">
        <v>201</v>
      </c>
      <c r="E178" s="275" t="s">
        <v>226</v>
      </c>
      <c r="F178" s="275">
        <v>24</v>
      </c>
      <c r="G178" s="222" t="s">
        <v>1871</v>
      </c>
      <c r="H178" s="7" t="s">
        <v>238</v>
      </c>
      <c r="I178" s="7" t="s">
        <v>220</v>
      </c>
      <c r="J178" s="7" t="s">
        <v>1145</v>
      </c>
      <c r="K178" s="7" t="s">
        <v>1872</v>
      </c>
      <c r="L178" s="222" t="s">
        <v>1873</v>
      </c>
      <c r="M178" s="7"/>
      <c r="N178" s="54">
        <v>45695</v>
      </c>
      <c r="O178" s="327" t="s">
        <v>384</v>
      </c>
      <c r="P178" s="7" t="s">
        <v>242</v>
      </c>
      <c r="Q178" s="539">
        <v>0</v>
      </c>
      <c r="R178" s="250" t="s">
        <v>1874</v>
      </c>
      <c r="S178" s="282">
        <v>20.54</v>
      </c>
      <c r="T178" s="540">
        <v>0</v>
      </c>
      <c r="U178" s="634">
        <v>46032</v>
      </c>
      <c r="V178" s="331">
        <v>46031</v>
      </c>
      <c r="W178" s="539">
        <v>20.54</v>
      </c>
      <c r="X178" s="543" t="s">
        <v>23</v>
      </c>
      <c r="Y178" s="544"/>
      <c r="Z178" s="545"/>
      <c r="AA178" s="543"/>
      <c r="AB178" s="545">
        <f t="shared" si="0"/>
        <v>0</v>
      </c>
      <c r="AC178" s="250" t="s">
        <v>1875</v>
      </c>
      <c r="AD178" s="283">
        <v>20.54</v>
      </c>
      <c r="AE178" s="540">
        <v>0</v>
      </c>
      <c r="AF178" s="634">
        <v>46063</v>
      </c>
      <c r="AG178" s="485">
        <v>46073.702750787</v>
      </c>
      <c r="AH178" s="335">
        <v>20.54</v>
      </c>
      <c r="AI178" s="336" t="s">
        <v>35</v>
      </c>
      <c r="AJ178" s="337"/>
      <c r="AK178" s="335"/>
      <c r="AL178" s="336"/>
      <c r="AM178" s="335">
        <f t="shared" si="7"/>
        <v>0</v>
      </c>
      <c r="AN178" s="340" t="s">
        <v>1876</v>
      </c>
      <c r="AO178" s="282">
        <v>20.54</v>
      </c>
      <c r="AP178" s="540">
        <v>0</v>
      </c>
      <c r="AQ178" s="634">
        <v>46091</v>
      </c>
      <c r="AR178" s="340" t="s">
        <v>1381</v>
      </c>
      <c r="AS178" s="335">
        <v>20.54</v>
      </c>
      <c r="AT178" s="337" t="s">
        <v>35</v>
      </c>
      <c r="AU178" s="337"/>
      <c r="AV178" s="335"/>
      <c r="AW178" s="337"/>
      <c r="AX178" s="335">
        <f t="shared" si="6"/>
        <v>0</v>
      </c>
      <c r="AY178" s="340" t="s">
        <v>1877</v>
      </c>
      <c r="AZ178" s="282">
        <v>20.54</v>
      </c>
      <c r="BA178" s="540">
        <v>0</v>
      </c>
      <c r="BB178" s="634">
        <v>46122</v>
      </c>
      <c r="BC178" s="340" t="s">
        <v>1878</v>
      </c>
      <c r="BD178" s="335">
        <v>20.54</v>
      </c>
      <c r="BE178" s="337" t="s">
        <v>23</v>
      </c>
      <c r="BF178" s="337"/>
      <c r="BG178" s="335"/>
      <c r="BH178" s="337"/>
      <c r="BI178" s="335">
        <f t="shared" si="3"/>
        <v>0</v>
      </c>
      <c r="BJ178" s="340" t="s">
        <v>1879</v>
      </c>
      <c r="BK178" s="282">
        <v>20.54</v>
      </c>
      <c r="BL178" s="540">
        <v>0</v>
      </c>
      <c r="BM178" s="634">
        <v>46152</v>
      </c>
      <c r="BN178" s="340"/>
      <c r="BO178" s="335"/>
      <c r="BP178" s="337"/>
      <c r="BQ178" s="337"/>
      <c r="BR178" s="335"/>
      <c r="BS178" s="337"/>
      <c r="BT178" s="335">
        <f t="shared" si="4"/>
        <v>20.54</v>
      </c>
      <c r="BU178" s="340"/>
    </row>
    <row r="179" customHeight="1" spans="1:73">
      <c r="A179" s="535" t="s">
        <v>1880</v>
      </c>
      <c r="B179" s="298" t="s">
        <v>1881</v>
      </c>
      <c r="C179" s="7" t="s">
        <v>1882</v>
      </c>
      <c r="D179" s="250" t="s">
        <v>251</v>
      </c>
      <c r="E179" s="275" t="s">
        <v>202</v>
      </c>
      <c r="F179" s="275">
        <v>12</v>
      </c>
      <c r="G179" s="222" t="s">
        <v>1883</v>
      </c>
      <c r="H179" s="7" t="s">
        <v>238</v>
      </c>
      <c r="I179" s="7" t="s">
        <v>206</v>
      </c>
      <c r="J179" s="7" t="s">
        <v>1145</v>
      </c>
      <c r="K179" s="7"/>
      <c r="L179" s="222" t="s">
        <v>1884</v>
      </c>
      <c r="M179" s="7"/>
      <c r="N179" s="54">
        <v>45702</v>
      </c>
      <c r="O179" s="327" t="s">
        <v>384</v>
      </c>
      <c r="P179" s="298" t="s">
        <v>242</v>
      </c>
      <c r="Q179" s="539">
        <v>0</v>
      </c>
      <c r="S179" s="282">
        <v>77</v>
      </c>
      <c r="T179" s="540">
        <v>0</v>
      </c>
      <c r="U179" s="261">
        <v>46032</v>
      </c>
      <c r="V179" s="331">
        <v>46034</v>
      </c>
      <c r="W179" s="539">
        <v>77</v>
      </c>
      <c r="X179" s="543" t="s">
        <v>56</v>
      </c>
      <c r="Y179" s="544"/>
      <c r="Z179" s="545"/>
      <c r="AA179" s="543"/>
      <c r="AB179" s="545">
        <f t="shared" si="0"/>
        <v>0</v>
      </c>
      <c r="AC179" s="250" t="s">
        <v>213</v>
      </c>
      <c r="AD179" s="283">
        <v>0</v>
      </c>
      <c r="AE179" s="540">
        <v>0</v>
      </c>
      <c r="AF179" s="261">
        <v>46063</v>
      </c>
      <c r="AH179" s="338"/>
      <c r="AI179" s="339"/>
      <c r="AJ179" s="345"/>
      <c r="AK179" s="338"/>
      <c r="AL179" s="339"/>
      <c r="AM179" s="338">
        <f t="shared" si="7"/>
        <v>0</v>
      </c>
      <c r="AN179" s="340" t="s">
        <v>213</v>
      </c>
      <c r="AO179" s="282">
        <v>0</v>
      </c>
      <c r="AP179" s="540">
        <v>0</v>
      </c>
      <c r="AQ179" s="261">
        <v>46091</v>
      </c>
      <c r="AR179" s="340"/>
      <c r="AS179" s="335"/>
      <c r="AT179" s="337"/>
      <c r="AU179" s="337"/>
      <c r="AV179" s="335"/>
      <c r="AW179" s="337"/>
      <c r="AX179" s="335">
        <f t="shared" si="6"/>
        <v>0</v>
      </c>
      <c r="AY179" s="340" t="s">
        <v>213</v>
      </c>
      <c r="AZ179" s="282">
        <v>0</v>
      </c>
      <c r="BA179" s="540">
        <v>0</v>
      </c>
      <c r="BB179" s="261">
        <v>46122</v>
      </c>
      <c r="BC179" s="340"/>
      <c r="BD179" s="335"/>
      <c r="BE179" s="337"/>
      <c r="BF179" s="337"/>
      <c r="BG179" s="335"/>
      <c r="BH179" s="337"/>
      <c r="BI179" s="335">
        <f t="shared" si="3"/>
        <v>0</v>
      </c>
      <c r="BJ179" s="340"/>
      <c r="BK179" s="282">
        <v>0</v>
      </c>
      <c r="BL179" s="540">
        <v>0</v>
      </c>
      <c r="BM179" s="261">
        <v>46152</v>
      </c>
      <c r="BN179" s="340"/>
      <c r="BO179" s="335"/>
      <c r="BP179" s="337"/>
      <c r="BQ179" s="337"/>
      <c r="BR179" s="335"/>
      <c r="BS179" s="337"/>
      <c r="BT179" s="335">
        <f t="shared" si="4"/>
        <v>0</v>
      </c>
      <c r="BU179" s="340"/>
    </row>
    <row r="180" customHeight="1" spans="1:73">
      <c r="A180" s="535" t="s">
        <v>1885</v>
      </c>
      <c r="B180" s="427" t="s">
        <v>1886</v>
      </c>
      <c r="C180" s="7" t="s">
        <v>1887</v>
      </c>
      <c r="D180" s="250" t="s">
        <v>201</v>
      </c>
      <c r="E180" s="275" t="s">
        <v>202</v>
      </c>
      <c r="F180" s="275">
        <v>24</v>
      </c>
      <c r="G180" s="222" t="s">
        <v>1888</v>
      </c>
      <c r="H180" s="7" t="s">
        <v>238</v>
      </c>
      <c r="I180" s="7" t="s">
        <v>206</v>
      </c>
      <c r="J180" s="7" t="s">
        <v>1889</v>
      </c>
      <c r="K180" s="7" t="s">
        <v>1890</v>
      </c>
      <c r="L180" s="222" t="s">
        <v>1891</v>
      </c>
      <c r="M180" s="7"/>
      <c r="N180" s="54">
        <v>45705</v>
      </c>
      <c r="O180" s="461" t="s">
        <v>384</v>
      </c>
      <c r="P180" s="7" t="s">
        <v>242</v>
      </c>
      <c r="Q180" s="539">
        <v>0</v>
      </c>
      <c r="R180" s="250" t="s">
        <v>1892</v>
      </c>
      <c r="S180" s="282">
        <v>20.54</v>
      </c>
      <c r="T180" s="540">
        <v>0</v>
      </c>
      <c r="U180" s="634">
        <v>46038</v>
      </c>
      <c r="V180" s="331">
        <v>46038</v>
      </c>
      <c r="W180" s="539">
        <v>20.54</v>
      </c>
      <c r="X180" s="543" t="s">
        <v>56</v>
      </c>
      <c r="Y180" s="544"/>
      <c r="Z180" s="545"/>
      <c r="AA180" s="543"/>
      <c r="AB180" s="545">
        <f t="shared" si="0"/>
        <v>0</v>
      </c>
      <c r="AC180" s="250" t="s">
        <v>1893</v>
      </c>
      <c r="AD180" s="283">
        <v>20.54</v>
      </c>
      <c r="AE180" s="540">
        <v>0</v>
      </c>
      <c r="AF180" s="634">
        <v>46069</v>
      </c>
      <c r="AG180" s="485">
        <v>46065.3971073495</v>
      </c>
      <c r="AH180" s="335">
        <v>20.54</v>
      </c>
      <c r="AI180" s="336" t="s">
        <v>56</v>
      </c>
      <c r="AJ180" s="337"/>
      <c r="AK180" s="335"/>
      <c r="AL180" s="336"/>
      <c r="AM180" s="335">
        <f t="shared" si="7"/>
        <v>0</v>
      </c>
      <c r="AN180" s="340" t="s">
        <v>1894</v>
      </c>
      <c r="AO180" s="282">
        <v>20.54</v>
      </c>
      <c r="AP180" s="540">
        <v>0</v>
      </c>
      <c r="AQ180" s="634">
        <v>46097</v>
      </c>
      <c r="AR180" s="485">
        <v>46098.3936929861</v>
      </c>
      <c r="AS180" s="335">
        <v>20.54</v>
      </c>
      <c r="AT180" s="337" t="s">
        <v>56</v>
      </c>
      <c r="AU180" s="337"/>
      <c r="AV180" s="335"/>
      <c r="AW180" s="337"/>
      <c r="AX180" s="335">
        <f t="shared" si="6"/>
        <v>0</v>
      </c>
      <c r="AY180" s="340" t="s">
        <v>1895</v>
      </c>
      <c r="AZ180" s="282">
        <v>20.54</v>
      </c>
      <c r="BA180" s="540">
        <v>0</v>
      </c>
      <c r="BB180" s="634">
        <v>46128</v>
      </c>
      <c r="BC180" s="340" t="s">
        <v>1896</v>
      </c>
      <c r="BD180" s="335">
        <v>20.54</v>
      </c>
      <c r="BE180" s="337" t="s">
        <v>56</v>
      </c>
      <c r="BF180" s="337"/>
      <c r="BG180" s="335"/>
      <c r="BH180" s="337"/>
      <c r="BI180" s="335">
        <f t="shared" si="3"/>
        <v>0</v>
      </c>
      <c r="BJ180" s="340" t="s">
        <v>1897</v>
      </c>
      <c r="BK180" s="282">
        <v>20.54</v>
      </c>
      <c r="BL180" s="540">
        <v>0</v>
      </c>
      <c r="BM180" s="634">
        <v>46158</v>
      </c>
      <c r="BN180" s="340"/>
      <c r="BO180" s="335"/>
      <c r="BP180" s="337"/>
      <c r="BQ180" s="337"/>
      <c r="BR180" s="335"/>
      <c r="BS180" s="337"/>
      <c r="BT180" s="335">
        <f t="shared" si="4"/>
        <v>20.54</v>
      </c>
      <c r="BU180" s="340"/>
    </row>
    <row r="181" customHeight="1" spans="1:73">
      <c r="A181" s="684" t="s">
        <v>1898</v>
      </c>
      <c r="B181" s="685" t="s">
        <v>1142</v>
      </c>
      <c r="C181" s="490" t="s">
        <v>1899</v>
      </c>
      <c r="D181" s="250" t="s">
        <v>1866</v>
      </c>
      <c r="E181" s="492" t="s">
        <v>226</v>
      </c>
      <c r="F181" s="492">
        <v>24</v>
      </c>
      <c r="G181" s="494" t="s">
        <v>1144</v>
      </c>
      <c r="H181" s="490" t="s">
        <v>238</v>
      </c>
      <c r="I181" s="490" t="s">
        <v>220</v>
      </c>
      <c r="J181" s="490" t="s">
        <v>538</v>
      </c>
      <c r="K181" s="490" t="s">
        <v>1900</v>
      </c>
      <c r="L181" s="494" t="s">
        <v>1147</v>
      </c>
      <c r="M181" s="489" t="s">
        <v>1901</v>
      </c>
      <c r="N181" s="495">
        <v>45727</v>
      </c>
      <c r="O181" s="327" t="s">
        <v>384</v>
      </c>
      <c r="P181" s="490" t="s">
        <v>242</v>
      </c>
      <c r="Q181" s="539">
        <v>12</v>
      </c>
      <c r="T181" s="540">
        <v>2</v>
      </c>
      <c r="U181" s="559"/>
      <c r="V181" s="350"/>
      <c r="W181" s="545"/>
      <c r="X181" s="543"/>
      <c r="Y181" s="544"/>
      <c r="Z181" s="545"/>
      <c r="AA181" s="543"/>
      <c r="AB181" s="545">
        <f t="shared" si="0"/>
        <v>14</v>
      </c>
      <c r="AC181" s="250" t="s">
        <v>213</v>
      </c>
      <c r="AD181" s="280"/>
      <c r="AE181" s="540">
        <v>2</v>
      </c>
      <c r="AF181" s="559"/>
      <c r="AH181" s="338"/>
      <c r="AI181" s="339"/>
      <c r="AJ181" s="345"/>
      <c r="AK181" s="338"/>
      <c r="AL181" s="339"/>
      <c r="AM181" s="338">
        <f t="shared" si="7"/>
        <v>16</v>
      </c>
      <c r="AN181" s="340" t="s">
        <v>213</v>
      </c>
      <c r="AP181" s="540">
        <v>2</v>
      </c>
      <c r="AQ181" s="559"/>
      <c r="AR181" s="340"/>
      <c r="AS181" s="335"/>
      <c r="AT181" s="337"/>
      <c r="AU181" s="337"/>
      <c r="AV181" s="335"/>
      <c r="AW181" s="337"/>
      <c r="AX181" s="335">
        <f t="shared" si="6"/>
        <v>18</v>
      </c>
      <c r="AY181" s="340" t="s">
        <v>213</v>
      </c>
      <c r="BA181" s="540">
        <v>2</v>
      </c>
      <c r="BB181" s="559"/>
      <c r="BC181" s="340"/>
      <c r="BD181" s="335"/>
      <c r="BE181" s="337"/>
      <c r="BF181" s="337"/>
      <c r="BG181" s="335"/>
      <c r="BH181" s="337"/>
      <c r="BI181" s="335">
        <f t="shared" si="3"/>
        <v>20</v>
      </c>
      <c r="BJ181" s="340"/>
      <c r="BL181" s="540">
        <v>2</v>
      </c>
      <c r="BM181" s="559"/>
      <c r="BN181" s="340"/>
      <c r="BO181" s="335"/>
      <c r="BP181" s="337"/>
      <c r="BQ181" s="337"/>
      <c r="BR181" s="335"/>
      <c r="BS181" s="337"/>
      <c r="BT181" s="335">
        <f t="shared" si="4"/>
        <v>22</v>
      </c>
      <c r="BU181" s="340"/>
    </row>
    <row r="182" customHeight="1" spans="1:73">
      <c r="A182" s="535" t="s">
        <v>1902</v>
      </c>
      <c r="B182" s="305" t="s">
        <v>1903</v>
      </c>
      <c r="C182" s="7" t="s">
        <v>1904</v>
      </c>
      <c r="D182" s="250" t="s">
        <v>201</v>
      </c>
      <c r="E182" s="275" t="s">
        <v>226</v>
      </c>
      <c r="F182" s="275">
        <v>24</v>
      </c>
      <c r="G182" s="222" t="s">
        <v>1905</v>
      </c>
      <c r="H182" s="7" t="s">
        <v>238</v>
      </c>
      <c r="I182" s="7" t="s">
        <v>206</v>
      </c>
      <c r="J182" s="7" t="s">
        <v>1906</v>
      </c>
      <c r="K182" s="7" t="s">
        <v>1907</v>
      </c>
      <c r="L182" s="222" t="s">
        <v>1908</v>
      </c>
      <c r="M182" s="414" t="s">
        <v>1909</v>
      </c>
      <c r="N182" s="54">
        <v>45739</v>
      </c>
      <c r="O182" s="327" t="s">
        <v>384</v>
      </c>
      <c r="P182" s="7" t="s">
        <v>242</v>
      </c>
      <c r="Q182" s="539">
        <v>0</v>
      </c>
      <c r="R182" s="250" t="s">
        <v>1910</v>
      </c>
      <c r="S182" s="282">
        <v>20.54</v>
      </c>
      <c r="T182" s="540">
        <v>0</v>
      </c>
      <c r="U182" s="634">
        <v>46032</v>
      </c>
      <c r="V182" s="361">
        <v>46174</v>
      </c>
      <c r="W182" s="539">
        <v>20.54</v>
      </c>
      <c r="X182" s="543" t="s">
        <v>35</v>
      </c>
      <c r="Y182" s="544"/>
      <c r="Z182" s="545"/>
      <c r="AA182" s="543"/>
      <c r="AB182" s="545">
        <f t="shared" si="0"/>
        <v>0</v>
      </c>
      <c r="AC182" s="250" t="s">
        <v>1911</v>
      </c>
      <c r="AD182" s="283">
        <v>20.54</v>
      </c>
      <c r="AE182" s="540">
        <v>0</v>
      </c>
      <c r="AF182" s="634">
        <v>46063</v>
      </c>
      <c r="AG182" s="251">
        <v>46063</v>
      </c>
      <c r="AH182" s="335">
        <v>20.54</v>
      </c>
      <c r="AI182" s="336" t="s">
        <v>35</v>
      </c>
      <c r="AJ182" s="337"/>
      <c r="AK182" s="335"/>
      <c r="AL182" s="336"/>
      <c r="AM182" s="335">
        <f t="shared" si="7"/>
        <v>0</v>
      </c>
      <c r="AN182" s="340" t="s">
        <v>1912</v>
      </c>
      <c r="AO182" s="282">
        <v>20.54</v>
      </c>
      <c r="AP182" s="540">
        <v>0</v>
      </c>
      <c r="AQ182" s="634">
        <v>46091</v>
      </c>
      <c r="AR182" s="340" t="s">
        <v>1913</v>
      </c>
      <c r="AS182" s="335">
        <v>20.54</v>
      </c>
      <c r="AT182" s="337" t="s">
        <v>35</v>
      </c>
      <c r="AU182" s="337"/>
      <c r="AV182" s="335"/>
      <c r="AW182" s="337"/>
      <c r="AX182" s="335">
        <f t="shared" si="6"/>
        <v>0</v>
      </c>
      <c r="AY182" s="340" t="s">
        <v>1914</v>
      </c>
      <c r="AZ182" s="282">
        <v>20.54</v>
      </c>
      <c r="BA182" s="540">
        <v>0</v>
      </c>
      <c r="BB182" s="634">
        <v>46122</v>
      </c>
      <c r="BC182" s="340" t="s">
        <v>468</v>
      </c>
      <c r="BD182" s="335">
        <v>20.54</v>
      </c>
      <c r="BE182" s="337" t="s">
        <v>35</v>
      </c>
      <c r="BF182" s="337"/>
      <c r="BG182" s="335"/>
      <c r="BH182" s="337"/>
      <c r="BI182" s="335">
        <f t="shared" si="3"/>
        <v>0</v>
      </c>
      <c r="BJ182" s="340" t="s">
        <v>1915</v>
      </c>
      <c r="BK182" s="282">
        <v>20.54</v>
      </c>
      <c r="BL182" s="540">
        <v>0</v>
      </c>
      <c r="BM182" s="634">
        <v>46152</v>
      </c>
      <c r="BN182" s="340"/>
      <c r="BO182" s="335"/>
      <c r="BP182" s="337"/>
      <c r="BQ182" s="337"/>
      <c r="BR182" s="335"/>
      <c r="BS182" s="337"/>
      <c r="BT182" s="335">
        <f t="shared" si="4"/>
        <v>20.54</v>
      </c>
      <c r="BU182" s="340"/>
    </row>
    <row r="183" customHeight="1" spans="1:73">
      <c r="A183" s="535" t="s">
        <v>1916</v>
      </c>
      <c r="B183" s="417" t="s">
        <v>1917</v>
      </c>
      <c r="C183" s="7" t="s">
        <v>1918</v>
      </c>
      <c r="D183" s="250" t="s">
        <v>201</v>
      </c>
      <c r="E183" s="275" t="s">
        <v>226</v>
      </c>
      <c r="F183" s="275">
        <v>24</v>
      </c>
      <c r="G183" s="222" t="s">
        <v>1919</v>
      </c>
      <c r="H183" s="7" t="s">
        <v>238</v>
      </c>
      <c r="I183" s="7" t="s">
        <v>206</v>
      </c>
      <c r="J183" s="7" t="s">
        <v>1920</v>
      </c>
      <c r="K183" s="7" t="s">
        <v>1921</v>
      </c>
      <c r="L183" s="222" t="s">
        <v>1922</v>
      </c>
      <c r="M183" s="414" t="s">
        <v>1923</v>
      </c>
      <c r="N183" s="54">
        <v>45747</v>
      </c>
      <c r="O183" s="461" t="s">
        <v>210</v>
      </c>
      <c r="P183" s="7" t="s">
        <v>242</v>
      </c>
      <c r="Q183" s="539">
        <v>0</v>
      </c>
      <c r="R183" s="250" t="s">
        <v>1924</v>
      </c>
      <c r="S183" s="282">
        <v>23</v>
      </c>
      <c r="T183" s="540">
        <v>0</v>
      </c>
      <c r="U183" s="634">
        <v>46032</v>
      </c>
      <c r="V183" s="331">
        <v>46027</v>
      </c>
      <c r="W183" s="539">
        <v>23</v>
      </c>
      <c r="X183" s="543" t="s">
        <v>23</v>
      </c>
      <c r="Y183" s="544"/>
      <c r="Z183" s="545"/>
      <c r="AA183" s="543"/>
      <c r="AB183" s="545">
        <f t="shared" si="0"/>
        <v>0</v>
      </c>
      <c r="AC183" s="250" t="s">
        <v>1925</v>
      </c>
      <c r="AD183" s="283">
        <v>23</v>
      </c>
      <c r="AE183" s="540">
        <v>0</v>
      </c>
      <c r="AF183" s="634">
        <v>46063</v>
      </c>
      <c r="AG183" s="251">
        <v>46059</v>
      </c>
      <c r="AH183" s="335">
        <v>23</v>
      </c>
      <c r="AI183" s="336" t="s">
        <v>23</v>
      </c>
      <c r="AJ183" s="337"/>
      <c r="AK183" s="335"/>
      <c r="AL183" s="336"/>
      <c r="AM183" s="335">
        <f t="shared" si="7"/>
        <v>0</v>
      </c>
      <c r="AN183" s="340" t="s">
        <v>1926</v>
      </c>
      <c r="AO183" s="282">
        <v>23</v>
      </c>
      <c r="AP183" s="540">
        <v>0</v>
      </c>
      <c r="AQ183" s="634">
        <v>46091</v>
      </c>
      <c r="AR183" s="340" t="s">
        <v>522</v>
      </c>
      <c r="AS183" s="335">
        <v>23</v>
      </c>
      <c r="AT183" s="337" t="s">
        <v>23</v>
      </c>
      <c r="AU183" s="337"/>
      <c r="AV183" s="335"/>
      <c r="AW183" s="337"/>
      <c r="AX183" s="335">
        <f t="shared" si="6"/>
        <v>0</v>
      </c>
      <c r="AY183" s="340" t="s">
        <v>1927</v>
      </c>
      <c r="AZ183" s="282">
        <v>23</v>
      </c>
      <c r="BA183" s="540">
        <v>0</v>
      </c>
      <c r="BB183" s="634">
        <v>46122</v>
      </c>
      <c r="BC183" s="485">
        <v>46121.6802408333</v>
      </c>
      <c r="BD183" s="335">
        <v>23</v>
      </c>
      <c r="BE183" s="337" t="s">
        <v>56</v>
      </c>
      <c r="BF183" s="337"/>
      <c r="BG183" s="335"/>
      <c r="BH183" s="337"/>
      <c r="BI183" s="335">
        <f t="shared" si="3"/>
        <v>0</v>
      </c>
      <c r="BJ183" s="340" t="s">
        <v>1928</v>
      </c>
      <c r="BK183" s="282">
        <v>23</v>
      </c>
      <c r="BL183" s="540">
        <v>0</v>
      </c>
      <c r="BM183" s="634">
        <v>46152</v>
      </c>
      <c r="BN183" s="340" t="s">
        <v>843</v>
      </c>
      <c r="BO183" s="335">
        <v>23</v>
      </c>
      <c r="BP183" s="337" t="s">
        <v>23</v>
      </c>
      <c r="BQ183" s="337"/>
      <c r="BR183" s="335"/>
      <c r="BS183" s="337"/>
      <c r="BT183" s="335">
        <f t="shared" si="4"/>
        <v>0</v>
      </c>
      <c r="BU183" s="340"/>
    </row>
    <row r="184" customHeight="1" spans="1:73">
      <c r="A184" s="686" t="s">
        <v>1929</v>
      </c>
      <c r="B184" s="687" t="s">
        <v>1930</v>
      </c>
      <c r="C184" s="307" t="s">
        <v>1931</v>
      </c>
      <c r="D184" s="250" t="s">
        <v>201</v>
      </c>
      <c r="E184" s="466" t="s">
        <v>202</v>
      </c>
      <c r="F184" s="466">
        <v>24</v>
      </c>
      <c r="G184" s="467" t="s">
        <v>1932</v>
      </c>
      <c r="H184" s="307" t="s">
        <v>238</v>
      </c>
      <c r="I184" s="307" t="s">
        <v>206</v>
      </c>
      <c r="J184" s="307" t="s">
        <v>1933</v>
      </c>
      <c r="K184" s="307" t="s">
        <v>1934</v>
      </c>
      <c r="L184" s="467" t="s">
        <v>1935</v>
      </c>
      <c r="M184" s="498" t="s">
        <v>1936</v>
      </c>
      <c r="N184" s="468">
        <v>45749</v>
      </c>
      <c r="O184" s="327" t="s">
        <v>210</v>
      </c>
      <c r="P184" s="307" t="s">
        <v>242</v>
      </c>
      <c r="Q184" s="539">
        <v>0</v>
      </c>
      <c r="R184" s="250" t="s">
        <v>1937</v>
      </c>
      <c r="S184" s="282">
        <v>23</v>
      </c>
      <c r="T184" s="540">
        <v>0</v>
      </c>
      <c r="U184" s="634">
        <v>46032</v>
      </c>
      <c r="V184" s="331">
        <v>46044</v>
      </c>
      <c r="W184" s="539">
        <v>23</v>
      </c>
      <c r="X184" s="543" t="s">
        <v>23</v>
      </c>
      <c r="Y184" s="544"/>
      <c r="Z184" s="545"/>
      <c r="AA184" s="543"/>
      <c r="AB184" s="545">
        <f t="shared" si="0"/>
        <v>0</v>
      </c>
      <c r="AC184" s="250" t="s">
        <v>1938</v>
      </c>
      <c r="AD184" s="283">
        <v>23</v>
      </c>
      <c r="AE184" s="540">
        <v>0</v>
      </c>
      <c r="AF184" s="634">
        <v>46063</v>
      </c>
      <c r="AG184" s="485">
        <v>46074.5970872338</v>
      </c>
      <c r="AH184" s="335">
        <v>23</v>
      </c>
      <c r="AI184" s="336" t="s">
        <v>56</v>
      </c>
      <c r="AJ184" s="337"/>
      <c r="AK184" s="335"/>
      <c r="AL184" s="336"/>
      <c r="AM184" s="335">
        <f t="shared" si="7"/>
        <v>0</v>
      </c>
      <c r="AN184" s="340" t="s">
        <v>1939</v>
      </c>
      <c r="AO184" s="282">
        <v>23</v>
      </c>
      <c r="AP184" s="540">
        <v>0</v>
      </c>
      <c r="AQ184" s="634">
        <v>46091</v>
      </c>
      <c r="AR184" s="340" t="s">
        <v>1724</v>
      </c>
      <c r="AS184" s="335">
        <v>23</v>
      </c>
      <c r="AT184" s="337" t="s">
        <v>23</v>
      </c>
      <c r="AU184" s="337"/>
      <c r="AV184" s="335"/>
      <c r="AW184" s="337"/>
      <c r="AX184" s="335">
        <f t="shared" si="6"/>
        <v>0</v>
      </c>
      <c r="AY184" s="340" t="s">
        <v>1940</v>
      </c>
      <c r="AZ184" s="282">
        <v>23</v>
      </c>
      <c r="BA184" s="540">
        <v>0</v>
      </c>
      <c r="BB184" s="634">
        <v>46122</v>
      </c>
      <c r="BC184" s="340" t="s">
        <v>398</v>
      </c>
      <c r="BD184" s="335">
        <v>23</v>
      </c>
      <c r="BE184" s="337" t="s">
        <v>23</v>
      </c>
      <c r="BF184" s="337"/>
      <c r="BG184" s="335"/>
      <c r="BH184" s="337"/>
      <c r="BI184" s="335">
        <f t="shared" si="3"/>
        <v>0</v>
      </c>
      <c r="BJ184" s="340" t="s">
        <v>1941</v>
      </c>
      <c r="BK184" s="282">
        <v>23</v>
      </c>
      <c r="BL184" s="540">
        <v>0</v>
      </c>
      <c r="BM184" s="634">
        <v>46152</v>
      </c>
      <c r="BN184" s="340"/>
      <c r="BO184" s="335"/>
      <c r="BP184" s="337"/>
      <c r="BQ184" s="337"/>
      <c r="BR184" s="335"/>
      <c r="BS184" s="337"/>
      <c r="BT184" s="335">
        <f t="shared" si="4"/>
        <v>23</v>
      </c>
      <c r="BU184" s="340"/>
    </row>
    <row r="185" customHeight="1" spans="1:73">
      <c r="A185" s="535" t="s">
        <v>1942</v>
      </c>
      <c r="B185" s="417" t="s">
        <v>1943</v>
      </c>
      <c r="C185" s="7" t="s">
        <v>1944</v>
      </c>
      <c r="D185" s="250" t="s">
        <v>201</v>
      </c>
      <c r="E185" s="275" t="s">
        <v>202</v>
      </c>
      <c r="F185" s="275">
        <v>24</v>
      </c>
      <c r="G185" s="222" t="s">
        <v>1945</v>
      </c>
      <c r="H185" s="7" t="s">
        <v>238</v>
      </c>
      <c r="I185" s="7" t="s">
        <v>220</v>
      </c>
      <c r="J185" s="7" t="s">
        <v>1946</v>
      </c>
      <c r="K185" s="7" t="s">
        <v>1947</v>
      </c>
      <c r="L185" s="222" t="s">
        <v>1948</v>
      </c>
      <c r="M185" s="414" t="s">
        <v>1949</v>
      </c>
      <c r="N185" s="54">
        <v>45757</v>
      </c>
      <c r="O185" s="327" t="s">
        <v>384</v>
      </c>
      <c r="P185" s="7" t="s">
        <v>242</v>
      </c>
      <c r="Q185" s="539">
        <v>0</v>
      </c>
      <c r="R185" s="250" t="s">
        <v>1950</v>
      </c>
      <c r="S185" s="282">
        <v>20.54</v>
      </c>
      <c r="T185" s="540">
        <v>0</v>
      </c>
      <c r="U185" s="634">
        <v>46032</v>
      </c>
      <c r="V185" s="331">
        <v>46036</v>
      </c>
      <c r="W185" s="539">
        <v>20.54</v>
      </c>
      <c r="X185" s="543" t="s">
        <v>23</v>
      </c>
      <c r="Y185" s="544"/>
      <c r="Z185" s="545"/>
      <c r="AA185" s="543"/>
      <c r="AB185" s="545">
        <f t="shared" si="0"/>
        <v>0</v>
      </c>
      <c r="AC185" s="250" t="s">
        <v>1951</v>
      </c>
      <c r="AD185" s="283">
        <v>20.54</v>
      </c>
      <c r="AE185" s="540">
        <v>0</v>
      </c>
      <c r="AF185" s="634">
        <v>46063</v>
      </c>
      <c r="AG185" s="251">
        <v>46062</v>
      </c>
      <c r="AH185" s="335">
        <v>20.54</v>
      </c>
      <c r="AI185" s="336" t="s">
        <v>23</v>
      </c>
      <c r="AJ185" s="337"/>
      <c r="AK185" s="335"/>
      <c r="AL185" s="336"/>
      <c r="AM185" s="335">
        <f t="shared" si="7"/>
        <v>0</v>
      </c>
      <c r="AN185" s="340" t="s">
        <v>1952</v>
      </c>
      <c r="AO185" s="282">
        <v>20.54</v>
      </c>
      <c r="AP185" s="540">
        <v>0</v>
      </c>
      <c r="AQ185" s="634">
        <v>46091</v>
      </c>
      <c r="AR185" s="340" t="s">
        <v>1028</v>
      </c>
      <c r="AS185" s="335">
        <v>20.54</v>
      </c>
      <c r="AT185" s="337" t="s">
        <v>23</v>
      </c>
      <c r="AU185" s="337"/>
      <c r="AV185" s="335"/>
      <c r="AW185" s="337"/>
      <c r="AX185" s="335">
        <f t="shared" si="6"/>
        <v>0</v>
      </c>
      <c r="AY185" s="340" t="s">
        <v>1953</v>
      </c>
      <c r="AZ185" s="282">
        <v>20.54</v>
      </c>
      <c r="BA185" s="540">
        <v>0</v>
      </c>
      <c r="BB185" s="634">
        <v>46122</v>
      </c>
      <c r="BC185" s="340" t="s">
        <v>1954</v>
      </c>
      <c r="BD185" s="335">
        <v>20.54</v>
      </c>
      <c r="BE185" s="337" t="s">
        <v>23</v>
      </c>
      <c r="BF185" s="337"/>
      <c r="BG185" s="335"/>
      <c r="BH185" s="337"/>
      <c r="BI185" s="335">
        <f t="shared" si="3"/>
        <v>0</v>
      </c>
      <c r="BJ185" s="340" t="s">
        <v>1955</v>
      </c>
      <c r="BK185" s="282">
        <v>20.54</v>
      </c>
      <c r="BL185" s="540">
        <v>0</v>
      </c>
      <c r="BM185" s="634">
        <v>46152</v>
      </c>
      <c r="BN185" s="340"/>
      <c r="BO185" s="335"/>
      <c r="BP185" s="337"/>
      <c r="BQ185" s="337"/>
      <c r="BR185" s="335"/>
      <c r="BS185" s="337"/>
      <c r="BT185" s="335">
        <f t="shared" si="4"/>
        <v>20.54</v>
      </c>
      <c r="BU185" s="340"/>
    </row>
    <row r="186" customHeight="1" spans="1:73">
      <c r="A186" s="535" t="s">
        <v>1956</v>
      </c>
      <c r="B186" s="417" t="s">
        <v>1957</v>
      </c>
      <c r="C186" s="7" t="s">
        <v>1958</v>
      </c>
      <c r="D186" s="250" t="s">
        <v>201</v>
      </c>
      <c r="E186" s="275" t="s">
        <v>202</v>
      </c>
      <c r="F186" s="275">
        <v>24</v>
      </c>
      <c r="G186" s="222" t="s">
        <v>1959</v>
      </c>
      <c r="H186" s="7" t="s">
        <v>238</v>
      </c>
      <c r="I186" s="7" t="s">
        <v>220</v>
      </c>
      <c r="J186" s="7" t="s">
        <v>1960</v>
      </c>
      <c r="K186" s="7" t="s">
        <v>1961</v>
      </c>
      <c r="L186" s="222" t="s">
        <v>1962</v>
      </c>
      <c r="M186" s="414" t="s">
        <v>1963</v>
      </c>
      <c r="N186" s="54">
        <v>45761</v>
      </c>
      <c r="O186" s="327" t="s">
        <v>384</v>
      </c>
      <c r="P186" s="7" t="s">
        <v>242</v>
      </c>
      <c r="Q186" s="539">
        <v>0</v>
      </c>
      <c r="R186" s="250" t="s">
        <v>1964</v>
      </c>
      <c r="S186" s="282">
        <v>20.54</v>
      </c>
      <c r="T186" s="540">
        <v>0</v>
      </c>
      <c r="U186" s="634">
        <v>46032</v>
      </c>
      <c r="V186" s="542">
        <v>46048.7244598843</v>
      </c>
      <c r="W186" s="539">
        <v>20.54</v>
      </c>
      <c r="X186" s="543" t="s">
        <v>56</v>
      </c>
      <c r="Y186" s="610"/>
      <c r="Z186" s="545"/>
      <c r="AA186" s="543"/>
      <c r="AB186" s="545">
        <f t="shared" si="0"/>
        <v>0</v>
      </c>
      <c r="AC186" s="250" t="s">
        <v>1965</v>
      </c>
      <c r="AD186" s="283">
        <v>20.54</v>
      </c>
      <c r="AE186" s="540">
        <v>0</v>
      </c>
      <c r="AF186" s="634">
        <v>46063</v>
      </c>
      <c r="AG186" s="485">
        <v>46073.7649498958</v>
      </c>
      <c r="AH186" s="335">
        <v>20.54</v>
      </c>
      <c r="AI186" s="336" t="s">
        <v>56</v>
      </c>
      <c r="AJ186" s="337"/>
      <c r="AK186" s="335"/>
      <c r="AL186" s="336"/>
      <c r="AM186" s="335">
        <f t="shared" si="7"/>
        <v>0</v>
      </c>
      <c r="AN186" s="340" t="s">
        <v>1966</v>
      </c>
      <c r="AO186" s="282">
        <v>20.54</v>
      </c>
      <c r="AP186" s="540">
        <v>0</v>
      </c>
      <c r="AQ186" s="634">
        <v>46091</v>
      </c>
      <c r="AR186" s="340" t="s">
        <v>386</v>
      </c>
      <c r="AS186" s="335">
        <v>20.54</v>
      </c>
      <c r="AT186" s="337" t="s">
        <v>56</v>
      </c>
      <c r="AU186" s="337"/>
      <c r="AV186" s="335"/>
      <c r="AW186" s="337"/>
      <c r="AX186" s="335">
        <f t="shared" si="6"/>
        <v>0</v>
      </c>
      <c r="AY186" s="340" t="s">
        <v>1967</v>
      </c>
      <c r="AZ186" s="282">
        <v>20.54</v>
      </c>
      <c r="BA186" s="540">
        <v>0</v>
      </c>
      <c r="BB186" s="634">
        <v>46122</v>
      </c>
      <c r="BC186" s="340" t="s">
        <v>223</v>
      </c>
      <c r="BD186" s="335">
        <v>20.54</v>
      </c>
      <c r="BE186" s="337" t="s">
        <v>56</v>
      </c>
      <c r="BF186" s="337"/>
      <c r="BG186" s="335"/>
      <c r="BH186" s="337"/>
      <c r="BI186" s="335">
        <f t="shared" si="3"/>
        <v>0</v>
      </c>
      <c r="BJ186" s="340" t="s">
        <v>1968</v>
      </c>
      <c r="BK186" s="282">
        <v>20.54</v>
      </c>
      <c r="BL186" s="540">
        <v>0</v>
      </c>
      <c r="BM186" s="634">
        <v>46152</v>
      </c>
      <c r="BN186" s="340"/>
      <c r="BO186" s="335"/>
      <c r="BP186" s="337"/>
      <c r="BQ186" s="337"/>
      <c r="BR186" s="335"/>
      <c r="BS186" s="337"/>
      <c r="BT186" s="335">
        <f t="shared" si="4"/>
        <v>20.54</v>
      </c>
      <c r="BU186" s="340"/>
    </row>
    <row r="187" customHeight="1" spans="1:73">
      <c r="A187" s="673" t="s">
        <v>1969</v>
      </c>
      <c r="B187" s="417" t="s">
        <v>1970</v>
      </c>
      <c r="C187" s="7" t="s">
        <v>1971</v>
      </c>
      <c r="D187" s="250" t="s">
        <v>201</v>
      </c>
      <c r="E187" s="275" t="s">
        <v>226</v>
      </c>
      <c r="F187" s="275">
        <v>24</v>
      </c>
      <c r="G187" s="222" t="s">
        <v>1972</v>
      </c>
      <c r="H187" s="7" t="s">
        <v>238</v>
      </c>
      <c r="I187" s="7" t="s">
        <v>206</v>
      </c>
      <c r="J187" s="7" t="s">
        <v>1889</v>
      </c>
      <c r="K187" s="7"/>
      <c r="L187" s="222" t="s">
        <v>1973</v>
      </c>
      <c r="M187" s="7"/>
      <c r="N187" s="54">
        <v>45764</v>
      </c>
      <c r="O187" s="327" t="s">
        <v>384</v>
      </c>
      <c r="P187" s="7" t="s">
        <v>242</v>
      </c>
      <c r="Q187" s="539">
        <v>0</v>
      </c>
      <c r="S187" s="282">
        <v>20.54</v>
      </c>
      <c r="T187" s="540">
        <v>0</v>
      </c>
      <c r="U187" s="634">
        <v>46032</v>
      </c>
      <c r="V187" s="542">
        <v>46038.7795193866</v>
      </c>
      <c r="W187" s="539">
        <v>20.3</v>
      </c>
      <c r="X187" s="543" t="s">
        <v>56</v>
      </c>
      <c r="Y187" s="544"/>
      <c r="Z187" s="545"/>
      <c r="AA187" s="543"/>
      <c r="AB187" s="545">
        <f t="shared" si="0"/>
        <v>0.239999999999998</v>
      </c>
      <c r="AC187" s="250" t="s">
        <v>213</v>
      </c>
      <c r="AD187" s="283">
        <v>20.54</v>
      </c>
      <c r="AE187" s="540">
        <v>0</v>
      </c>
      <c r="AF187" s="634">
        <v>46063</v>
      </c>
      <c r="AG187" s="251">
        <v>46073</v>
      </c>
      <c r="AH187" s="335">
        <v>20.78</v>
      </c>
      <c r="AI187" s="336" t="s">
        <v>56</v>
      </c>
      <c r="AJ187" s="345"/>
      <c r="AK187" s="338"/>
      <c r="AL187" s="339"/>
      <c r="AM187" s="338">
        <f t="shared" si="7"/>
        <v>0</v>
      </c>
      <c r="AN187" s="340" t="s">
        <v>213</v>
      </c>
      <c r="AO187" s="282">
        <v>20.54</v>
      </c>
      <c r="AP187" s="540">
        <v>0</v>
      </c>
      <c r="AQ187" s="634">
        <v>46091</v>
      </c>
      <c r="AR187" s="485">
        <v>46101.4518846296</v>
      </c>
      <c r="AS187" s="335">
        <v>20.54</v>
      </c>
      <c r="AT187" s="337" t="s">
        <v>56</v>
      </c>
      <c r="AU187" s="337"/>
      <c r="AV187" s="335"/>
      <c r="AW187" s="337"/>
      <c r="AX187" s="335">
        <f t="shared" si="6"/>
        <v>0</v>
      </c>
      <c r="AY187" s="340" t="s">
        <v>213</v>
      </c>
      <c r="AZ187" s="282">
        <v>20.54</v>
      </c>
      <c r="BA187" s="540">
        <v>0</v>
      </c>
      <c r="BB187" s="634">
        <v>46122</v>
      </c>
      <c r="BC187" s="340" t="s">
        <v>770</v>
      </c>
      <c r="BD187" s="335">
        <v>20.54</v>
      </c>
      <c r="BE187" s="337" t="s">
        <v>56</v>
      </c>
      <c r="BF187" s="337"/>
      <c r="BG187" s="335"/>
      <c r="BH187" s="337"/>
      <c r="BI187" s="335">
        <f t="shared" si="3"/>
        <v>0</v>
      </c>
      <c r="BJ187" s="340"/>
      <c r="BK187" s="282">
        <v>20.54</v>
      </c>
      <c r="BL187" s="540">
        <v>0</v>
      </c>
      <c r="BM187" s="634">
        <v>46152</v>
      </c>
      <c r="BN187" s="340"/>
      <c r="BO187" s="335"/>
      <c r="BP187" s="337"/>
      <c r="BQ187" s="337"/>
      <c r="BR187" s="335"/>
      <c r="BS187" s="337"/>
      <c r="BT187" s="335">
        <f t="shared" si="4"/>
        <v>20.54</v>
      </c>
      <c r="BU187" s="340"/>
    </row>
    <row r="188" customHeight="1" spans="1:73">
      <c r="A188" s="535" t="s">
        <v>1974</v>
      </c>
      <c r="B188" s="305" t="s">
        <v>1975</v>
      </c>
      <c r="C188" s="7" t="s">
        <v>1976</v>
      </c>
      <c r="D188" s="250" t="s">
        <v>201</v>
      </c>
      <c r="E188" s="275" t="s">
        <v>226</v>
      </c>
      <c r="F188" s="275">
        <v>24</v>
      </c>
      <c r="G188" s="222" t="s">
        <v>1977</v>
      </c>
      <c r="H188" s="7" t="s">
        <v>238</v>
      </c>
      <c r="I188" s="7" t="s">
        <v>206</v>
      </c>
      <c r="J188" s="7" t="s">
        <v>1978</v>
      </c>
      <c r="K188" s="7" t="s">
        <v>1979</v>
      </c>
      <c r="L188" s="222" t="s">
        <v>1980</v>
      </c>
      <c r="M188" s="7"/>
      <c r="N188" s="54">
        <v>45772</v>
      </c>
      <c r="O188" s="461" t="s">
        <v>384</v>
      </c>
      <c r="P188" s="7" t="s">
        <v>242</v>
      </c>
      <c r="Q188" s="539">
        <v>30</v>
      </c>
      <c r="S188" s="282">
        <v>10</v>
      </c>
      <c r="T188" s="540">
        <v>0</v>
      </c>
      <c r="U188" s="559"/>
      <c r="V188" s="331">
        <v>46034</v>
      </c>
      <c r="W188" s="539">
        <v>40</v>
      </c>
      <c r="X188" s="543" t="s">
        <v>56</v>
      </c>
      <c r="Y188" s="544"/>
      <c r="Z188" s="545"/>
      <c r="AA188" s="543"/>
      <c r="AB188" s="545">
        <f t="shared" si="0"/>
        <v>0</v>
      </c>
      <c r="AC188" s="250" t="s">
        <v>213</v>
      </c>
      <c r="AD188" s="283">
        <v>10</v>
      </c>
      <c r="AE188" s="540">
        <v>0</v>
      </c>
      <c r="AF188" s="559"/>
      <c r="AH188" s="338"/>
      <c r="AI188" s="339"/>
      <c r="AJ188" s="345"/>
      <c r="AK188" s="338"/>
      <c r="AL188" s="339"/>
      <c r="AM188" s="338">
        <f t="shared" si="7"/>
        <v>10</v>
      </c>
      <c r="AN188" s="340" t="s">
        <v>213</v>
      </c>
      <c r="AO188" s="282">
        <v>10</v>
      </c>
      <c r="AP188" s="540">
        <v>0</v>
      </c>
      <c r="AQ188" s="559"/>
      <c r="AR188" s="340"/>
      <c r="AS188" s="335"/>
      <c r="AT188" s="337"/>
      <c r="AU188" s="337"/>
      <c r="AV188" s="335"/>
      <c r="AW188" s="337"/>
      <c r="AX188" s="335">
        <f t="shared" si="6"/>
        <v>20</v>
      </c>
      <c r="AY188" s="340" t="s">
        <v>213</v>
      </c>
      <c r="AZ188" s="282">
        <v>10</v>
      </c>
      <c r="BA188" s="540">
        <v>0</v>
      </c>
      <c r="BB188" s="559"/>
      <c r="BC188" s="340"/>
      <c r="BD188" s="335"/>
      <c r="BE188" s="337"/>
      <c r="BF188" s="337"/>
      <c r="BG188" s="335"/>
      <c r="BH188" s="337"/>
      <c r="BI188" s="335">
        <f t="shared" si="3"/>
        <v>30</v>
      </c>
      <c r="BJ188" s="340"/>
      <c r="BK188" s="282">
        <v>10</v>
      </c>
      <c r="BL188" s="540">
        <v>0</v>
      </c>
      <c r="BM188" s="559"/>
      <c r="BN188" s="340"/>
      <c r="BO188" s="335"/>
      <c r="BP188" s="337"/>
      <c r="BQ188" s="337"/>
      <c r="BR188" s="335"/>
      <c r="BS188" s="337"/>
      <c r="BT188" s="335">
        <f t="shared" si="4"/>
        <v>40</v>
      </c>
      <c r="BU188" s="340"/>
    </row>
    <row r="189" customHeight="1" spans="1:73">
      <c r="A189" s="688" t="s">
        <v>1981</v>
      </c>
      <c r="B189" s="687" t="s">
        <v>1982</v>
      </c>
      <c r="C189" s="307" t="s">
        <v>1983</v>
      </c>
      <c r="D189" s="250" t="s">
        <v>201</v>
      </c>
      <c r="E189" s="466" t="s">
        <v>202</v>
      </c>
      <c r="F189" s="466">
        <v>24</v>
      </c>
      <c r="G189" s="467" t="s">
        <v>1984</v>
      </c>
      <c r="H189" s="307" t="s">
        <v>238</v>
      </c>
      <c r="I189" s="307" t="s">
        <v>220</v>
      </c>
      <c r="J189" s="307" t="s">
        <v>1145</v>
      </c>
      <c r="K189" s="307"/>
      <c r="L189" s="467" t="s">
        <v>1985</v>
      </c>
      <c r="M189" s="307"/>
      <c r="N189" s="468">
        <v>45778</v>
      </c>
      <c r="O189" s="327" t="s">
        <v>232</v>
      </c>
      <c r="P189" s="307" t="s">
        <v>242</v>
      </c>
      <c r="Q189" s="539">
        <v>-0.75</v>
      </c>
      <c r="S189" s="282">
        <v>18</v>
      </c>
      <c r="T189" s="540">
        <v>0</v>
      </c>
      <c r="U189" s="634">
        <v>46044</v>
      </c>
      <c r="V189" s="331">
        <v>46045</v>
      </c>
      <c r="W189" s="539">
        <v>17.25</v>
      </c>
      <c r="X189" s="543" t="s">
        <v>56</v>
      </c>
      <c r="Y189" s="544"/>
      <c r="Z189" s="545"/>
      <c r="AA189" s="543"/>
      <c r="AB189" s="545">
        <f t="shared" si="0"/>
        <v>0</v>
      </c>
      <c r="AC189" s="250" t="s">
        <v>213</v>
      </c>
      <c r="AD189" s="283">
        <v>17.25</v>
      </c>
      <c r="AE189" s="540">
        <v>0</v>
      </c>
      <c r="AF189" s="634">
        <v>46071</v>
      </c>
      <c r="AG189" s="251">
        <v>46076</v>
      </c>
      <c r="AH189" s="335">
        <v>18</v>
      </c>
      <c r="AI189" s="336" t="s">
        <v>35</v>
      </c>
      <c r="AJ189" s="345"/>
      <c r="AK189" s="338"/>
      <c r="AL189" s="339"/>
      <c r="AM189" s="338">
        <f t="shared" si="7"/>
        <v>-0.75</v>
      </c>
      <c r="AN189" s="340" t="s">
        <v>213</v>
      </c>
      <c r="AO189" s="282">
        <v>17.25</v>
      </c>
      <c r="AP189" s="540">
        <v>0</v>
      </c>
      <c r="AQ189" s="634">
        <v>46099</v>
      </c>
      <c r="AR189" s="485">
        <v>46095.4298890394</v>
      </c>
      <c r="AS189" s="335">
        <v>16.5</v>
      </c>
      <c r="AT189" s="337" t="s">
        <v>56</v>
      </c>
      <c r="AU189" s="337"/>
      <c r="AV189" s="335"/>
      <c r="AW189" s="337"/>
      <c r="AX189" s="335">
        <f t="shared" si="6"/>
        <v>0</v>
      </c>
      <c r="AY189" s="340" t="s">
        <v>213</v>
      </c>
      <c r="AZ189" s="282">
        <v>17.25</v>
      </c>
      <c r="BA189" s="540">
        <v>0</v>
      </c>
      <c r="BB189" s="634">
        <v>46130</v>
      </c>
      <c r="BC189" s="485">
        <v>46121.6645909375</v>
      </c>
      <c r="BD189" s="335">
        <v>17.25</v>
      </c>
      <c r="BE189" s="337" t="s">
        <v>56</v>
      </c>
      <c r="BF189" s="337"/>
      <c r="BG189" s="335"/>
      <c r="BH189" s="337"/>
      <c r="BI189" s="335">
        <f t="shared" si="3"/>
        <v>0</v>
      </c>
      <c r="BJ189" s="340"/>
      <c r="BK189" s="282">
        <v>17.25</v>
      </c>
      <c r="BL189" s="540">
        <v>0</v>
      </c>
      <c r="BM189" s="634">
        <v>46160</v>
      </c>
      <c r="BN189" s="340"/>
      <c r="BO189" s="335"/>
      <c r="BP189" s="337"/>
      <c r="BQ189" s="337"/>
      <c r="BR189" s="335"/>
      <c r="BS189" s="337"/>
      <c r="BT189" s="335">
        <f t="shared" si="4"/>
        <v>17.25</v>
      </c>
      <c r="BU189" s="340"/>
    </row>
    <row r="190" customHeight="1" spans="1:73">
      <c r="A190" s="689" t="s">
        <v>1986</v>
      </c>
      <c r="B190" s="417" t="s">
        <v>1987</v>
      </c>
      <c r="C190" s="7" t="s">
        <v>1988</v>
      </c>
      <c r="D190" s="250" t="s">
        <v>201</v>
      </c>
      <c r="E190" s="275" t="s">
        <v>202</v>
      </c>
      <c r="F190" s="275">
        <v>24</v>
      </c>
      <c r="G190" s="222" t="s">
        <v>1989</v>
      </c>
      <c r="H190" s="7" t="s">
        <v>238</v>
      </c>
      <c r="I190" s="7" t="s">
        <v>220</v>
      </c>
      <c r="J190" s="7" t="s">
        <v>879</v>
      </c>
      <c r="K190" s="7" t="s">
        <v>1990</v>
      </c>
      <c r="L190" s="222" t="s">
        <v>1991</v>
      </c>
      <c r="M190" s="7"/>
      <c r="N190" s="54">
        <v>45778</v>
      </c>
      <c r="O190" s="327" t="s">
        <v>384</v>
      </c>
      <c r="P190" s="7" t="s">
        <v>242</v>
      </c>
      <c r="Q190" s="539">
        <v>0</v>
      </c>
      <c r="R190" s="250" t="s">
        <v>1992</v>
      </c>
      <c r="S190" s="282">
        <v>20.54</v>
      </c>
      <c r="T190" s="540">
        <v>0</v>
      </c>
      <c r="U190" s="634">
        <v>46032</v>
      </c>
      <c r="V190" s="331">
        <v>46039</v>
      </c>
      <c r="W190" s="539">
        <v>20.54</v>
      </c>
      <c r="X190" s="543" t="s">
        <v>35</v>
      </c>
      <c r="Y190" s="544"/>
      <c r="Z190" s="545"/>
      <c r="AA190" s="543"/>
      <c r="AB190" s="545">
        <f t="shared" si="0"/>
        <v>0</v>
      </c>
      <c r="AC190" s="250" t="s">
        <v>1993</v>
      </c>
      <c r="AD190" s="283">
        <v>20.54</v>
      </c>
      <c r="AE190" s="540">
        <v>0</v>
      </c>
      <c r="AF190" s="634">
        <v>46063</v>
      </c>
      <c r="AG190" s="251">
        <v>46077</v>
      </c>
      <c r="AH190" s="335">
        <v>20.54</v>
      </c>
      <c r="AI190" s="336" t="s">
        <v>56</v>
      </c>
      <c r="AJ190" s="337"/>
      <c r="AK190" s="335"/>
      <c r="AL190" s="336"/>
      <c r="AM190" s="335">
        <f t="shared" si="7"/>
        <v>0</v>
      </c>
      <c r="AN190" s="340" t="s">
        <v>1994</v>
      </c>
      <c r="AO190" s="282">
        <f>20.54+22.5</f>
        <v>43.04</v>
      </c>
      <c r="AP190" s="540">
        <v>0</v>
      </c>
      <c r="AQ190" s="634">
        <v>46091</v>
      </c>
      <c r="AR190" s="340" t="s">
        <v>1995</v>
      </c>
      <c r="AS190" s="335">
        <f>20+20.54</f>
        <v>40.54</v>
      </c>
      <c r="AT190" s="337" t="s">
        <v>35</v>
      </c>
      <c r="AU190" s="337"/>
      <c r="AV190" s="335"/>
      <c r="AW190" s="337"/>
      <c r="AX190" s="335">
        <f t="shared" si="6"/>
        <v>2.5</v>
      </c>
      <c r="AY190" s="340" t="s">
        <v>213</v>
      </c>
      <c r="AZ190" s="282">
        <f>20.54+22.5</f>
        <v>43.04</v>
      </c>
      <c r="BA190" s="540">
        <v>0</v>
      </c>
      <c r="BB190" s="634">
        <v>46122</v>
      </c>
      <c r="BC190" s="340" t="s">
        <v>321</v>
      </c>
      <c r="BD190" s="335">
        <v>20.54</v>
      </c>
      <c r="BE190" s="337" t="s">
        <v>35</v>
      </c>
      <c r="BF190" s="337"/>
      <c r="BG190" s="335"/>
      <c r="BH190" s="337"/>
      <c r="BI190" s="335">
        <f t="shared" si="3"/>
        <v>25</v>
      </c>
      <c r="BJ190" s="340"/>
      <c r="BK190" s="282">
        <f>20.54</f>
        <v>20.54</v>
      </c>
      <c r="BL190" s="540">
        <v>0</v>
      </c>
      <c r="BM190" s="634">
        <v>46152</v>
      </c>
      <c r="BN190" s="340" t="s">
        <v>797</v>
      </c>
      <c r="BO190" s="335">
        <v>25</v>
      </c>
      <c r="BP190" s="337" t="s">
        <v>35</v>
      </c>
      <c r="BQ190" s="337"/>
      <c r="BR190" s="335"/>
      <c r="BS190" s="337"/>
      <c r="BT190" s="335">
        <f t="shared" si="4"/>
        <v>20.54</v>
      </c>
      <c r="BU190" s="340"/>
    </row>
    <row r="191" customHeight="1" spans="1:73">
      <c r="A191" s="673" t="s">
        <v>1996</v>
      </c>
      <c r="B191" s="417" t="s">
        <v>1997</v>
      </c>
      <c r="C191" s="7" t="s">
        <v>1998</v>
      </c>
      <c r="D191" s="250" t="s">
        <v>201</v>
      </c>
      <c r="E191" s="275" t="s">
        <v>226</v>
      </c>
      <c r="F191" s="275">
        <v>24</v>
      </c>
      <c r="G191" s="222" t="s">
        <v>1999</v>
      </c>
      <c r="H191" s="7" t="s">
        <v>238</v>
      </c>
      <c r="I191" s="7" t="s">
        <v>206</v>
      </c>
      <c r="J191" s="7" t="s">
        <v>1430</v>
      </c>
      <c r="K191" s="7"/>
      <c r="L191" s="222" t="s">
        <v>2000</v>
      </c>
      <c r="M191" s="7"/>
      <c r="N191" s="54">
        <v>45778</v>
      </c>
      <c r="O191" s="327" t="s">
        <v>232</v>
      </c>
      <c r="P191" s="7" t="s">
        <v>242</v>
      </c>
      <c r="Q191" s="539">
        <v>0</v>
      </c>
      <c r="S191" s="282">
        <v>17.25</v>
      </c>
      <c r="T191" s="540">
        <v>0</v>
      </c>
      <c r="U191" s="634">
        <v>46032</v>
      </c>
      <c r="V191" s="331">
        <v>46024</v>
      </c>
      <c r="W191" s="539">
        <v>17.25</v>
      </c>
      <c r="X191" s="543" t="s">
        <v>56</v>
      </c>
      <c r="Y191" s="544"/>
      <c r="Z191" s="545"/>
      <c r="AA191" s="543"/>
      <c r="AB191" s="545">
        <f t="shared" si="0"/>
        <v>0</v>
      </c>
      <c r="AC191" s="250" t="s">
        <v>213</v>
      </c>
      <c r="AD191" s="283">
        <v>17.25</v>
      </c>
      <c r="AE191" s="540">
        <v>0</v>
      </c>
      <c r="AF191" s="634">
        <v>46063</v>
      </c>
      <c r="AG191" s="251">
        <v>46056</v>
      </c>
      <c r="AH191" s="335">
        <v>17.25</v>
      </c>
      <c r="AI191" s="336" t="s">
        <v>56</v>
      </c>
      <c r="AJ191" s="345"/>
      <c r="AK191" s="338"/>
      <c r="AL191" s="339"/>
      <c r="AM191" s="338">
        <f t="shared" si="7"/>
        <v>0</v>
      </c>
      <c r="AN191" s="340" t="s">
        <v>213</v>
      </c>
      <c r="AO191" s="282">
        <v>17.25</v>
      </c>
      <c r="AP191" s="540">
        <v>0</v>
      </c>
      <c r="AQ191" s="634">
        <v>46091</v>
      </c>
      <c r="AR191" s="340" t="s">
        <v>2001</v>
      </c>
      <c r="AS191" s="335">
        <v>17.25</v>
      </c>
      <c r="AT191" s="337" t="s">
        <v>56</v>
      </c>
      <c r="AU191" s="337"/>
      <c r="AV191" s="335"/>
      <c r="AW191" s="337"/>
      <c r="AX191" s="335">
        <f t="shared" si="6"/>
        <v>0</v>
      </c>
      <c r="AY191" s="340" t="s">
        <v>213</v>
      </c>
      <c r="AZ191" s="282">
        <v>17.25</v>
      </c>
      <c r="BA191" s="540">
        <v>0</v>
      </c>
      <c r="BB191" s="634">
        <v>46122</v>
      </c>
      <c r="BC191" s="485">
        <v>46114.6967105903</v>
      </c>
      <c r="BD191" s="335">
        <v>17.25</v>
      </c>
      <c r="BE191" s="337" t="s">
        <v>56</v>
      </c>
      <c r="BF191" s="337"/>
      <c r="BG191" s="335"/>
      <c r="BH191" s="337"/>
      <c r="BI191" s="335">
        <f t="shared" si="3"/>
        <v>0</v>
      </c>
      <c r="BJ191" s="340"/>
      <c r="BK191" s="282">
        <v>17.25</v>
      </c>
      <c r="BL191" s="540">
        <v>0</v>
      </c>
      <c r="BM191" s="634">
        <v>46152</v>
      </c>
      <c r="BN191" s="340" t="s">
        <v>770</v>
      </c>
      <c r="BO191" s="335">
        <v>17.25</v>
      </c>
      <c r="BP191" s="337" t="s">
        <v>56</v>
      </c>
      <c r="BQ191" s="337"/>
      <c r="BR191" s="335"/>
      <c r="BS191" s="337"/>
      <c r="BT191" s="335">
        <f t="shared" si="4"/>
        <v>0</v>
      </c>
      <c r="BU191" s="340"/>
    </row>
    <row r="192" customHeight="1" spans="1:73">
      <c r="A192" s="535" t="s">
        <v>2002</v>
      </c>
      <c r="B192" s="417" t="s">
        <v>2003</v>
      </c>
      <c r="C192" s="7" t="s">
        <v>2004</v>
      </c>
      <c r="D192" s="250" t="s">
        <v>201</v>
      </c>
      <c r="E192" s="275" t="s">
        <v>202</v>
      </c>
      <c r="F192" s="275">
        <v>24</v>
      </c>
      <c r="G192" s="222" t="s">
        <v>2005</v>
      </c>
      <c r="H192" s="7" t="s">
        <v>238</v>
      </c>
      <c r="I192" s="7" t="s">
        <v>206</v>
      </c>
      <c r="J192" s="7" t="s">
        <v>1521</v>
      </c>
      <c r="K192" s="7" t="s">
        <v>2006</v>
      </c>
      <c r="L192" s="222" t="s">
        <v>2007</v>
      </c>
      <c r="M192" s="7"/>
      <c r="N192" s="54">
        <v>45783</v>
      </c>
      <c r="O192" s="461" t="s">
        <v>384</v>
      </c>
      <c r="P192" s="7" t="s">
        <v>242</v>
      </c>
      <c r="Q192" s="539">
        <v>0</v>
      </c>
      <c r="R192" s="250" t="s">
        <v>2008</v>
      </c>
      <c r="S192" s="282">
        <v>20.54</v>
      </c>
      <c r="T192" s="540">
        <v>0</v>
      </c>
      <c r="U192" s="559"/>
      <c r="V192" s="331">
        <v>46030</v>
      </c>
      <c r="W192" s="539">
        <v>20.54</v>
      </c>
      <c r="X192" s="543" t="s">
        <v>56</v>
      </c>
      <c r="Y192" s="544"/>
      <c r="Z192" s="545"/>
      <c r="AA192" s="543"/>
      <c r="AB192" s="545">
        <f t="shared" si="0"/>
        <v>0</v>
      </c>
      <c r="AC192" s="250" t="s">
        <v>2009</v>
      </c>
      <c r="AD192" s="283">
        <v>20.54</v>
      </c>
      <c r="AE192" s="540">
        <v>0</v>
      </c>
      <c r="AF192" s="261">
        <v>46063</v>
      </c>
      <c r="AG192" s="251">
        <v>46056</v>
      </c>
      <c r="AH192" s="335">
        <v>20.54</v>
      </c>
      <c r="AI192" s="336" t="s">
        <v>56</v>
      </c>
      <c r="AJ192" s="337"/>
      <c r="AK192" s="335"/>
      <c r="AL192" s="336"/>
      <c r="AM192" s="335">
        <f t="shared" si="7"/>
        <v>0</v>
      </c>
      <c r="AN192" s="340" t="s">
        <v>2010</v>
      </c>
      <c r="AO192" s="282">
        <v>20.54</v>
      </c>
      <c r="AP192" s="540">
        <v>0</v>
      </c>
      <c r="AQ192" s="261">
        <v>46091</v>
      </c>
      <c r="AR192" s="485">
        <v>46085.8106137732</v>
      </c>
      <c r="AS192" s="335">
        <v>20.54</v>
      </c>
      <c r="AT192" s="337" t="s">
        <v>56</v>
      </c>
      <c r="AU192" s="337"/>
      <c r="AV192" s="335"/>
      <c r="AW192" s="337"/>
      <c r="AX192" s="335">
        <f t="shared" si="6"/>
        <v>0</v>
      </c>
      <c r="AY192" s="340" t="s">
        <v>2011</v>
      </c>
      <c r="AZ192" s="282">
        <v>20.54</v>
      </c>
      <c r="BA192" s="540">
        <v>0</v>
      </c>
      <c r="BB192" s="261">
        <v>46122</v>
      </c>
      <c r="BC192" s="485">
        <v>46116.5015113657</v>
      </c>
      <c r="BD192" s="335">
        <v>20.54</v>
      </c>
      <c r="BE192" s="337" t="s">
        <v>56</v>
      </c>
      <c r="BF192" s="337"/>
      <c r="BG192" s="335"/>
      <c r="BH192" s="337"/>
      <c r="BI192" s="335">
        <f t="shared" si="3"/>
        <v>0</v>
      </c>
      <c r="BJ192" s="340" t="s">
        <v>2012</v>
      </c>
      <c r="BK192" s="282">
        <v>20.54</v>
      </c>
      <c r="BL192" s="540">
        <v>0</v>
      </c>
      <c r="BM192" s="261">
        <v>46152</v>
      </c>
      <c r="BN192" s="340" t="s">
        <v>843</v>
      </c>
      <c r="BO192" s="335">
        <v>20.54</v>
      </c>
      <c r="BP192" s="337" t="s">
        <v>56</v>
      </c>
      <c r="BQ192" s="337"/>
      <c r="BR192" s="335"/>
      <c r="BS192" s="337"/>
      <c r="BT192" s="335">
        <f t="shared" si="4"/>
        <v>0</v>
      </c>
      <c r="BU192" s="340"/>
    </row>
    <row r="193" customHeight="1" spans="1:73">
      <c r="A193" s="686" t="s">
        <v>2013</v>
      </c>
      <c r="B193" s="683" t="s">
        <v>2014</v>
      </c>
      <c r="C193" s="307" t="s">
        <v>2015</v>
      </c>
      <c r="D193" s="250" t="s">
        <v>201</v>
      </c>
      <c r="E193" s="466" t="s">
        <v>226</v>
      </c>
      <c r="F193" s="466">
        <v>24</v>
      </c>
      <c r="G193" s="467" t="s">
        <v>2016</v>
      </c>
      <c r="H193" s="307" t="s">
        <v>238</v>
      </c>
      <c r="I193" s="307" t="s">
        <v>220</v>
      </c>
      <c r="J193" s="307" t="s">
        <v>1430</v>
      </c>
      <c r="K193" s="307" t="s">
        <v>2017</v>
      </c>
      <c r="L193" s="467" t="s">
        <v>2018</v>
      </c>
      <c r="M193" s="307"/>
      <c r="N193" s="468">
        <v>45812</v>
      </c>
      <c r="O193" s="327" t="s">
        <v>210</v>
      </c>
      <c r="P193" s="307" t="s">
        <v>242</v>
      </c>
      <c r="Q193" s="539">
        <v>0</v>
      </c>
      <c r="R193" s="250" t="s">
        <v>2019</v>
      </c>
      <c r="S193" s="282">
        <v>23</v>
      </c>
      <c r="T193" s="540">
        <v>0</v>
      </c>
      <c r="U193" s="634">
        <v>46032</v>
      </c>
      <c r="V193" s="331">
        <v>46027</v>
      </c>
      <c r="W193" s="539">
        <v>23</v>
      </c>
      <c r="X193" s="543" t="s">
        <v>56</v>
      </c>
      <c r="Y193" s="544"/>
      <c r="Z193" s="545"/>
      <c r="AA193" s="543"/>
      <c r="AB193" s="545">
        <f t="shared" si="0"/>
        <v>0</v>
      </c>
      <c r="AC193" s="250" t="s">
        <v>2020</v>
      </c>
      <c r="AD193" s="283">
        <v>23</v>
      </c>
      <c r="AE193" s="540">
        <v>0</v>
      </c>
      <c r="AF193" s="634">
        <v>46063</v>
      </c>
      <c r="AG193" s="485">
        <v>46058.6365434375</v>
      </c>
      <c r="AH193" s="335">
        <v>23</v>
      </c>
      <c r="AI193" s="336" t="s">
        <v>56</v>
      </c>
      <c r="AJ193" s="337"/>
      <c r="AK193" s="335"/>
      <c r="AL193" s="336"/>
      <c r="AM193" s="335">
        <f t="shared" si="7"/>
        <v>0</v>
      </c>
      <c r="AN193" s="340" t="s">
        <v>2021</v>
      </c>
      <c r="AO193" s="282">
        <v>23</v>
      </c>
      <c r="AP193" s="540">
        <v>0</v>
      </c>
      <c r="AQ193" s="634">
        <v>46091</v>
      </c>
      <c r="AR193" s="485">
        <v>46086.6802826042</v>
      </c>
      <c r="AS193" s="335">
        <v>23</v>
      </c>
      <c r="AT193" s="337" t="s">
        <v>56</v>
      </c>
      <c r="AU193" s="337"/>
      <c r="AV193" s="335"/>
      <c r="AW193" s="337"/>
      <c r="AX193" s="335">
        <f t="shared" si="6"/>
        <v>0</v>
      </c>
      <c r="AY193" s="340" t="s">
        <v>2022</v>
      </c>
      <c r="AZ193" s="282">
        <v>23</v>
      </c>
      <c r="BA193" s="540">
        <v>0</v>
      </c>
      <c r="BB193" s="634">
        <v>46122</v>
      </c>
      <c r="BC193" s="485">
        <v>46118.6771788657</v>
      </c>
      <c r="BD193" s="335">
        <v>23</v>
      </c>
      <c r="BE193" s="337" t="s">
        <v>56</v>
      </c>
      <c r="BF193" s="337"/>
      <c r="BG193" s="335"/>
      <c r="BH193" s="337"/>
      <c r="BI193" s="335">
        <f t="shared" si="3"/>
        <v>0</v>
      </c>
      <c r="BJ193" s="340" t="s">
        <v>2023</v>
      </c>
      <c r="BK193" s="282">
        <v>23</v>
      </c>
      <c r="BL193" s="540">
        <v>0</v>
      </c>
      <c r="BM193" s="634">
        <v>46152</v>
      </c>
      <c r="BN193" s="340" t="s">
        <v>843</v>
      </c>
      <c r="BO193" s="335">
        <v>23</v>
      </c>
      <c r="BP193" s="337" t="s">
        <v>56</v>
      </c>
      <c r="BQ193" s="337"/>
      <c r="BR193" s="335"/>
      <c r="BS193" s="337"/>
      <c r="BT193" s="335">
        <f t="shared" si="4"/>
        <v>0</v>
      </c>
      <c r="BU193" s="340"/>
    </row>
    <row r="194" customHeight="1" spans="1:73">
      <c r="A194" s="535" t="s">
        <v>2024</v>
      </c>
      <c r="B194" s="298" t="s">
        <v>2025</v>
      </c>
      <c r="C194" s="7" t="s">
        <v>2026</v>
      </c>
      <c r="D194" s="250" t="s">
        <v>251</v>
      </c>
      <c r="E194" s="275" t="s">
        <v>226</v>
      </c>
      <c r="F194" s="275">
        <v>24</v>
      </c>
      <c r="G194" s="222" t="s">
        <v>2027</v>
      </c>
      <c r="H194" s="7" t="s">
        <v>238</v>
      </c>
      <c r="I194" s="7" t="s">
        <v>220</v>
      </c>
      <c r="J194" s="7" t="s">
        <v>647</v>
      </c>
      <c r="K194" s="7" t="s">
        <v>2028</v>
      </c>
      <c r="L194" s="222" t="s">
        <v>2029</v>
      </c>
      <c r="M194" s="7"/>
      <c r="N194" s="54">
        <v>45813</v>
      </c>
      <c r="O194" s="327" t="s">
        <v>384</v>
      </c>
      <c r="P194" s="7" t="s">
        <v>242</v>
      </c>
      <c r="Q194" s="539">
        <v>-23</v>
      </c>
      <c r="T194" s="540">
        <v>0</v>
      </c>
      <c r="U194" s="559"/>
      <c r="V194" s="350"/>
      <c r="W194" s="545"/>
      <c r="X194" s="543"/>
      <c r="Y194" s="544"/>
      <c r="Z194" s="545"/>
      <c r="AA194" s="543"/>
      <c r="AB194" s="545">
        <f t="shared" si="0"/>
        <v>-23</v>
      </c>
      <c r="AC194" s="250" t="s">
        <v>213</v>
      </c>
      <c r="AD194" s="280"/>
      <c r="AE194" s="540">
        <v>0</v>
      </c>
      <c r="AF194" s="559"/>
      <c r="AH194" s="338"/>
      <c r="AI194" s="339"/>
      <c r="AJ194" s="345"/>
      <c r="AK194" s="338"/>
      <c r="AL194" s="339"/>
      <c r="AM194" s="338">
        <f t="shared" si="7"/>
        <v>-23</v>
      </c>
      <c r="AN194" s="340" t="s">
        <v>213</v>
      </c>
      <c r="AP194" s="540">
        <v>0</v>
      </c>
      <c r="AQ194" s="559"/>
      <c r="AR194" s="340"/>
      <c r="AS194" s="335"/>
      <c r="AT194" s="337"/>
      <c r="AU194" s="337"/>
      <c r="AV194" s="335"/>
      <c r="AW194" s="337"/>
      <c r="AX194" s="335">
        <f t="shared" si="6"/>
        <v>-23</v>
      </c>
      <c r="AY194" s="340" t="s">
        <v>213</v>
      </c>
      <c r="BA194" s="540">
        <v>0</v>
      </c>
      <c r="BB194" s="559"/>
      <c r="BC194" s="340"/>
      <c r="BD194" s="335"/>
      <c r="BE194" s="337"/>
      <c r="BF194" s="337"/>
      <c r="BG194" s="335"/>
      <c r="BH194" s="337"/>
      <c r="BI194" s="335">
        <f t="shared" si="3"/>
        <v>-23</v>
      </c>
      <c r="BJ194" s="340"/>
      <c r="BL194" s="540">
        <v>0</v>
      </c>
      <c r="BM194" s="559"/>
      <c r="BN194" s="340"/>
      <c r="BO194" s="335"/>
      <c r="BP194" s="337"/>
      <c r="BQ194" s="337"/>
      <c r="BR194" s="335"/>
      <c r="BS194" s="337"/>
      <c r="BT194" s="335">
        <f t="shared" si="4"/>
        <v>-23</v>
      </c>
      <c r="BU194" s="340"/>
    </row>
    <row r="195" customHeight="1" spans="1:73">
      <c r="A195" s="535" t="s">
        <v>2030</v>
      </c>
      <c r="B195" s="7" t="s">
        <v>2031</v>
      </c>
      <c r="C195" s="7" t="s">
        <v>2032</v>
      </c>
      <c r="D195" s="250" t="s">
        <v>1704</v>
      </c>
      <c r="E195" s="275" t="s">
        <v>202</v>
      </c>
      <c r="F195" s="275">
        <v>24</v>
      </c>
      <c r="G195" s="222" t="s">
        <v>2033</v>
      </c>
      <c r="H195" s="7" t="s">
        <v>238</v>
      </c>
      <c r="I195" s="7" t="s">
        <v>220</v>
      </c>
      <c r="J195" s="7" t="s">
        <v>2034</v>
      </c>
      <c r="K195" s="7" t="s">
        <v>2035</v>
      </c>
      <c r="L195" s="222" t="s">
        <v>2036</v>
      </c>
      <c r="M195" s="414" t="s">
        <v>2037</v>
      </c>
      <c r="N195" s="54">
        <v>45813</v>
      </c>
      <c r="O195" s="327" t="s">
        <v>384</v>
      </c>
      <c r="P195" s="7" t="s">
        <v>242</v>
      </c>
      <c r="Q195" s="539">
        <v>70.58</v>
      </c>
      <c r="S195" s="250">
        <v>10</v>
      </c>
      <c r="T195" s="540">
        <v>0</v>
      </c>
      <c r="U195" s="559"/>
      <c r="V195" s="350"/>
      <c r="W195" s="545"/>
      <c r="X195" s="543"/>
      <c r="Y195" s="544"/>
      <c r="Z195" s="545"/>
      <c r="AA195" s="543"/>
      <c r="AB195" s="545">
        <f t="shared" si="0"/>
        <v>80.58</v>
      </c>
      <c r="AC195" s="250" t="s">
        <v>213</v>
      </c>
      <c r="AD195" s="287">
        <v>10</v>
      </c>
      <c r="AE195" s="540">
        <v>0</v>
      </c>
      <c r="AF195" s="559"/>
      <c r="AH195" s="338"/>
      <c r="AI195" s="339"/>
      <c r="AJ195" s="345"/>
      <c r="AK195" s="338"/>
      <c r="AL195" s="339"/>
      <c r="AM195" s="338">
        <f t="shared" si="7"/>
        <v>90.58</v>
      </c>
      <c r="AN195" s="340" t="s">
        <v>213</v>
      </c>
      <c r="AO195" s="250">
        <v>0</v>
      </c>
      <c r="AP195" s="540">
        <v>0</v>
      </c>
      <c r="AQ195" s="559"/>
      <c r="AR195" s="340"/>
      <c r="AS195" s="335"/>
      <c r="AT195" s="337"/>
      <c r="AU195" s="337"/>
      <c r="AV195" s="335"/>
      <c r="AW195" s="337"/>
      <c r="AX195" s="335">
        <f t="shared" si="6"/>
        <v>90.58</v>
      </c>
      <c r="AY195" s="340" t="s">
        <v>213</v>
      </c>
      <c r="AZ195" s="250">
        <v>0</v>
      </c>
      <c r="BA195" s="540">
        <v>0</v>
      </c>
      <c r="BB195" s="559"/>
      <c r="BC195" s="340"/>
      <c r="BD195" s="335"/>
      <c r="BE195" s="337"/>
      <c r="BF195" s="337"/>
      <c r="BG195" s="335"/>
      <c r="BH195" s="337"/>
      <c r="BI195" s="335">
        <f t="shared" si="3"/>
        <v>90.58</v>
      </c>
      <c r="BJ195" s="340"/>
      <c r="BK195" s="250">
        <v>0</v>
      </c>
      <c r="BL195" s="540">
        <v>0</v>
      </c>
      <c r="BM195" s="559"/>
      <c r="BN195" s="340"/>
      <c r="BO195" s="335"/>
      <c r="BP195" s="337"/>
      <c r="BQ195" s="337"/>
      <c r="BR195" s="335"/>
      <c r="BS195" s="337"/>
      <c r="BT195" s="335">
        <f t="shared" si="4"/>
        <v>90.58</v>
      </c>
      <c r="BU195" s="340"/>
    </row>
    <row r="196" customHeight="1" spans="1:73">
      <c r="A196" s="535" t="s">
        <v>2038</v>
      </c>
      <c r="B196" s="305" t="s">
        <v>2039</v>
      </c>
      <c r="C196" s="7" t="s">
        <v>2040</v>
      </c>
      <c r="D196" s="250" t="s">
        <v>201</v>
      </c>
      <c r="E196" s="275" t="s">
        <v>226</v>
      </c>
      <c r="F196" s="275">
        <v>24</v>
      </c>
      <c r="G196" s="222" t="s">
        <v>2041</v>
      </c>
      <c r="H196" s="7" t="s">
        <v>238</v>
      </c>
      <c r="I196" s="7" t="s">
        <v>220</v>
      </c>
      <c r="J196" s="7" t="s">
        <v>1145</v>
      </c>
      <c r="K196" s="7" t="s">
        <v>2042</v>
      </c>
      <c r="L196" s="222" t="s">
        <v>2043</v>
      </c>
      <c r="M196" s="7"/>
      <c r="N196" s="54">
        <v>45815</v>
      </c>
      <c r="O196" s="327" t="s">
        <v>384</v>
      </c>
      <c r="P196" s="7" t="s">
        <v>242</v>
      </c>
      <c r="Q196" s="539">
        <v>0</v>
      </c>
      <c r="R196" s="250" t="s">
        <v>2044</v>
      </c>
      <c r="S196" s="282">
        <v>20.54</v>
      </c>
      <c r="T196" s="540">
        <v>0</v>
      </c>
      <c r="U196" s="634">
        <v>46032</v>
      </c>
      <c r="V196" s="331">
        <v>46031</v>
      </c>
      <c r="W196" s="539">
        <v>20.54</v>
      </c>
      <c r="X196" s="543" t="s">
        <v>35</v>
      </c>
      <c r="Y196" s="544"/>
      <c r="Z196" s="545"/>
      <c r="AA196" s="543"/>
      <c r="AB196" s="545">
        <f t="shared" si="0"/>
        <v>0</v>
      </c>
      <c r="AC196" s="250" t="s">
        <v>2045</v>
      </c>
      <c r="AD196" s="283">
        <v>20.54</v>
      </c>
      <c r="AE196" s="540">
        <v>0</v>
      </c>
      <c r="AF196" s="634">
        <v>46063</v>
      </c>
      <c r="AG196" s="251">
        <v>46072</v>
      </c>
      <c r="AH196" s="335">
        <v>20.54</v>
      </c>
      <c r="AI196" s="336" t="s">
        <v>35</v>
      </c>
      <c r="AJ196" s="337"/>
      <c r="AK196" s="335"/>
      <c r="AL196" s="336"/>
      <c r="AM196" s="335">
        <f t="shared" si="7"/>
        <v>0</v>
      </c>
      <c r="AN196" s="340" t="s">
        <v>2046</v>
      </c>
      <c r="AO196" s="282">
        <v>20.54</v>
      </c>
      <c r="AP196" s="540">
        <v>0</v>
      </c>
      <c r="AQ196" s="634">
        <v>46091</v>
      </c>
      <c r="AR196" s="340" t="s">
        <v>360</v>
      </c>
      <c r="AS196" s="335">
        <v>20.54</v>
      </c>
      <c r="AT196" s="337" t="s">
        <v>35</v>
      </c>
      <c r="AU196" s="337"/>
      <c r="AV196" s="335"/>
      <c r="AW196" s="337"/>
      <c r="AX196" s="335">
        <f t="shared" si="6"/>
        <v>0</v>
      </c>
      <c r="AY196" s="340" t="s">
        <v>2047</v>
      </c>
      <c r="AZ196" s="282">
        <v>20.54</v>
      </c>
      <c r="BA196" s="540">
        <v>0</v>
      </c>
      <c r="BB196" s="634">
        <v>46122</v>
      </c>
      <c r="BC196" s="340" t="s">
        <v>321</v>
      </c>
      <c r="BD196" s="335">
        <v>20.54</v>
      </c>
      <c r="BE196" s="337" t="s">
        <v>35</v>
      </c>
      <c r="BF196" s="337"/>
      <c r="BG196" s="335"/>
      <c r="BH196" s="337"/>
      <c r="BI196" s="335">
        <f t="shared" si="3"/>
        <v>0</v>
      </c>
      <c r="BJ196" s="340" t="s">
        <v>2048</v>
      </c>
      <c r="BK196" s="282">
        <v>20.54</v>
      </c>
      <c r="BL196" s="540">
        <v>0</v>
      </c>
      <c r="BM196" s="634">
        <v>46152</v>
      </c>
      <c r="BN196" s="340"/>
      <c r="BO196" s="335"/>
      <c r="BP196" s="337"/>
      <c r="BQ196" s="337"/>
      <c r="BR196" s="335"/>
      <c r="BS196" s="337"/>
      <c r="BT196" s="335">
        <f t="shared" si="4"/>
        <v>20.54</v>
      </c>
      <c r="BU196" s="340"/>
    </row>
    <row r="197" customHeight="1" spans="1:73">
      <c r="A197" s="535" t="s">
        <v>2049</v>
      </c>
      <c r="B197" s="7" t="s">
        <v>2050</v>
      </c>
      <c r="C197" s="38" t="s">
        <v>2051</v>
      </c>
      <c r="D197" s="250" t="s">
        <v>201</v>
      </c>
      <c r="E197" s="275" t="s">
        <v>202</v>
      </c>
      <c r="F197" s="275">
        <v>24</v>
      </c>
      <c r="G197" s="222" t="s">
        <v>2052</v>
      </c>
      <c r="H197" s="7" t="s">
        <v>238</v>
      </c>
      <c r="I197" s="7" t="s">
        <v>220</v>
      </c>
      <c r="J197" s="7" t="s">
        <v>1521</v>
      </c>
      <c r="K197" s="7" t="s">
        <v>2053</v>
      </c>
      <c r="L197" s="222" t="s">
        <v>2054</v>
      </c>
      <c r="M197" s="414" t="s">
        <v>2055</v>
      </c>
      <c r="N197" s="54">
        <v>45821</v>
      </c>
      <c r="O197" s="327" t="s">
        <v>384</v>
      </c>
      <c r="P197" s="298" t="s">
        <v>242</v>
      </c>
      <c r="Q197" s="539">
        <v>0</v>
      </c>
      <c r="R197" s="250" t="s">
        <v>2056</v>
      </c>
      <c r="S197" s="282">
        <v>20.54</v>
      </c>
      <c r="T197" s="540">
        <v>0</v>
      </c>
      <c r="U197" s="634">
        <v>46038</v>
      </c>
      <c r="V197" s="331">
        <v>46038</v>
      </c>
      <c r="W197" s="539">
        <v>20.54</v>
      </c>
      <c r="X197" s="543" t="s">
        <v>56</v>
      </c>
      <c r="Y197" s="544"/>
      <c r="Z197" s="545"/>
      <c r="AA197" s="543"/>
      <c r="AB197" s="545">
        <f t="shared" si="0"/>
        <v>0</v>
      </c>
      <c r="AC197" s="250" t="s">
        <v>2057</v>
      </c>
      <c r="AD197" s="283">
        <v>20.54</v>
      </c>
      <c r="AE197" s="540">
        <v>0</v>
      </c>
      <c r="AF197" s="634">
        <v>46069</v>
      </c>
      <c r="AG197" s="485">
        <v>46073.7021264236</v>
      </c>
      <c r="AH197" s="335">
        <v>20.54</v>
      </c>
      <c r="AI197" s="336" t="s">
        <v>56</v>
      </c>
      <c r="AJ197" s="337"/>
      <c r="AK197" s="335"/>
      <c r="AL197" s="336"/>
      <c r="AM197" s="335">
        <f t="shared" si="7"/>
        <v>0</v>
      </c>
      <c r="AN197" s="340" t="s">
        <v>2058</v>
      </c>
      <c r="AO197" s="282">
        <v>20.54</v>
      </c>
      <c r="AP197" s="540">
        <v>0</v>
      </c>
      <c r="AQ197" s="634">
        <v>46097</v>
      </c>
      <c r="AR197" s="340" t="s">
        <v>360</v>
      </c>
      <c r="AS197" s="335">
        <v>20.54</v>
      </c>
      <c r="AT197" s="337" t="s">
        <v>56</v>
      </c>
      <c r="AU197" s="337"/>
      <c r="AV197" s="335"/>
      <c r="AW197" s="337"/>
      <c r="AX197" s="335">
        <f t="shared" si="6"/>
        <v>0</v>
      </c>
      <c r="AY197" s="340" t="s">
        <v>2059</v>
      </c>
      <c r="AZ197" s="282">
        <v>20.54</v>
      </c>
      <c r="BA197" s="540">
        <v>0</v>
      </c>
      <c r="BB197" s="634">
        <v>46128</v>
      </c>
      <c r="BC197" s="485">
        <v>46127.5091619444</v>
      </c>
      <c r="BD197" s="335">
        <v>20.54</v>
      </c>
      <c r="BE197" s="337" t="s">
        <v>56</v>
      </c>
      <c r="BF197" s="337"/>
      <c r="BG197" s="335"/>
      <c r="BH197" s="337"/>
      <c r="BI197" s="335">
        <f t="shared" si="3"/>
        <v>0</v>
      </c>
      <c r="BJ197" s="340" t="s">
        <v>2060</v>
      </c>
      <c r="BK197" s="282">
        <v>20.54</v>
      </c>
      <c r="BL197" s="540">
        <v>0</v>
      </c>
      <c r="BM197" s="634">
        <v>46158</v>
      </c>
      <c r="BN197" s="340"/>
      <c r="BO197" s="335"/>
      <c r="BP197" s="337"/>
      <c r="BQ197" s="337"/>
      <c r="BR197" s="335"/>
      <c r="BS197" s="337"/>
      <c r="BT197" s="335">
        <f t="shared" si="4"/>
        <v>20.54</v>
      </c>
      <c r="BU197" s="340"/>
    </row>
    <row r="198" customHeight="1" spans="1:73">
      <c r="A198" s="535" t="s">
        <v>2061</v>
      </c>
      <c r="B198" s="427" t="s">
        <v>2062</v>
      </c>
      <c r="C198" s="7" t="s">
        <v>2063</v>
      </c>
      <c r="D198" s="250" t="s">
        <v>201</v>
      </c>
      <c r="E198" s="275" t="s">
        <v>226</v>
      </c>
      <c r="F198" s="275">
        <v>24</v>
      </c>
      <c r="G198" s="222" t="s">
        <v>2064</v>
      </c>
      <c r="H198" s="7" t="s">
        <v>238</v>
      </c>
      <c r="I198" s="7" t="s">
        <v>220</v>
      </c>
      <c r="J198" s="7" t="s">
        <v>2065</v>
      </c>
      <c r="K198" s="7" t="s">
        <v>2066</v>
      </c>
      <c r="L198" s="222" t="s">
        <v>2067</v>
      </c>
      <c r="M198" s="414" t="s">
        <v>2068</v>
      </c>
      <c r="N198" s="54">
        <v>45824</v>
      </c>
      <c r="O198" s="327" t="s">
        <v>384</v>
      </c>
      <c r="P198" s="7" t="s">
        <v>242</v>
      </c>
      <c r="Q198" s="539">
        <v>0</v>
      </c>
      <c r="R198" s="250" t="s">
        <v>2069</v>
      </c>
      <c r="S198" s="282">
        <v>20.54</v>
      </c>
      <c r="T198" s="540">
        <v>0</v>
      </c>
      <c r="U198" s="634">
        <v>46042</v>
      </c>
      <c r="V198" s="350" t="s">
        <v>385</v>
      </c>
      <c r="W198" s="539">
        <v>20.54</v>
      </c>
      <c r="X198" s="543" t="s">
        <v>56</v>
      </c>
      <c r="Y198" s="544"/>
      <c r="Z198" s="545"/>
      <c r="AA198" s="543"/>
      <c r="AB198" s="545">
        <f t="shared" si="0"/>
        <v>0</v>
      </c>
      <c r="AC198" s="250" t="s">
        <v>2070</v>
      </c>
      <c r="AD198" s="283">
        <v>20.54</v>
      </c>
      <c r="AE198" s="540">
        <v>0</v>
      </c>
      <c r="AF198" s="634">
        <v>46073</v>
      </c>
      <c r="AG198" s="485">
        <v>46077.4767827546</v>
      </c>
      <c r="AH198" s="335">
        <v>20.54</v>
      </c>
      <c r="AI198" s="336" t="s">
        <v>56</v>
      </c>
      <c r="AJ198" s="337"/>
      <c r="AK198" s="335"/>
      <c r="AL198" s="336"/>
      <c r="AM198" s="335">
        <f t="shared" si="7"/>
        <v>0</v>
      </c>
      <c r="AN198" s="340" t="s">
        <v>2071</v>
      </c>
      <c r="AO198" s="282">
        <v>20.54</v>
      </c>
      <c r="AP198" s="540">
        <v>0</v>
      </c>
      <c r="AQ198" s="634">
        <v>46101</v>
      </c>
      <c r="AR198" s="340" t="s">
        <v>748</v>
      </c>
      <c r="AS198" s="335">
        <v>20.54</v>
      </c>
      <c r="AT198" s="337" t="s">
        <v>35</v>
      </c>
      <c r="AU198" s="337"/>
      <c r="AV198" s="335"/>
      <c r="AW198" s="337"/>
      <c r="AX198" s="335">
        <f t="shared" si="6"/>
        <v>0</v>
      </c>
      <c r="AY198" s="340" t="s">
        <v>2072</v>
      </c>
      <c r="AZ198" s="282">
        <v>20.54</v>
      </c>
      <c r="BA198" s="540">
        <v>0</v>
      </c>
      <c r="BB198" s="634">
        <v>46132</v>
      </c>
      <c r="BC198" s="340" t="s">
        <v>398</v>
      </c>
      <c r="BD198" s="335">
        <v>20.54</v>
      </c>
      <c r="BE198" s="337" t="s">
        <v>56</v>
      </c>
      <c r="BF198" s="337"/>
      <c r="BG198" s="335"/>
      <c r="BH198" s="337"/>
      <c r="BI198" s="335">
        <f t="shared" si="3"/>
        <v>0</v>
      </c>
      <c r="BJ198" s="340" t="s">
        <v>2073</v>
      </c>
      <c r="BK198" s="282">
        <v>20.54</v>
      </c>
      <c r="BL198" s="540">
        <v>0</v>
      </c>
      <c r="BM198" s="634">
        <v>46162</v>
      </c>
      <c r="BN198" s="340"/>
      <c r="BO198" s="335"/>
      <c r="BP198" s="337"/>
      <c r="BQ198" s="337"/>
      <c r="BR198" s="335"/>
      <c r="BS198" s="337"/>
      <c r="BT198" s="335">
        <f t="shared" si="4"/>
        <v>20.54</v>
      </c>
      <c r="BU198" s="340"/>
    </row>
    <row r="199" customHeight="1" spans="1:73">
      <c r="A199" s="222" t="s">
        <v>2074</v>
      </c>
      <c r="B199" s="7" t="s">
        <v>2075</v>
      </c>
      <c r="C199" s="7" t="s">
        <v>2076</v>
      </c>
      <c r="D199" s="250" t="s">
        <v>201</v>
      </c>
      <c r="E199" s="275" t="s">
        <v>226</v>
      </c>
      <c r="F199" s="275">
        <v>24</v>
      </c>
      <c r="G199" s="222" t="s">
        <v>2077</v>
      </c>
      <c r="H199" s="7" t="s">
        <v>238</v>
      </c>
      <c r="I199" s="7" t="s">
        <v>220</v>
      </c>
      <c r="J199" s="7" t="s">
        <v>2078</v>
      </c>
      <c r="K199" s="7" t="s">
        <v>2079</v>
      </c>
      <c r="L199" s="690" t="s">
        <v>2080</v>
      </c>
      <c r="M199" s="7"/>
      <c r="N199" s="355">
        <v>45827</v>
      </c>
      <c r="O199" s="327" t="s">
        <v>210</v>
      </c>
      <c r="P199" s="7" t="s">
        <v>242</v>
      </c>
      <c r="Q199" s="539">
        <v>0</v>
      </c>
      <c r="S199" s="282">
        <v>23</v>
      </c>
      <c r="T199" s="540">
        <v>0</v>
      </c>
      <c r="U199" s="634">
        <v>46042</v>
      </c>
      <c r="V199" s="331">
        <v>46039</v>
      </c>
      <c r="W199" s="539">
        <v>23</v>
      </c>
      <c r="X199" s="543" t="s">
        <v>56</v>
      </c>
      <c r="Y199" s="544"/>
      <c r="Z199" s="545"/>
      <c r="AA199" s="543"/>
      <c r="AB199" s="545">
        <f t="shared" si="0"/>
        <v>0</v>
      </c>
      <c r="AC199" s="250" t="s">
        <v>213</v>
      </c>
      <c r="AD199" s="283">
        <v>23</v>
      </c>
      <c r="AE199" s="540">
        <v>0</v>
      </c>
      <c r="AF199" s="634">
        <v>46073</v>
      </c>
      <c r="AG199" s="485">
        <v>46079.7253256829</v>
      </c>
      <c r="AH199" s="335">
        <v>23</v>
      </c>
      <c r="AI199" s="336" t="s">
        <v>56</v>
      </c>
      <c r="AJ199" s="345"/>
      <c r="AK199" s="338"/>
      <c r="AL199" s="339"/>
      <c r="AM199" s="338">
        <f t="shared" si="7"/>
        <v>0</v>
      </c>
      <c r="AN199" s="340" t="s">
        <v>213</v>
      </c>
      <c r="AO199" s="282">
        <v>23</v>
      </c>
      <c r="AP199" s="540">
        <v>0</v>
      </c>
      <c r="AQ199" s="634">
        <v>46101</v>
      </c>
      <c r="AR199" s="485">
        <v>46097.7815786227</v>
      </c>
      <c r="AS199" s="335">
        <v>23</v>
      </c>
      <c r="AT199" s="337" t="s">
        <v>56</v>
      </c>
      <c r="AU199" s="337"/>
      <c r="AV199" s="335"/>
      <c r="AW199" s="337"/>
      <c r="AX199" s="335">
        <f t="shared" si="6"/>
        <v>0</v>
      </c>
      <c r="AY199" s="340" t="s">
        <v>213</v>
      </c>
      <c r="AZ199" s="282">
        <v>23</v>
      </c>
      <c r="BA199" s="540">
        <v>0</v>
      </c>
      <c r="BB199" s="634">
        <v>46132</v>
      </c>
      <c r="BC199" s="340" t="s">
        <v>411</v>
      </c>
      <c r="BD199" s="335">
        <v>23</v>
      </c>
      <c r="BE199" s="337" t="s">
        <v>56</v>
      </c>
      <c r="BF199" s="337"/>
      <c r="BG199" s="335"/>
      <c r="BH199" s="337"/>
      <c r="BI199" s="335">
        <f t="shared" si="3"/>
        <v>0</v>
      </c>
      <c r="BJ199" s="340"/>
      <c r="BK199" s="282">
        <v>23</v>
      </c>
      <c r="BL199" s="540">
        <v>0</v>
      </c>
      <c r="BM199" s="634">
        <v>46162</v>
      </c>
      <c r="BN199" s="340"/>
      <c r="BO199" s="335"/>
      <c r="BP199" s="337"/>
      <c r="BQ199" s="337"/>
      <c r="BR199" s="335"/>
      <c r="BS199" s="337"/>
      <c r="BT199" s="335">
        <f t="shared" si="4"/>
        <v>23</v>
      </c>
      <c r="BU199" s="340"/>
    </row>
    <row r="200" customHeight="1" spans="1:73">
      <c r="A200" s="535" t="s">
        <v>2081</v>
      </c>
      <c r="B200" s="305" t="s">
        <v>2082</v>
      </c>
      <c r="C200" s="7" t="s">
        <v>2083</v>
      </c>
      <c r="D200" s="250" t="s">
        <v>201</v>
      </c>
      <c r="E200" s="275" t="s">
        <v>202</v>
      </c>
      <c r="F200" s="275">
        <v>24</v>
      </c>
      <c r="G200" s="222" t="s">
        <v>2084</v>
      </c>
      <c r="H200" s="7" t="s">
        <v>238</v>
      </c>
      <c r="I200" s="7" t="s">
        <v>206</v>
      </c>
      <c r="J200" s="7" t="s">
        <v>1978</v>
      </c>
      <c r="K200" s="7" t="s">
        <v>2085</v>
      </c>
      <c r="L200" s="222" t="s">
        <v>2086</v>
      </c>
      <c r="M200" s="414" t="s">
        <v>2087</v>
      </c>
      <c r="N200" s="54">
        <v>45832</v>
      </c>
      <c r="O200" s="327" t="s">
        <v>210</v>
      </c>
      <c r="P200" s="7" t="s">
        <v>242</v>
      </c>
      <c r="Q200" s="539">
        <v>0</v>
      </c>
      <c r="R200" s="250" t="s">
        <v>2088</v>
      </c>
      <c r="S200" s="282">
        <v>23</v>
      </c>
      <c r="T200" s="540">
        <v>0</v>
      </c>
      <c r="U200" s="691">
        <v>46023</v>
      </c>
      <c r="V200" s="361">
        <v>46204</v>
      </c>
      <c r="W200" s="539">
        <v>23</v>
      </c>
      <c r="X200" s="543" t="s">
        <v>23</v>
      </c>
      <c r="Y200" s="544"/>
      <c r="Z200" s="545"/>
      <c r="AA200" s="543"/>
      <c r="AB200" s="545">
        <f t="shared" si="0"/>
        <v>0</v>
      </c>
      <c r="AC200" s="250" t="s">
        <v>2089</v>
      </c>
      <c r="AD200" s="283">
        <v>23</v>
      </c>
      <c r="AE200" s="540">
        <v>0</v>
      </c>
      <c r="AF200" s="691">
        <v>46054</v>
      </c>
      <c r="AG200" s="251">
        <v>46056</v>
      </c>
      <c r="AH200" s="335">
        <v>23</v>
      </c>
      <c r="AI200" s="336" t="s">
        <v>56</v>
      </c>
      <c r="AJ200" s="337"/>
      <c r="AK200" s="335"/>
      <c r="AL200" s="336"/>
      <c r="AM200" s="335">
        <f t="shared" si="7"/>
        <v>0</v>
      </c>
      <c r="AN200" s="340" t="s">
        <v>2090</v>
      </c>
      <c r="AO200" s="282">
        <v>23</v>
      </c>
      <c r="AP200" s="540">
        <v>0</v>
      </c>
      <c r="AQ200" s="691">
        <v>46082</v>
      </c>
      <c r="AR200" s="485">
        <v>46087.4017510764</v>
      </c>
      <c r="AS200" s="335">
        <v>23</v>
      </c>
      <c r="AT200" s="337" t="s">
        <v>56</v>
      </c>
      <c r="AU200" s="337"/>
      <c r="AV200" s="335"/>
      <c r="AW200" s="337"/>
      <c r="AX200" s="335">
        <f t="shared" si="6"/>
        <v>0</v>
      </c>
      <c r="AY200" s="340" t="s">
        <v>2091</v>
      </c>
      <c r="AZ200" s="282">
        <v>23</v>
      </c>
      <c r="BA200" s="540">
        <v>0</v>
      </c>
      <c r="BB200" s="691">
        <v>46113</v>
      </c>
      <c r="BC200" s="340" t="s">
        <v>468</v>
      </c>
      <c r="BD200" s="335">
        <v>23</v>
      </c>
      <c r="BE200" s="337" t="s">
        <v>56</v>
      </c>
      <c r="BF200" s="337"/>
      <c r="BG200" s="335"/>
      <c r="BH200" s="337"/>
      <c r="BI200" s="335">
        <f t="shared" si="3"/>
        <v>0</v>
      </c>
      <c r="BJ200" s="340" t="s">
        <v>2092</v>
      </c>
      <c r="BK200" s="282">
        <v>23</v>
      </c>
      <c r="BL200" s="540">
        <v>0</v>
      </c>
      <c r="BM200" s="691">
        <v>46143</v>
      </c>
      <c r="BN200" s="340" t="s">
        <v>797</v>
      </c>
      <c r="BO200" s="335">
        <v>23</v>
      </c>
      <c r="BP200" s="337" t="s">
        <v>56</v>
      </c>
      <c r="BQ200" s="337"/>
      <c r="BR200" s="335"/>
      <c r="BS200" s="337"/>
      <c r="BT200" s="335">
        <f t="shared" si="4"/>
        <v>0</v>
      </c>
      <c r="BU200" s="340"/>
    </row>
    <row r="201" customHeight="1" spans="1:73">
      <c r="A201" s="535" t="s">
        <v>2093</v>
      </c>
      <c r="B201" s="305" t="s">
        <v>2094</v>
      </c>
      <c r="C201" s="7" t="s">
        <v>2095</v>
      </c>
      <c r="D201" s="250" t="s">
        <v>201</v>
      </c>
      <c r="E201" s="275" t="s">
        <v>226</v>
      </c>
      <c r="F201" s="275">
        <v>24</v>
      </c>
      <c r="G201" s="222" t="s">
        <v>2096</v>
      </c>
      <c r="H201" s="7" t="s">
        <v>238</v>
      </c>
      <c r="I201" s="7" t="s">
        <v>220</v>
      </c>
      <c r="J201" s="7" t="s">
        <v>2097</v>
      </c>
      <c r="K201" s="7" t="s">
        <v>2098</v>
      </c>
      <c r="L201" s="222" t="s">
        <v>2099</v>
      </c>
      <c r="M201" s="7"/>
      <c r="N201" s="54">
        <v>45825</v>
      </c>
      <c r="O201" s="461" t="s">
        <v>210</v>
      </c>
      <c r="P201" s="7" t="s">
        <v>242</v>
      </c>
      <c r="Q201" s="539">
        <v>0</v>
      </c>
      <c r="R201" s="250" t="s">
        <v>2100</v>
      </c>
      <c r="S201" s="282">
        <v>23</v>
      </c>
      <c r="T201" s="540">
        <v>0</v>
      </c>
      <c r="U201" s="260">
        <v>46032</v>
      </c>
      <c r="V201" s="350" t="s">
        <v>429</v>
      </c>
      <c r="W201" s="539">
        <v>23</v>
      </c>
      <c r="X201" s="543" t="s">
        <v>56</v>
      </c>
      <c r="Y201" s="544"/>
      <c r="Z201" s="545"/>
      <c r="AA201" s="543"/>
      <c r="AB201" s="545">
        <f t="shared" si="0"/>
        <v>0</v>
      </c>
      <c r="AC201" s="250" t="s">
        <v>2101</v>
      </c>
      <c r="AD201" s="283">
        <v>23</v>
      </c>
      <c r="AE201" s="540">
        <v>0</v>
      </c>
      <c r="AF201" s="260">
        <v>46063</v>
      </c>
      <c r="AG201" s="485">
        <v>46076.7234540394</v>
      </c>
      <c r="AH201" s="335">
        <v>23</v>
      </c>
      <c r="AI201" s="336" t="s">
        <v>56</v>
      </c>
      <c r="AJ201" s="337"/>
      <c r="AK201" s="335"/>
      <c r="AL201" s="336"/>
      <c r="AM201" s="335">
        <f t="shared" si="7"/>
        <v>0</v>
      </c>
      <c r="AN201" s="340" t="s">
        <v>2102</v>
      </c>
      <c r="AO201" s="282">
        <v>23</v>
      </c>
      <c r="AP201" s="540">
        <v>0</v>
      </c>
      <c r="AQ201" s="260">
        <v>46091</v>
      </c>
      <c r="AR201" s="340" t="s">
        <v>1436</v>
      </c>
      <c r="AS201" s="335">
        <v>23</v>
      </c>
      <c r="AT201" s="337" t="s">
        <v>23</v>
      </c>
      <c r="AU201" s="337"/>
      <c r="AV201" s="335"/>
      <c r="AW201" s="337"/>
      <c r="AX201" s="335">
        <f t="shared" si="6"/>
        <v>0</v>
      </c>
      <c r="AY201" s="340" t="s">
        <v>2103</v>
      </c>
      <c r="AZ201" s="282">
        <v>23</v>
      </c>
      <c r="BA201" s="540">
        <v>0</v>
      </c>
      <c r="BB201" s="260">
        <v>46122</v>
      </c>
      <c r="BC201" s="340" t="s">
        <v>1345</v>
      </c>
      <c r="BD201" s="335">
        <v>23</v>
      </c>
      <c r="BE201" s="337" t="s">
        <v>56</v>
      </c>
      <c r="BF201" s="337"/>
      <c r="BG201" s="335"/>
      <c r="BH201" s="337"/>
      <c r="BI201" s="335">
        <f t="shared" si="3"/>
        <v>0</v>
      </c>
      <c r="BJ201" s="340" t="s">
        <v>2104</v>
      </c>
      <c r="BK201" s="282">
        <v>23</v>
      </c>
      <c r="BL201" s="540">
        <v>0</v>
      </c>
      <c r="BM201" s="260">
        <v>46152</v>
      </c>
      <c r="BN201" s="340"/>
      <c r="BO201" s="335"/>
      <c r="BP201" s="337"/>
      <c r="BQ201" s="337"/>
      <c r="BR201" s="335"/>
      <c r="BS201" s="337"/>
      <c r="BT201" s="335">
        <f t="shared" si="4"/>
        <v>23</v>
      </c>
      <c r="BU201" s="340"/>
    </row>
    <row r="202" customHeight="1" spans="1:73">
      <c r="A202" s="686" t="s">
        <v>2105</v>
      </c>
      <c r="B202" s="687" t="s">
        <v>2106</v>
      </c>
      <c r="C202" s="307" t="s">
        <v>2107</v>
      </c>
      <c r="D202" s="486" t="s">
        <v>472</v>
      </c>
      <c r="E202" s="466" t="s">
        <v>202</v>
      </c>
      <c r="F202" s="466">
        <v>24</v>
      </c>
      <c r="G202" s="467" t="s">
        <v>2108</v>
      </c>
      <c r="H202" s="307" t="s">
        <v>238</v>
      </c>
      <c r="I202" s="307" t="s">
        <v>206</v>
      </c>
      <c r="J202" s="307" t="s">
        <v>2109</v>
      </c>
      <c r="K202" s="307" t="s">
        <v>2110</v>
      </c>
      <c r="L202" s="467" t="s">
        <v>2111</v>
      </c>
      <c r="M202" s="307"/>
      <c r="N202" s="468">
        <v>45840</v>
      </c>
      <c r="O202" s="327" t="s">
        <v>384</v>
      </c>
      <c r="P202" s="307" t="s">
        <v>242</v>
      </c>
      <c r="Q202" s="539">
        <v>20.54</v>
      </c>
      <c r="R202" s="250" t="s">
        <v>2112</v>
      </c>
      <c r="S202" s="282">
        <v>10</v>
      </c>
      <c r="T202" s="540">
        <v>0</v>
      </c>
      <c r="U202" s="559"/>
      <c r="V202" s="350"/>
      <c r="W202" s="545"/>
      <c r="X202" s="543"/>
      <c r="Y202" s="544"/>
      <c r="Z202" s="545"/>
      <c r="AA202" s="543"/>
      <c r="AB202" s="545">
        <f t="shared" si="0"/>
        <v>30.54</v>
      </c>
      <c r="AC202" s="250" t="s">
        <v>213</v>
      </c>
      <c r="AD202" s="283">
        <v>10</v>
      </c>
      <c r="AE202" s="540">
        <v>0</v>
      </c>
      <c r="AF202" s="261">
        <v>46071</v>
      </c>
      <c r="AH202" s="335">
        <v>40.54</v>
      </c>
      <c r="AI202" s="336" t="s">
        <v>56</v>
      </c>
      <c r="AJ202" s="345"/>
      <c r="AK202" s="338"/>
      <c r="AL202" s="339"/>
      <c r="AM202" s="338">
        <f t="shared" si="7"/>
        <v>0</v>
      </c>
      <c r="AN202" s="340" t="s">
        <v>213</v>
      </c>
      <c r="AO202" s="282">
        <v>10</v>
      </c>
      <c r="AP202" s="540">
        <v>0</v>
      </c>
      <c r="AQ202" s="261">
        <v>46099</v>
      </c>
      <c r="AR202" s="340"/>
      <c r="AS202" s="335"/>
      <c r="AT202" s="337"/>
      <c r="AU202" s="337"/>
      <c r="AV202" s="335"/>
      <c r="AW202" s="337"/>
      <c r="AX202" s="335">
        <f t="shared" si="6"/>
        <v>10</v>
      </c>
      <c r="AY202" s="340" t="s">
        <v>213</v>
      </c>
      <c r="AZ202" s="282">
        <v>10</v>
      </c>
      <c r="BA202" s="540">
        <v>0</v>
      </c>
      <c r="BB202" s="261">
        <v>46130</v>
      </c>
      <c r="BC202" s="340"/>
      <c r="BD202" s="335"/>
      <c r="BE202" s="337"/>
      <c r="BF202" s="337"/>
      <c r="BG202" s="335"/>
      <c r="BH202" s="337"/>
      <c r="BI202" s="335">
        <f t="shared" si="3"/>
        <v>20</v>
      </c>
      <c r="BJ202" s="340"/>
      <c r="BK202" s="282">
        <v>10</v>
      </c>
      <c r="BL202" s="540">
        <v>0</v>
      </c>
      <c r="BM202" s="261">
        <v>46160</v>
      </c>
      <c r="BN202" s="340"/>
      <c r="BO202" s="335"/>
      <c r="BP202" s="337"/>
      <c r="BQ202" s="337"/>
      <c r="BR202" s="335"/>
      <c r="BS202" s="337"/>
      <c r="BT202" s="335">
        <f t="shared" si="4"/>
        <v>30</v>
      </c>
      <c r="BU202" s="340"/>
    </row>
    <row r="203" customHeight="1" spans="1:73">
      <c r="A203" s="222" t="s">
        <v>2113</v>
      </c>
      <c r="B203" s="692" t="s">
        <v>2114</v>
      </c>
      <c r="C203" s="7" t="s">
        <v>2115</v>
      </c>
      <c r="D203" s="250" t="s">
        <v>988</v>
      </c>
      <c r="E203" s="275" t="s">
        <v>202</v>
      </c>
      <c r="F203" s="275">
        <v>24</v>
      </c>
      <c r="G203" s="222"/>
      <c r="H203" s="7" t="s">
        <v>238</v>
      </c>
      <c r="I203" s="7" t="s">
        <v>206</v>
      </c>
      <c r="J203" s="7" t="s">
        <v>2116</v>
      </c>
      <c r="K203" s="7"/>
      <c r="L203" s="222" t="s">
        <v>2117</v>
      </c>
      <c r="M203" s="7"/>
      <c r="N203" s="7"/>
      <c r="O203" s="327" t="s">
        <v>210</v>
      </c>
      <c r="P203" s="7" t="s">
        <v>242</v>
      </c>
      <c r="Q203" s="539">
        <v>0</v>
      </c>
      <c r="T203" s="540">
        <v>0</v>
      </c>
      <c r="U203" s="559"/>
      <c r="V203" s="350"/>
      <c r="W203" s="545"/>
      <c r="X203" s="543"/>
      <c r="Y203" s="544"/>
      <c r="Z203" s="545"/>
      <c r="AA203" s="543"/>
      <c r="AB203" s="545">
        <f t="shared" si="0"/>
        <v>0</v>
      </c>
      <c r="AC203" s="250" t="s">
        <v>213</v>
      </c>
      <c r="AD203" s="280"/>
      <c r="AE203" s="540">
        <v>0</v>
      </c>
      <c r="AF203" s="559"/>
      <c r="AH203" s="338"/>
      <c r="AI203" s="339"/>
      <c r="AJ203" s="345"/>
      <c r="AK203" s="338"/>
      <c r="AL203" s="339"/>
      <c r="AM203" s="338">
        <f t="shared" si="7"/>
        <v>0</v>
      </c>
      <c r="AN203" s="340" t="s">
        <v>213</v>
      </c>
      <c r="AP203" s="540">
        <v>0</v>
      </c>
      <c r="AQ203" s="559"/>
      <c r="AR203" s="340"/>
      <c r="AS203" s="335"/>
      <c r="AT203" s="337"/>
      <c r="AU203" s="337"/>
      <c r="AV203" s="335"/>
      <c r="AW203" s="337"/>
      <c r="AX203" s="335">
        <f t="shared" si="6"/>
        <v>0</v>
      </c>
      <c r="AY203" s="340" t="s">
        <v>213</v>
      </c>
      <c r="BA203" s="540">
        <v>0</v>
      </c>
      <c r="BB203" s="559"/>
      <c r="BC203" s="340"/>
      <c r="BD203" s="335"/>
      <c r="BE203" s="337"/>
      <c r="BF203" s="337"/>
      <c r="BG203" s="335"/>
      <c r="BH203" s="337"/>
      <c r="BI203" s="335">
        <f t="shared" si="3"/>
        <v>0</v>
      </c>
      <c r="BJ203" s="340"/>
      <c r="BL203" s="540">
        <v>0</v>
      </c>
      <c r="BM203" s="559"/>
      <c r="BN203" s="340"/>
      <c r="BO203" s="335"/>
      <c r="BP203" s="337"/>
      <c r="BQ203" s="337"/>
      <c r="BR203" s="335"/>
      <c r="BS203" s="337"/>
      <c r="BT203" s="335">
        <f t="shared" si="4"/>
        <v>0</v>
      </c>
      <c r="BU203" s="340"/>
    </row>
    <row r="204" customHeight="1" spans="1:73">
      <c r="A204" s="222" t="s">
        <v>2118</v>
      </c>
      <c r="B204" s="7" t="s">
        <v>2119</v>
      </c>
      <c r="C204" s="7" t="s">
        <v>2120</v>
      </c>
      <c r="D204" s="250" t="s">
        <v>201</v>
      </c>
      <c r="E204" s="275" t="s">
        <v>226</v>
      </c>
      <c r="F204" s="275">
        <v>24</v>
      </c>
      <c r="G204" s="222" t="s">
        <v>2121</v>
      </c>
      <c r="H204" s="7" t="s">
        <v>238</v>
      </c>
      <c r="I204" s="7" t="s">
        <v>220</v>
      </c>
      <c r="J204" s="7" t="s">
        <v>2122</v>
      </c>
      <c r="K204" s="7" t="s">
        <v>2123</v>
      </c>
      <c r="L204" s="222" t="s">
        <v>2124</v>
      </c>
      <c r="M204" s="7"/>
      <c r="N204" s="355">
        <v>45848</v>
      </c>
      <c r="O204" s="327" t="s">
        <v>384</v>
      </c>
      <c r="P204" s="7" t="s">
        <v>242</v>
      </c>
      <c r="Q204" s="539">
        <v>0</v>
      </c>
      <c r="R204" s="250" t="s">
        <v>2125</v>
      </c>
      <c r="S204" s="282">
        <v>20.54</v>
      </c>
      <c r="T204" s="540">
        <v>0</v>
      </c>
      <c r="U204" s="634">
        <v>46032</v>
      </c>
      <c r="V204" s="331">
        <v>46050</v>
      </c>
      <c r="W204" s="539">
        <v>102.7</v>
      </c>
      <c r="X204" s="543" t="s">
        <v>56</v>
      </c>
      <c r="Y204" s="544"/>
      <c r="Z204" s="545"/>
      <c r="AA204" s="543"/>
      <c r="AB204" s="545">
        <f t="shared" si="0"/>
        <v>-82.16</v>
      </c>
      <c r="AC204" s="250" t="s">
        <v>2126</v>
      </c>
      <c r="AD204" s="283">
        <v>20.54</v>
      </c>
      <c r="AE204" s="540">
        <v>0</v>
      </c>
      <c r="AF204" s="634">
        <v>46063</v>
      </c>
      <c r="AG204" s="250"/>
      <c r="AH204" s="335"/>
      <c r="AI204" s="336"/>
      <c r="AJ204" s="337"/>
      <c r="AK204" s="335"/>
      <c r="AL204" s="336"/>
      <c r="AM204" s="335">
        <f t="shared" si="7"/>
        <v>-61.62</v>
      </c>
      <c r="AN204" s="340" t="s">
        <v>213</v>
      </c>
      <c r="AO204" s="282">
        <v>20.54</v>
      </c>
      <c r="AP204" s="540">
        <v>0</v>
      </c>
      <c r="AQ204" s="634">
        <v>46091</v>
      </c>
      <c r="AR204" s="340"/>
      <c r="AS204" s="335"/>
      <c r="AT204" s="337"/>
      <c r="AU204" s="337"/>
      <c r="AV204" s="335"/>
      <c r="AW204" s="337"/>
      <c r="AX204" s="335">
        <f t="shared" si="6"/>
        <v>-41.08</v>
      </c>
      <c r="AY204" s="340" t="s">
        <v>213</v>
      </c>
      <c r="AZ204" s="282">
        <v>20.54</v>
      </c>
      <c r="BA204" s="540">
        <v>0</v>
      </c>
      <c r="BB204" s="634">
        <v>46122</v>
      </c>
      <c r="BC204" s="340"/>
      <c r="BD204" s="335"/>
      <c r="BE204" s="337"/>
      <c r="BF204" s="337"/>
      <c r="BG204" s="335"/>
      <c r="BH204" s="337"/>
      <c r="BI204" s="335">
        <f t="shared" si="3"/>
        <v>-20.54</v>
      </c>
      <c r="BJ204" s="340"/>
      <c r="BK204" s="282">
        <v>20.54</v>
      </c>
      <c r="BL204" s="540">
        <v>0</v>
      </c>
      <c r="BM204" s="634">
        <v>46152</v>
      </c>
      <c r="BN204" s="340"/>
      <c r="BO204" s="335"/>
      <c r="BP204" s="337"/>
      <c r="BQ204" s="337"/>
      <c r="BR204" s="335"/>
      <c r="BS204" s="337"/>
      <c r="BT204" s="335">
        <f t="shared" si="4"/>
        <v>0</v>
      </c>
      <c r="BU204" s="340"/>
    </row>
    <row r="205" customHeight="1" spans="1:73">
      <c r="A205" s="371" t="s">
        <v>2127</v>
      </c>
      <c r="B205" s="298" t="s">
        <v>2128</v>
      </c>
      <c r="C205" s="692" t="s">
        <v>2129</v>
      </c>
      <c r="D205" s="250" t="s">
        <v>472</v>
      </c>
      <c r="E205" s="275" t="s">
        <v>226</v>
      </c>
      <c r="F205" s="275">
        <v>24</v>
      </c>
      <c r="G205" s="222" t="s">
        <v>2130</v>
      </c>
      <c r="H205" s="7" t="s">
        <v>238</v>
      </c>
      <c r="I205" s="7" t="s">
        <v>220</v>
      </c>
      <c r="J205" s="7" t="s">
        <v>2131</v>
      </c>
      <c r="K205" s="7" t="s">
        <v>2132</v>
      </c>
      <c r="L205" s="222" t="s">
        <v>2133</v>
      </c>
      <c r="M205" s="7"/>
      <c r="N205" s="54">
        <v>45854</v>
      </c>
      <c r="O205" s="327" t="s">
        <v>384</v>
      </c>
      <c r="P205" s="7" t="s">
        <v>242</v>
      </c>
      <c r="Q205" s="539">
        <v>0</v>
      </c>
      <c r="R205" s="250" t="s">
        <v>2134</v>
      </c>
      <c r="S205" s="282">
        <v>20.54</v>
      </c>
      <c r="T205" s="540">
        <v>0</v>
      </c>
      <c r="U205" s="634">
        <v>46032</v>
      </c>
      <c r="V205" s="331">
        <v>46027</v>
      </c>
      <c r="W205" s="539">
        <v>21</v>
      </c>
      <c r="X205" s="543" t="s">
        <v>56</v>
      </c>
      <c r="Y205" s="544"/>
      <c r="Z205" s="545"/>
      <c r="AA205" s="543"/>
      <c r="AB205" s="545">
        <f t="shared" si="0"/>
        <v>-0.460000000000001</v>
      </c>
      <c r="AC205" s="250" t="s">
        <v>2135</v>
      </c>
      <c r="AD205" s="283">
        <v>20.54</v>
      </c>
      <c r="AE205" s="540">
        <v>0</v>
      </c>
      <c r="AF205" s="634">
        <v>46063</v>
      </c>
      <c r="AG205" s="485">
        <v>46057.7909932292</v>
      </c>
      <c r="AH205" s="335">
        <v>20.54</v>
      </c>
      <c r="AI205" s="336" t="s">
        <v>56</v>
      </c>
      <c r="AJ205" s="337"/>
      <c r="AK205" s="335"/>
      <c r="AL205" s="336"/>
      <c r="AM205" s="335">
        <f t="shared" si="7"/>
        <v>-0.460000000000001</v>
      </c>
      <c r="AN205" s="340" t="s">
        <v>2136</v>
      </c>
      <c r="AO205" s="282">
        <v>145.46</v>
      </c>
      <c r="AP205" s="540">
        <v>0</v>
      </c>
      <c r="AQ205" s="634">
        <v>46091</v>
      </c>
      <c r="AR205" s="340" t="s">
        <v>233</v>
      </c>
      <c r="AS205" s="335">
        <f>75+70</f>
        <v>145</v>
      </c>
      <c r="AT205" s="337" t="s">
        <v>23</v>
      </c>
      <c r="AU205" s="337"/>
      <c r="AV205" s="335"/>
      <c r="AW205" s="337"/>
      <c r="AX205" s="335">
        <f t="shared" si="6"/>
        <v>0</v>
      </c>
      <c r="AY205" s="340" t="s">
        <v>213</v>
      </c>
      <c r="AZ205" s="282">
        <v>0</v>
      </c>
      <c r="BA205" s="540">
        <v>0</v>
      </c>
      <c r="BB205" s="634">
        <v>46122</v>
      </c>
      <c r="BC205" s="340"/>
      <c r="BD205" s="335"/>
      <c r="BE205" s="337"/>
      <c r="BF205" s="337"/>
      <c r="BG205" s="335"/>
      <c r="BH205" s="337"/>
      <c r="BI205" s="335">
        <f t="shared" si="3"/>
        <v>0</v>
      </c>
      <c r="BJ205" s="340"/>
      <c r="BK205" s="282">
        <v>0</v>
      </c>
      <c r="BL205" s="540">
        <v>0</v>
      </c>
      <c r="BM205" s="634">
        <v>46152</v>
      </c>
      <c r="BN205" s="340"/>
      <c r="BO205" s="335"/>
      <c r="BP205" s="337"/>
      <c r="BQ205" s="337"/>
      <c r="BR205" s="335"/>
      <c r="BS205" s="337"/>
      <c r="BT205" s="335">
        <f t="shared" si="4"/>
        <v>0</v>
      </c>
      <c r="BU205" s="340"/>
    </row>
    <row r="206" customHeight="1" spans="1:73">
      <c r="A206" s="535" t="s">
        <v>2137</v>
      </c>
      <c r="B206" s="7" t="s">
        <v>1427</v>
      </c>
      <c r="C206" s="7" t="s">
        <v>2138</v>
      </c>
      <c r="D206" s="250" t="s">
        <v>201</v>
      </c>
      <c r="E206" s="275" t="s">
        <v>226</v>
      </c>
      <c r="F206" s="275">
        <v>24</v>
      </c>
      <c r="G206" s="222" t="s">
        <v>1429</v>
      </c>
      <c r="H206" s="7" t="s">
        <v>238</v>
      </c>
      <c r="I206" s="7" t="s">
        <v>220</v>
      </c>
      <c r="J206" s="7" t="s">
        <v>856</v>
      </c>
      <c r="K206" s="7" t="s">
        <v>1431</v>
      </c>
      <c r="L206" s="222" t="s">
        <v>1432</v>
      </c>
      <c r="M206" s="7"/>
      <c r="N206" s="54">
        <v>45855</v>
      </c>
      <c r="O206" s="327" t="s">
        <v>232</v>
      </c>
      <c r="P206" s="7" t="s">
        <v>242</v>
      </c>
      <c r="Q206" s="539">
        <v>0</v>
      </c>
      <c r="R206" s="250" t="s">
        <v>2139</v>
      </c>
      <c r="S206" s="282">
        <v>17.25</v>
      </c>
      <c r="T206" s="540">
        <v>0</v>
      </c>
      <c r="U206" s="634">
        <v>46044</v>
      </c>
      <c r="V206" s="331">
        <v>46045</v>
      </c>
      <c r="W206" s="539">
        <v>17.25</v>
      </c>
      <c r="X206" s="543" t="s">
        <v>56</v>
      </c>
      <c r="Y206" s="544"/>
      <c r="Z206" s="545"/>
      <c r="AA206" s="543"/>
      <c r="AB206" s="545">
        <f t="shared" si="0"/>
        <v>0</v>
      </c>
      <c r="AC206" s="250" t="s">
        <v>2140</v>
      </c>
      <c r="AD206" s="283">
        <v>17.25</v>
      </c>
      <c r="AE206" s="540">
        <v>0</v>
      </c>
      <c r="AF206" s="634">
        <v>46075</v>
      </c>
      <c r="AG206" s="251">
        <v>46075</v>
      </c>
      <c r="AH206" s="335">
        <v>17.26</v>
      </c>
      <c r="AI206" s="336" t="s">
        <v>35</v>
      </c>
      <c r="AJ206" s="337"/>
      <c r="AK206" s="335"/>
      <c r="AL206" s="336"/>
      <c r="AM206" s="335">
        <f t="shared" si="7"/>
        <v>-0.0100000000000016</v>
      </c>
      <c r="AN206" s="340" t="s">
        <v>2141</v>
      </c>
      <c r="AO206" s="282">
        <v>17.25</v>
      </c>
      <c r="AP206" s="540">
        <v>0</v>
      </c>
      <c r="AQ206" s="634">
        <v>46103</v>
      </c>
      <c r="AR206" s="340" t="s">
        <v>1724</v>
      </c>
      <c r="AS206" s="335">
        <v>17.25</v>
      </c>
      <c r="AT206" s="337" t="s">
        <v>35</v>
      </c>
      <c r="AU206" s="337"/>
      <c r="AV206" s="335"/>
      <c r="AW206" s="337"/>
      <c r="AX206" s="335">
        <f t="shared" si="6"/>
        <v>-0.0100000000000016</v>
      </c>
      <c r="AY206" s="340" t="s">
        <v>2142</v>
      </c>
      <c r="AZ206" s="282">
        <v>17.25</v>
      </c>
      <c r="BA206" s="540">
        <v>0</v>
      </c>
      <c r="BB206" s="634">
        <v>46134</v>
      </c>
      <c r="BC206" s="340" t="s">
        <v>223</v>
      </c>
      <c r="BD206" s="335">
        <v>17.25</v>
      </c>
      <c r="BE206" s="337" t="s">
        <v>56</v>
      </c>
      <c r="BF206" s="337"/>
      <c r="BG206" s="335"/>
      <c r="BH206" s="337"/>
      <c r="BI206" s="335">
        <f t="shared" si="3"/>
        <v>-0.0100000000000016</v>
      </c>
      <c r="BJ206" s="340" t="s">
        <v>2143</v>
      </c>
      <c r="BK206" s="282">
        <v>17.25</v>
      </c>
      <c r="BL206" s="540">
        <v>0</v>
      </c>
      <c r="BM206" s="634">
        <v>46164</v>
      </c>
      <c r="BN206" s="340"/>
      <c r="BO206" s="335"/>
      <c r="BP206" s="337"/>
      <c r="BQ206" s="337"/>
      <c r="BR206" s="335"/>
      <c r="BS206" s="337"/>
      <c r="BT206" s="335">
        <f t="shared" si="4"/>
        <v>17.24</v>
      </c>
      <c r="BU206" s="340"/>
    </row>
    <row r="207" customHeight="1" spans="1:73">
      <c r="A207" s="693" t="s">
        <v>2144</v>
      </c>
      <c r="B207" s="694" t="s">
        <v>2145</v>
      </c>
      <c r="C207" s="695" t="s">
        <v>2146</v>
      </c>
      <c r="D207" s="250" t="s">
        <v>201</v>
      </c>
      <c r="E207" s="302" t="s">
        <v>202</v>
      </c>
      <c r="F207" s="302">
        <v>24</v>
      </c>
      <c r="G207" s="696" t="s">
        <v>2147</v>
      </c>
      <c r="H207" s="301" t="s">
        <v>238</v>
      </c>
      <c r="I207" s="301" t="s">
        <v>220</v>
      </c>
      <c r="J207" s="301" t="s">
        <v>2148</v>
      </c>
      <c r="K207" s="301" t="s">
        <v>2149</v>
      </c>
      <c r="L207" s="696" t="s">
        <v>2150</v>
      </c>
      <c r="M207" s="301"/>
      <c r="N207" s="697" t="s">
        <v>2151</v>
      </c>
      <c r="O207" s="461" t="s">
        <v>384</v>
      </c>
      <c r="P207" s="301" t="s">
        <v>242</v>
      </c>
      <c r="Q207" s="539">
        <v>0</v>
      </c>
      <c r="S207" s="282">
        <v>20.54</v>
      </c>
      <c r="T207" s="540">
        <v>0</v>
      </c>
      <c r="U207" s="260">
        <v>46032</v>
      </c>
      <c r="V207" s="331">
        <v>46041</v>
      </c>
      <c r="W207" s="539">
        <v>20.54</v>
      </c>
      <c r="X207" s="543" t="s">
        <v>56</v>
      </c>
      <c r="Y207" s="544"/>
      <c r="Z207" s="545"/>
      <c r="AA207" s="543"/>
      <c r="AB207" s="545">
        <f t="shared" si="0"/>
        <v>0</v>
      </c>
      <c r="AC207" s="250" t="s">
        <v>213</v>
      </c>
      <c r="AD207" s="283">
        <v>20.54</v>
      </c>
      <c r="AE207" s="540">
        <v>0</v>
      </c>
      <c r="AF207" s="260">
        <v>46063</v>
      </c>
      <c r="AG207" s="251">
        <v>46076</v>
      </c>
      <c r="AH207" s="335">
        <f>20+0.54</f>
        <v>20.54</v>
      </c>
      <c r="AI207" s="336" t="s">
        <v>23</v>
      </c>
      <c r="AJ207" s="345"/>
      <c r="AK207" s="338"/>
      <c r="AL207" s="339"/>
      <c r="AM207" s="338">
        <f t="shared" si="7"/>
        <v>0</v>
      </c>
      <c r="AN207" s="340" t="s">
        <v>2152</v>
      </c>
      <c r="AO207" s="282">
        <v>20.54</v>
      </c>
      <c r="AP207" s="540">
        <v>0</v>
      </c>
      <c r="AQ207" s="260">
        <v>46091</v>
      </c>
      <c r="AR207" s="340" t="s">
        <v>1724</v>
      </c>
      <c r="AS207" s="335">
        <v>20.54</v>
      </c>
      <c r="AT207" s="337" t="s">
        <v>23</v>
      </c>
      <c r="AU207" s="337"/>
      <c r="AV207" s="335"/>
      <c r="AW207" s="337"/>
      <c r="AX207" s="335">
        <f t="shared" si="6"/>
        <v>0</v>
      </c>
      <c r="AY207" s="340" t="s">
        <v>2153</v>
      </c>
      <c r="AZ207" s="282">
        <v>20.54</v>
      </c>
      <c r="BA207" s="540">
        <v>0</v>
      </c>
      <c r="BB207" s="260">
        <v>46122</v>
      </c>
      <c r="BC207" s="340"/>
      <c r="BD207" s="335"/>
      <c r="BE207" s="337"/>
      <c r="BF207" s="337"/>
      <c r="BG207" s="335"/>
      <c r="BH207" s="337"/>
      <c r="BI207" s="335">
        <f t="shared" si="3"/>
        <v>20.54</v>
      </c>
      <c r="BJ207" s="340" t="s">
        <v>2154</v>
      </c>
      <c r="BK207" s="282">
        <v>20.54</v>
      </c>
      <c r="BL207" s="540">
        <v>0</v>
      </c>
      <c r="BM207" s="260">
        <v>46152</v>
      </c>
      <c r="BN207" s="340"/>
      <c r="BO207" s="335"/>
      <c r="BP207" s="337"/>
      <c r="BQ207" s="337"/>
      <c r="BR207" s="335"/>
      <c r="BS207" s="337"/>
      <c r="BT207" s="335">
        <f t="shared" si="4"/>
        <v>41.08</v>
      </c>
      <c r="BU207" s="340"/>
    </row>
    <row r="208" customHeight="1" spans="1:73">
      <c r="A208" s="535" t="s">
        <v>2155</v>
      </c>
      <c r="B208" s="7" t="s">
        <v>2156</v>
      </c>
      <c r="C208" s="7" t="s">
        <v>2157</v>
      </c>
      <c r="D208" s="250" t="s">
        <v>201</v>
      </c>
      <c r="E208" s="275" t="s">
        <v>226</v>
      </c>
      <c r="F208" s="275">
        <v>24</v>
      </c>
      <c r="G208" s="222" t="s">
        <v>2158</v>
      </c>
      <c r="H208" s="7" t="s">
        <v>238</v>
      </c>
      <c r="I208" s="7" t="s">
        <v>220</v>
      </c>
      <c r="J208" s="7" t="s">
        <v>2159</v>
      </c>
      <c r="K208" s="7" t="s">
        <v>2160</v>
      </c>
      <c r="L208" s="222" t="s">
        <v>2161</v>
      </c>
      <c r="M208" s="7"/>
      <c r="N208" s="54">
        <v>45795</v>
      </c>
      <c r="O208" s="327" t="s">
        <v>210</v>
      </c>
      <c r="P208" s="7" t="s">
        <v>242</v>
      </c>
      <c r="Q208" s="539">
        <v>0</v>
      </c>
      <c r="S208" s="282">
        <v>23</v>
      </c>
      <c r="T208" s="540">
        <v>0</v>
      </c>
      <c r="U208" s="634">
        <v>46032</v>
      </c>
      <c r="V208" s="331">
        <v>46045</v>
      </c>
      <c r="W208" s="539">
        <v>23</v>
      </c>
      <c r="X208" s="543" t="s">
        <v>56</v>
      </c>
      <c r="Y208" s="544"/>
      <c r="Z208" s="545"/>
      <c r="AA208" s="543"/>
      <c r="AB208" s="545">
        <f t="shared" si="0"/>
        <v>0</v>
      </c>
      <c r="AC208" s="250" t="s">
        <v>213</v>
      </c>
      <c r="AD208" s="283">
        <v>23</v>
      </c>
      <c r="AE208" s="540">
        <v>0</v>
      </c>
      <c r="AF208" s="634">
        <v>46063</v>
      </c>
      <c r="AG208" s="251">
        <v>46076</v>
      </c>
      <c r="AH208" s="335">
        <v>23</v>
      </c>
      <c r="AI208" s="336" t="s">
        <v>23</v>
      </c>
      <c r="AJ208" s="345"/>
      <c r="AK208" s="338"/>
      <c r="AL208" s="339"/>
      <c r="AM208" s="338">
        <f t="shared" si="7"/>
        <v>0</v>
      </c>
      <c r="AN208" s="340" t="s">
        <v>213</v>
      </c>
      <c r="AO208" s="282">
        <v>23</v>
      </c>
      <c r="AP208" s="540">
        <v>0</v>
      </c>
      <c r="AQ208" s="634">
        <v>46091</v>
      </c>
      <c r="AR208" s="340" t="s">
        <v>386</v>
      </c>
      <c r="AS208" s="335">
        <v>23</v>
      </c>
      <c r="AT208" s="337" t="s">
        <v>23</v>
      </c>
      <c r="AU208" s="337"/>
      <c r="AV208" s="335"/>
      <c r="AW208" s="337"/>
      <c r="AX208" s="335">
        <f t="shared" si="6"/>
        <v>0</v>
      </c>
      <c r="AY208" s="340" t="s">
        <v>213</v>
      </c>
      <c r="AZ208" s="282">
        <v>23</v>
      </c>
      <c r="BA208" s="540">
        <v>0</v>
      </c>
      <c r="BB208" s="634">
        <v>46122</v>
      </c>
      <c r="BC208" s="340" t="s">
        <v>1182</v>
      </c>
      <c r="BD208" s="335">
        <v>23</v>
      </c>
      <c r="BE208" s="337" t="s">
        <v>35</v>
      </c>
      <c r="BF208" s="337"/>
      <c r="BG208" s="335"/>
      <c r="BH208" s="337"/>
      <c r="BI208" s="335">
        <f t="shared" si="3"/>
        <v>0</v>
      </c>
      <c r="BJ208" s="340"/>
      <c r="BK208" s="282">
        <v>23</v>
      </c>
      <c r="BL208" s="540">
        <v>0</v>
      </c>
      <c r="BM208" s="634">
        <v>46152</v>
      </c>
      <c r="BN208" s="340"/>
      <c r="BO208" s="335"/>
      <c r="BP208" s="337"/>
      <c r="BQ208" s="337"/>
      <c r="BR208" s="335"/>
      <c r="BS208" s="337"/>
      <c r="BT208" s="335">
        <f t="shared" si="4"/>
        <v>23</v>
      </c>
      <c r="BU208" s="340"/>
    </row>
    <row r="209" customHeight="1" spans="1:73">
      <c r="A209" s="535" t="s">
        <v>2162</v>
      </c>
      <c r="B209" s="417" t="s">
        <v>2163</v>
      </c>
      <c r="C209" s="7" t="s">
        <v>2164</v>
      </c>
      <c r="D209" s="250" t="s">
        <v>201</v>
      </c>
      <c r="E209" s="275" t="s">
        <v>202</v>
      </c>
      <c r="F209" s="275">
        <v>24</v>
      </c>
      <c r="G209" s="222" t="s">
        <v>2165</v>
      </c>
      <c r="H209" s="7" t="s">
        <v>238</v>
      </c>
      <c r="I209" s="7"/>
      <c r="J209" s="7" t="s">
        <v>1016</v>
      </c>
      <c r="K209" s="7" t="s">
        <v>2166</v>
      </c>
      <c r="L209" s="222" t="s">
        <v>2167</v>
      </c>
      <c r="M209" s="7"/>
      <c r="N209" s="355">
        <v>45877</v>
      </c>
      <c r="O209" s="327" t="s">
        <v>384</v>
      </c>
      <c r="P209" s="7" t="s">
        <v>242</v>
      </c>
      <c r="Q209" s="539">
        <v>0</v>
      </c>
      <c r="R209" s="250" t="s">
        <v>2168</v>
      </c>
      <c r="S209" s="282">
        <v>20.54</v>
      </c>
      <c r="T209" s="540">
        <v>0</v>
      </c>
      <c r="U209" s="634">
        <v>46032</v>
      </c>
      <c r="V209" s="331">
        <v>46034</v>
      </c>
      <c r="W209" s="539">
        <v>20.54</v>
      </c>
      <c r="X209" s="543" t="s">
        <v>56</v>
      </c>
      <c r="Y209" s="544"/>
      <c r="Z209" s="545"/>
      <c r="AA209" s="543"/>
      <c r="AB209" s="545">
        <f t="shared" si="0"/>
        <v>0</v>
      </c>
      <c r="AC209" s="250" t="s">
        <v>2169</v>
      </c>
      <c r="AD209" s="283">
        <v>20.54</v>
      </c>
      <c r="AE209" s="540">
        <v>0</v>
      </c>
      <c r="AF209" s="634">
        <v>46063</v>
      </c>
      <c r="AG209" s="251">
        <v>46059</v>
      </c>
      <c r="AH209" s="335">
        <v>20.54</v>
      </c>
      <c r="AI209" s="336" t="s">
        <v>56</v>
      </c>
      <c r="AJ209" s="337"/>
      <c r="AK209" s="335"/>
      <c r="AL209" s="336"/>
      <c r="AM209" s="335">
        <f t="shared" si="7"/>
        <v>0</v>
      </c>
      <c r="AN209" s="340" t="s">
        <v>2170</v>
      </c>
      <c r="AO209" s="282">
        <v>20.54</v>
      </c>
      <c r="AP209" s="540">
        <v>0</v>
      </c>
      <c r="AQ209" s="634">
        <v>46091</v>
      </c>
      <c r="AR209" s="340" t="s">
        <v>233</v>
      </c>
      <c r="AS209" s="335">
        <v>20.54</v>
      </c>
      <c r="AT209" s="337" t="s">
        <v>23</v>
      </c>
      <c r="AU209" s="337"/>
      <c r="AV209" s="335"/>
      <c r="AW209" s="337"/>
      <c r="AX209" s="335">
        <f t="shared" si="6"/>
        <v>0</v>
      </c>
      <c r="AY209" s="340" t="s">
        <v>2171</v>
      </c>
      <c r="AZ209" s="282">
        <v>20.54</v>
      </c>
      <c r="BA209" s="540">
        <v>0</v>
      </c>
      <c r="BB209" s="634">
        <v>46122</v>
      </c>
      <c r="BC209" s="340" t="s">
        <v>524</v>
      </c>
      <c r="BD209" s="335">
        <v>20.54</v>
      </c>
      <c r="BE209" s="337" t="s">
        <v>56</v>
      </c>
      <c r="BF209" s="337"/>
      <c r="BG209" s="335"/>
      <c r="BH209" s="337"/>
      <c r="BI209" s="335">
        <f t="shared" si="3"/>
        <v>0</v>
      </c>
      <c r="BJ209" s="340" t="s">
        <v>2172</v>
      </c>
      <c r="BK209" s="282">
        <v>20.54</v>
      </c>
      <c r="BL209" s="540">
        <v>0</v>
      </c>
      <c r="BM209" s="634">
        <v>46152</v>
      </c>
      <c r="BN209" s="340"/>
      <c r="BO209" s="335"/>
      <c r="BP209" s="337"/>
      <c r="BQ209" s="337"/>
      <c r="BR209" s="335"/>
      <c r="BS209" s="337"/>
      <c r="BT209" s="335">
        <f t="shared" si="4"/>
        <v>20.54</v>
      </c>
      <c r="BU209" s="340"/>
    </row>
    <row r="210" customHeight="1" spans="1:73">
      <c r="A210" s="222" t="s">
        <v>2173</v>
      </c>
      <c r="B210" s="7" t="s">
        <v>644</v>
      </c>
      <c r="C210" s="7" t="s">
        <v>2174</v>
      </c>
      <c r="D210" s="250" t="s">
        <v>201</v>
      </c>
      <c r="E210" s="275" t="s">
        <v>202</v>
      </c>
      <c r="F210" s="275">
        <v>24</v>
      </c>
      <c r="G210" s="222" t="s">
        <v>646</v>
      </c>
      <c r="H210" s="7" t="s">
        <v>238</v>
      </c>
      <c r="I210" s="7" t="s">
        <v>206</v>
      </c>
      <c r="J210" s="7" t="s">
        <v>647</v>
      </c>
      <c r="K210" s="7" t="s">
        <v>648</v>
      </c>
      <c r="L210" s="222" t="s">
        <v>2175</v>
      </c>
      <c r="M210" s="7"/>
      <c r="N210" s="54">
        <v>45890</v>
      </c>
      <c r="O210" s="327" t="s">
        <v>232</v>
      </c>
      <c r="P210" s="364" t="s">
        <v>242</v>
      </c>
      <c r="Q210" s="539">
        <v>0</v>
      </c>
      <c r="R210" s="250" t="s">
        <v>2176</v>
      </c>
      <c r="S210" s="282">
        <v>17.25</v>
      </c>
      <c r="T210" s="540">
        <v>0</v>
      </c>
      <c r="U210" s="634">
        <v>46032</v>
      </c>
      <c r="V210" s="331">
        <v>46036</v>
      </c>
      <c r="W210" s="539">
        <v>17.25</v>
      </c>
      <c r="X210" s="543" t="s">
        <v>56</v>
      </c>
      <c r="Y210" s="544"/>
      <c r="Z210" s="545"/>
      <c r="AA210" s="543"/>
      <c r="AB210" s="545">
        <f t="shared" si="0"/>
        <v>0</v>
      </c>
      <c r="AC210" s="250" t="s">
        <v>2177</v>
      </c>
      <c r="AD210" s="283">
        <v>17.25</v>
      </c>
      <c r="AE210" s="540">
        <v>0</v>
      </c>
      <c r="AF210" s="634">
        <v>46063</v>
      </c>
      <c r="AG210" s="251">
        <v>46064</v>
      </c>
      <c r="AH210" s="335">
        <v>17.25</v>
      </c>
      <c r="AI210" s="336" t="s">
        <v>56</v>
      </c>
      <c r="AJ210" s="337"/>
      <c r="AK210" s="335"/>
      <c r="AL210" s="336"/>
      <c r="AM210" s="335">
        <f t="shared" si="7"/>
        <v>0</v>
      </c>
      <c r="AN210" s="340" t="s">
        <v>2178</v>
      </c>
      <c r="AO210" s="282">
        <v>17.25</v>
      </c>
      <c r="AP210" s="540">
        <v>0</v>
      </c>
      <c r="AQ210" s="634">
        <v>46091</v>
      </c>
      <c r="AR210" s="340" t="s">
        <v>467</v>
      </c>
      <c r="AS210" s="335">
        <v>17.25</v>
      </c>
      <c r="AT210" s="337" t="s">
        <v>56</v>
      </c>
      <c r="AU210" s="337"/>
      <c r="AV210" s="335"/>
      <c r="AW210" s="337"/>
      <c r="AX210" s="335">
        <f t="shared" si="6"/>
        <v>0</v>
      </c>
      <c r="AY210" s="340" t="s">
        <v>2179</v>
      </c>
      <c r="AZ210" s="282">
        <v>17.25</v>
      </c>
      <c r="BA210" s="540">
        <v>0</v>
      </c>
      <c r="BB210" s="634">
        <v>46122</v>
      </c>
      <c r="BC210" s="340" t="s">
        <v>468</v>
      </c>
      <c r="BD210" s="335">
        <v>17.25</v>
      </c>
      <c r="BE210" s="337" t="s">
        <v>56</v>
      </c>
      <c r="BF210" s="337"/>
      <c r="BG210" s="335"/>
      <c r="BH210" s="337"/>
      <c r="BI210" s="335">
        <f t="shared" si="3"/>
        <v>0</v>
      </c>
      <c r="BJ210" s="340" t="s">
        <v>2180</v>
      </c>
      <c r="BK210" s="282">
        <v>17.25</v>
      </c>
      <c r="BL210" s="540">
        <v>0</v>
      </c>
      <c r="BM210" s="634">
        <v>46152</v>
      </c>
      <c r="BN210" s="340"/>
      <c r="BO210" s="335"/>
      <c r="BP210" s="337"/>
      <c r="BQ210" s="337"/>
      <c r="BR210" s="335"/>
      <c r="BS210" s="337"/>
      <c r="BT210" s="335">
        <f t="shared" si="4"/>
        <v>17.25</v>
      </c>
      <c r="BU210" s="340"/>
    </row>
    <row r="211" customHeight="1" spans="1:73">
      <c r="A211" s="222" t="s">
        <v>2181</v>
      </c>
      <c r="B211" s="7" t="s">
        <v>2182</v>
      </c>
      <c r="C211" s="7" t="s">
        <v>2183</v>
      </c>
      <c r="D211" s="250" t="s">
        <v>201</v>
      </c>
      <c r="E211" s="275" t="s">
        <v>202</v>
      </c>
      <c r="F211" s="275">
        <v>24</v>
      </c>
      <c r="G211" s="222" t="s">
        <v>2184</v>
      </c>
      <c r="H211" s="7" t="s">
        <v>238</v>
      </c>
      <c r="I211" s="7" t="s">
        <v>220</v>
      </c>
      <c r="J211" s="7" t="s">
        <v>274</v>
      </c>
      <c r="K211" s="7" t="s">
        <v>2185</v>
      </c>
      <c r="L211" s="222" t="s">
        <v>2186</v>
      </c>
      <c r="M211" s="7"/>
      <c r="N211" s="54">
        <v>45894</v>
      </c>
      <c r="O211" s="327" t="s">
        <v>384</v>
      </c>
      <c r="P211" s="7" t="s">
        <v>242</v>
      </c>
      <c r="Q211" s="539">
        <v>0</v>
      </c>
      <c r="R211" s="250" t="s">
        <v>2187</v>
      </c>
      <c r="S211" s="282">
        <v>20.54</v>
      </c>
      <c r="T211" s="540">
        <v>0</v>
      </c>
      <c r="U211" s="634">
        <v>46032</v>
      </c>
      <c r="V211" s="331">
        <v>46050</v>
      </c>
      <c r="W211" s="539">
        <v>20.54</v>
      </c>
      <c r="X211" s="543" t="s">
        <v>23</v>
      </c>
      <c r="Y211" s="544"/>
      <c r="Z211" s="545"/>
      <c r="AA211" s="543"/>
      <c r="AB211" s="545">
        <f t="shared" si="0"/>
        <v>0</v>
      </c>
      <c r="AC211" s="250" t="s">
        <v>2188</v>
      </c>
      <c r="AD211" s="283">
        <v>0</v>
      </c>
      <c r="AE211" s="540">
        <v>0</v>
      </c>
      <c r="AF211" s="634">
        <v>46063</v>
      </c>
      <c r="AG211" s="250"/>
      <c r="AH211" s="335"/>
      <c r="AI211" s="336"/>
      <c r="AJ211" s="337"/>
      <c r="AK211" s="335"/>
      <c r="AL211" s="336"/>
      <c r="AM211" s="335">
        <f t="shared" si="7"/>
        <v>0</v>
      </c>
      <c r="AN211" s="340" t="s">
        <v>2189</v>
      </c>
      <c r="AO211" s="282">
        <f>20.54+22.5</f>
        <v>43.04</v>
      </c>
      <c r="AP211" s="540">
        <v>0</v>
      </c>
      <c r="AQ211" s="634">
        <v>46091</v>
      </c>
      <c r="AR211" s="340" t="s">
        <v>467</v>
      </c>
      <c r="AS211" s="335">
        <v>43.54</v>
      </c>
      <c r="AT211" s="337" t="s">
        <v>23</v>
      </c>
      <c r="AU211" s="337"/>
      <c r="AV211" s="335"/>
      <c r="AW211" s="337"/>
      <c r="AX211" s="335">
        <f t="shared" si="6"/>
        <v>-0.5</v>
      </c>
      <c r="AY211" s="340" t="s">
        <v>213</v>
      </c>
      <c r="AZ211" s="282">
        <f>20.54+22.5</f>
        <v>43.04</v>
      </c>
      <c r="BA211" s="540">
        <v>0</v>
      </c>
      <c r="BB211" s="634">
        <v>46122</v>
      </c>
      <c r="BC211" s="340" t="s">
        <v>411</v>
      </c>
      <c r="BD211" s="335">
        <v>42.54</v>
      </c>
      <c r="BE211" s="337" t="s">
        <v>23</v>
      </c>
      <c r="BF211" s="337"/>
      <c r="BG211" s="335"/>
      <c r="BH211" s="337"/>
      <c r="BI211" s="335">
        <f t="shared" si="3"/>
        <v>0</v>
      </c>
      <c r="BJ211" s="340"/>
      <c r="BK211" s="282">
        <f>20.54+22.5</f>
        <v>43.04</v>
      </c>
      <c r="BL211" s="540">
        <v>0</v>
      </c>
      <c r="BM211" s="634">
        <v>46152</v>
      </c>
      <c r="BN211" s="340"/>
      <c r="BO211" s="335"/>
      <c r="BP211" s="337"/>
      <c r="BQ211" s="337"/>
      <c r="BR211" s="335"/>
      <c r="BS211" s="337"/>
      <c r="BT211" s="335">
        <f t="shared" si="4"/>
        <v>43.04</v>
      </c>
      <c r="BU211" s="340"/>
    </row>
    <row r="212" customHeight="1" spans="1:73">
      <c r="A212" s="698" t="s">
        <v>2190</v>
      </c>
      <c r="B212" s="290" t="s">
        <v>2191</v>
      </c>
      <c r="C212" s="7" t="s">
        <v>2192</v>
      </c>
      <c r="D212" s="501" t="s">
        <v>1704</v>
      </c>
      <c r="E212" s="275" t="s">
        <v>226</v>
      </c>
      <c r="F212" s="275">
        <v>24</v>
      </c>
      <c r="G212" s="222" t="s">
        <v>2193</v>
      </c>
      <c r="H212" s="7" t="s">
        <v>238</v>
      </c>
      <c r="I212" s="7" t="s">
        <v>206</v>
      </c>
      <c r="J212" s="7" t="s">
        <v>2194</v>
      </c>
      <c r="K212" s="7" t="s">
        <v>2195</v>
      </c>
      <c r="L212" s="222" t="s">
        <v>2196</v>
      </c>
      <c r="M212" s="7"/>
      <c r="N212" s="54">
        <v>45896</v>
      </c>
      <c r="O212" s="327" t="s">
        <v>2197</v>
      </c>
      <c r="P212" s="7" t="s">
        <v>242</v>
      </c>
      <c r="Q212" s="539">
        <v>52</v>
      </c>
      <c r="T212" s="540">
        <v>0</v>
      </c>
      <c r="U212" s="559"/>
      <c r="V212" s="350"/>
      <c r="W212" s="545"/>
      <c r="X212" s="543"/>
      <c r="Y212" s="544"/>
      <c r="Z212" s="545"/>
      <c r="AA212" s="543"/>
      <c r="AB212" s="545">
        <f t="shared" si="0"/>
        <v>52</v>
      </c>
      <c r="AC212" s="250" t="s">
        <v>213</v>
      </c>
      <c r="AD212" s="280"/>
      <c r="AE212" s="540">
        <v>0</v>
      </c>
      <c r="AF212" s="559"/>
      <c r="AH212" s="338"/>
      <c r="AI212" s="339"/>
      <c r="AJ212" s="345"/>
      <c r="AK212" s="338"/>
      <c r="AL212" s="339"/>
      <c r="AM212" s="338">
        <f t="shared" si="7"/>
        <v>52</v>
      </c>
      <c r="AN212" s="340" t="s">
        <v>213</v>
      </c>
      <c r="AP212" s="540">
        <v>0</v>
      </c>
      <c r="AQ212" s="559"/>
      <c r="AR212" s="340"/>
      <c r="AS212" s="335"/>
      <c r="AT212" s="337"/>
      <c r="AU212" s="337"/>
      <c r="AV212" s="335"/>
      <c r="AW212" s="337"/>
      <c r="AX212" s="335">
        <f t="shared" si="6"/>
        <v>52</v>
      </c>
      <c r="AY212" s="340" t="s">
        <v>213</v>
      </c>
      <c r="BA212" s="540">
        <v>0</v>
      </c>
      <c r="BB212" s="559"/>
      <c r="BC212" s="340"/>
      <c r="BD212" s="335"/>
      <c r="BE212" s="337"/>
      <c r="BF212" s="337"/>
      <c r="BG212" s="335"/>
      <c r="BH212" s="337"/>
      <c r="BI212" s="335">
        <f t="shared" si="3"/>
        <v>52</v>
      </c>
      <c r="BJ212" s="340"/>
      <c r="BL212" s="540">
        <v>0</v>
      </c>
      <c r="BM212" s="559"/>
      <c r="BN212" s="340"/>
      <c r="BO212" s="335"/>
      <c r="BP212" s="337"/>
      <c r="BQ212" s="337"/>
      <c r="BR212" s="335"/>
      <c r="BS212" s="337"/>
      <c r="BT212" s="335">
        <f t="shared" si="4"/>
        <v>52</v>
      </c>
      <c r="BU212" s="340"/>
    </row>
    <row r="213" customHeight="1" spans="1:73">
      <c r="A213" s="698" t="s">
        <v>2198</v>
      </c>
      <c r="B213" s="414" t="s">
        <v>2199</v>
      </c>
      <c r="C213" s="7" t="s">
        <v>2200</v>
      </c>
      <c r="D213" s="250" t="s">
        <v>472</v>
      </c>
      <c r="E213" s="275" t="s">
        <v>226</v>
      </c>
      <c r="F213" s="275">
        <v>24</v>
      </c>
      <c r="G213" s="222" t="s">
        <v>2201</v>
      </c>
      <c r="H213" s="7" t="s">
        <v>238</v>
      </c>
      <c r="I213" s="7" t="s">
        <v>220</v>
      </c>
      <c r="J213" s="7" t="s">
        <v>2202</v>
      </c>
      <c r="K213" s="7" t="s">
        <v>2203</v>
      </c>
      <c r="L213" s="222" t="s">
        <v>2204</v>
      </c>
      <c r="M213" s="7"/>
      <c r="N213" s="54">
        <v>45898</v>
      </c>
      <c r="O213" s="327" t="s">
        <v>384</v>
      </c>
      <c r="P213" s="7" t="s">
        <v>242</v>
      </c>
      <c r="Q213" s="539">
        <v>20.54</v>
      </c>
      <c r="S213" s="282">
        <f>10+45</f>
        <v>55</v>
      </c>
      <c r="T213" s="540">
        <v>0</v>
      </c>
      <c r="U213" s="261">
        <v>46032</v>
      </c>
      <c r="V213" s="331">
        <v>46041</v>
      </c>
      <c r="W213" s="539">
        <v>50</v>
      </c>
      <c r="X213" s="543" t="s">
        <v>23</v>
      </c>
      <c r="Y213" s="544"/>
      <c r="Z213" s="545"/>
      <c r="AA213" s="543"/>
      <c r="AB213" s="545">
        <f t="shared" si="0"/>
        <v>25.54</v>
      </c>
      <c r="AC213" s="250" t="s">
        <v>213</v>
      </c>
      <c r="AD213" s="287">
        <f>20.54</f>
        <v>20.54</v>
      </c>
      <c r="AE213" s="540">
        <v>0</v>
      </c>
      <c r="AF213" s="261">
        <v>46063</v>
      </c>
      <c r="AH213" s="338"/>
      <c r="AI213" s="339"/>
      <c r="AJ213" s="345"/>
      <c r="AK213" s="338"/>
      <c r="AL213" s="339"/>
      <c r="AM213" s="338">
        <f t="shared" si="7"/>
        <v>46.08</v>
      </c>
      <c r="AN213" s="340" t="s">
        <v>213</v>
      </c>
      <c r="AO213" s="250">
        <v>10</v>
      </c>
      <c r="AP213" s="540">
        <v>0</v>
      </c>
      <c r="AQ213" s="261">
        <v>46091</v>
      </c>
      <c r="AR213" s="340"/>
      <c r="AS213" s="335"/>
      <c r="AT213" s="337"/>
      <c r="AU213" s="337"/>
      <c r="AV213" s="335"/>
      <c r="AW213" s="337"/>
      <c r="AX213" s="335">
        <f t="shared" si="6"/>
        <v>56.08</v>
      </c>
      <c r="AY213" s="340" t="s">
        <v>213</v>
      </c>
      <c r="AZ213" s="250">
        <v>10</v>
      </c>
      <c r="BA213" s="540">
        <v>0</v>
      </c>
      <c r="BB213" s="261">
        <v>46122</v>
      </c>
      <c r="BC213" s="340"/>
      <c r="BD213" s="335"/>
      <c r="BE213" s="337"/>
      <c r="BF213" s="337"/>
      <c r="BG213" s="335"/>
      <c r="BH213" s="337"/>
      <c r="BI213" s="335">
        <f t="shared" si="3"/>
        <v>66.08</v>
      </c>
      <c r="BJ213" s="340"/>
      <c r="BK213" s="250">
        <v>10</v>
      </c>
      <c r="BL213" s="540">
        <v>0</v>
      </c>
      <c r="BM213" s="261">
        <v>46152</v>
      </c>
      <c r="BN213" s="340"/>
      <c r="BO213" s="335"/>
      <c r="BP213" s="337"/>
      <c r="BQ213" s="337"/>
      <c r="BR213" s="335"/>
      <c r="BS213" s="337"/>
      <c r="BT213" s="335">
        <f t="shared" si="4"/>
        <v>76.08</v>
      </c>
      <c r="BU213" s="340"/>
    </row>
    <row r="214" customHeight="1" spans="1:73">
      <c r="A214" s="698" t="s">
        <v>2205</v>
      </c>
      <c r="B214" s="414" t="s">
        <v>2206</v>
      </c>
      <c r="C214" s="7" t="s">
        <v>2207</v>
      </c>
      <c r="D214" s="250" t="s">
        <v>201</v>
      </c>
      <c r="E214" s="275" t="s">
        <v>226</v>
      </c>
      <c r="F214" s="275">
        <v>24</v>
      </c>
      <c r="G214" s="222" t="s">
        <v>2208</v>
      </c>
      <c r="H214" s="7" t="s">
        <v>238</v>
      </c>
      <c r="I214" s="7" t="s">
        <v>220</v>
      </c>
      <c r="J214" s="7" t="s">
        <v>1588</v>
      </c>
      <c r="K214" s="7" t="s">
        <v>2209</v>
      </c>
      <c r="L214" s="222" t="s">
        <v>2210</v>
      </c>
      <c r="M214" s="7"/>
      <c r="N214" s="54">
        <v>45898</v>
      </c>
      <c r="O214" s="327" t="s">
        <v>232</v>
      </c>
      <c r="P214" s="7" t="s">
        <v>242</v>
      </c>
      <c r="Q214" s="539">
        <v>0</v>
      </c>
      <c r="S214" s="282">
        <v>17.25</v>
      </c>
      <c r="T214" s="540">
        <v>0</v>
      </c>
      <c r="U214" s="634">
        <v>46044</v>
      </c>
      <c r="V214" s="350" t="s">
        <v>429</v>
      </c>
      <c r="W214" s="539">
        <v>17.25</v>
      </c>
      <c r="X214" s="543" t="s">
        <v>56</v>
      </c>
      <c r="Y214" s="544"/>
      <c r="Z214" s="545"/>
      <c r="AA214" s="543"/>
      <c r="AB214" s="545">
        <f t="shared" si="0"/>
        <v>0</v>
      </c>
      <c r="AC214" s="250" t="s">
        <v>213</v>
      </c>
      <c r="AD214" s="283">
        <v>17.25</v>
      </c>
      <c r="AE214" s="540">
        <v>0</v>
      </c>
      <c r="AF214" s="634">
        <v>46075</v>
      </c>
      <c r="AG214" s="251">
        <v>46076</v>
      </c>
      <c r="AH214" s="335">
        <v>17.25</v>
      </c>
      <c r="AI214" s="336" t="s">
        <v>35</v>
      </c>
      <c r="AJ214" s="345"/>
      <c r="AK214" s="338"/>
      <c r="AL214" s="339"/>
      <c r="AM214" s="338">
        <f t="shared" si="7"/>
        <v>0</v>
      </c>
      <c r="AN214" s="340" t="s">
        <v>2211</v>
      </c>
      <c r="AO214" s="282">
        <v>17.25</v>
      </c>
      <c r="AP214" s="540">
        <v>0</v>
      </c>
      <c r="AQ214" s="634">
        <v>46103</v>
      </c>
      <c r="AR214" s="485">
        <v>46100.6288891667</v>
      </c>
      <c r="AS214" s="335">
        <v>17.25</v>
      </c>
      <c r="AT214" s="337" t="s">
        <v>35</v>
      </c>
      <c r="AU214" s="337"/>
      <c r="AV214" s="335"/>
      <c r="AW214" s="337"/>
      <c r="AX214" s="335">
        <f t="shared" si="6"/>
        <v>0</v>
      </c>
      <c r="AY214" s="340" t="s">
        <v>2212</v>
      </c>
      <c r="AZ214" s="282">
        <v>17.25</v>
      </c>
      <c r="BA214" s="540">
        <v>0</v>
      </c>
      <c r="BB214" s="634">
        <v>46134</v>
      </c>
      <c r="BC214" s="340" t="s">
        <v>330</v>
      </c>
      <c r="BD214" s="335">
        <v>17.25</v>
      </c>
      <c r="BE214" s="337" t="s">
        <v>35</v>
      </c>
      <c r="BF214" s="337"/>
      <c r="BG214" s="335"/>
      <c r="BH214" s="337"/>
      <c r="BI214" s="335">
        <f t="shared" si="3"/>
        <v>0</v>
      </c>
      <c r="BJ214" s="340" t="s">
        <v>2213</v>
      </c>
      <c r="BK214" s="282">
        <v>17.25</v>
      </c>
      <c r="BL214" s="540">
        <v>0</v>
      </c>
      <c r="BM214" s="634">
        <v>46164</v>
      </c>
      <c r="BN214" s="340"/>
      <c r="BO214" s="335"/>
      <c r="BP214" s="337"/>
      <c r="BQ214" s="337"/>
      <c r="BR214" s="335"/>
      <c r="BS214" s="337"/>
      <c r="BT214" s="335">
        <f t="shared" si="4"/>
        <v>17.25</v>
      </c>
      <c r="BU214" s="340"/>
    </row>
    <row r="215" customHeight="1" spans="1:73">
      <c r="A215" s="698" t="s">
        <v>2214</v>
      </c>
      <c r="B215" s="414" t="s">
        <v>2215</v>
      </c>
      <c r="C215" s="7" t="s">
        <v>1882</v>
      </c>
      <c r="D215" s="250" t="s">
        <v>201</v>
      </c>
      <c r="E215" s="275" t="s">
        <v>226</v>
      </c>
      <c r="F215" s="275">
        <v>24</v>
      </c>
      <c r="G215" s="222" t="s">
        <v>2216</v>
      </c>
      <c r="H215" s="7" t="s">
        <v>238</v>
      </c>
      <c r="I215" s="7" t="s">
        <v>206</v>
      </c>
      <c r="J215" s="7" t="s">
        <v>2217</v>
      </c>
      <c r="K215" s="7" t="s">
        <v>2218</v>
      </c>
      <c r="L215" s="222" t="s">
        <v>2219</v>
      </c>
      <c r="M215" s="7"/>
      <c r="N215" s="54">
        <v>45901</v>
      </c>
      <c r="O215" s="461" t="s">
        <v>2197</v>
      </c>
      <c r="P215" s="7" t="s">
        <v>242</v>
      </c>
      <c r="Q215" s="539">
        <v>0</v>
      </c>
      <c r="S215" s="282">
        <v>25</v>
      </c>
      <c r="T215" s="540">
        <v>0</v>
      </c>
      <c r="U215" s="634">
        <v>46032</v>
      </c>
      <c r="V215" s="331">
        <v>46030</v>
      </c>
      <c r="W215" s="539">
        <v>25</v>
      </c>
      <c r="X215" s="543" t="s">
        <v>56</v>
      </c>
      <c r="Y215" s="544"/>
      <c r="Z215" s="545"/>
      <c r="AA215" s="543"/>
      <c r="AB215" s="545">
        <f t="shared" si="0"/>
        <v>0</v>
      </c>
      <c r="AC215" s="250" t="s">
        <v>213</v>
      </c>
      <c r="AD215" s="283">
        <v>25</v>
      </c>
      <c r="AE215" s="540">
        <v>0</v>
      </c>
      <c r="AF215" s="634">
        <v>46063</v>
      </c>
      <c r="AG215" s="485">
        <v>46063.4242218518</v>
      </c>
      <c r="AH215" s="335">
        <v>25</v>
      </c>
      <c r="AI215" s="336" t="s">
        <v>56</v>
      </c>
      <c r="AJ215" s="345"/>
      <c r="AK215" s="338"/>
      <c r="AL215" s="339"/>
      <c r="AM215" s="338">
        <f t="shared" si="7"/>
        <v>0</v>
      </c>
      <c r="AN215" s="340" t="s">
        <v>2220</v>
      </c>
      <c r="AO215" s="282">
        <v>25</v>
      </c>
      <c r="AP215" s="540">
        <v>0</v>
      </c>
      <c r="AQ215" s="634">
        <v>46091</v>
      </c>
      <c r="AR215" s="340" t="s">
        <v>233</v>
      </c>
      <c r="AS215" s="335">
        <v>25</v>
      </c>
      <c r="AT215" s="337" t="s">
        <v>56</v>
      </c>
      <c r="AU215" s="337"/>
      <c r="AV215" s="335"/>
      <c r="AW215" s="337"/>
      <c r="AX215" s="335">
        <f t="shared" si="6"/>
        <v>0</v>
      </c>
      <c r="AY215" s="340" t="s">
        <v>2221</v>
      </c>
      <c r="AZ215" s="282">
        <v>25</v>
      </c>
      <c r="BA215" s="540">
        <v>0</v>
      </c>
      <c r="BB215" s="634">
        <v>46122</v>
      </c>
      <c r="BC215" s="485">
        <v>46116.5718128588</v>
      </c>
      <c r="BD215" s="335">
        <v>25</v>
      </c>
      <c r="BE215" s="337" t="s">
        <v>56</v>
      </c>
      <c r="BF215" s="337"/>
      <c r="BG215" s="335"/>
      <c r="BH215" s="337"/>
      <c r="BI215" s="335">
        <f t="shared" si="3"/>
        <v>0</v>
      </c>
      <c r="BJ215" s="340" t="s">
        <v>2222</v>
      </c>
      <c r="BK215" s="282">
        <v>25</v>
      </c>
      <c r="BL215" s="540">
        <v>0</v>
      </c>
      <c r="BM215" s="634">
        <v>46152</v>
      </c>
      <c r="BN215" s="340"/>
      <c r="BO215" s="335"/>
      <c r="BP215" s="337"/>
      <c r="BQ215" s="337"/>
      <c r="BR215" s="335"/>
      <c r="BS215" s="337"/>
      <c r="BT215" s="335">
        <f t="shared" si="4"/>
        <v>25</v>
      </c>
      <c r="BU215" s="340"/>
    </row>
    <row r="216" customHeight="1" spans="1:73">
      <c r="A216" s="699" t="s">
        <v>2223</v>
      </c>
      <c r="B216" s="498" t="s">
        <v>2224</v>
      </c>
      <c r="C216" s="307" t="s">
        <v>2225</v>
      </c>
      <c r="D216" s="250" t="s">
        <v>201</v>
      </c>
      <c r="E216" s="466" t="s">
        <v>206</v>
      </c>
      <c r="F216" s="466">
        <v>24</v>
      </c>
      <c r="G216" s="467" t="s">
        <v>2226</v>
      </c>
      <c r="H216" s="307" t="s">
        <v>238</v>
      </c>
      <c r="I216" s="307" t="s">
        <v>206</v>
      </c>
      <c r="J216" s="307" t="s">
        <v>2227</v>
      </c>
      <c r="K216" s="307" t="s">
        <v>2228</v>
      </c>
      <c r="L216" s="467" t="s">
        <v>2229</v>
      </c>
      <c r="M216" s="307"/>
      <c r="N216" s="483">
        <v>45902</v>
      </c>
      <c r="O216" s="327" t="s">
        <v>2197</v>
      </c>
      <c r="P216" s="307" t="s">
        <v>242</v>
      </c>
      <c r="Q216" s="539">
        <v>0</v>
      </c>
      <c r="S216" s="282">
        <v>25</v>
      </c>
      <c r="T216" s="540">
        <v>0</v>
      </c>
      <c r="U216" s="634">
        <v>46032</v>
      </c>
      <c r="V216" s="542">
        <v>46048.7425634375</v>
      </c>
      <c r="W216" s="539">
        <v>25</v>
      </c>
      <c r="X216" s="543" t="s">
        <v>56</v>
      </c>
      <c r="Y216" s="544"/>
      <c r="Z216" s="545"/>
      <c r="AA216" s="543"/>
      <c r="AB216" s="545">
        <f t="shared" si="0"/>
        <v>0</v>
      </c>
      <c r="AC216" s="250" t="s">
        <v>213</v>
      </c>
      <c r="AD216" s="283">
        <v>25</v>
      </c>
      <c r="AE216" s="540">
        <v>0</v>
      </c>
      <c r="AF216" s="634">
        <v>46063</v>
      </c>
      <c r="AG216" s="485">
        <v>46077.386068669</v>
      </c>
      <c r="AH216" s="335">
        <v>25</v>
      </c>
      <c r="AI216" s="336" t="s">
        <v>56</v>
      </c>
      <c r="AJ216" s="345"/>
      <c r="AK216" s="338"/>
      <c r="AL216" s="339"/>
      <c r="AM216" s="338">
        <f t="shared" si="7"/>
        <v>0</v>
      </c>
      <c r="AN216" s="340" t="s">
        <v>2230</v>
      </c>
      <c r="AO216" s="282">
        <v>25</v>
      </c>
      <c r="AP216" s="540">
        <v>0</v>
      </c>
      <c r="AQ216" s="634">
        <v>46091</v>
      </c>
      <c r="AR216" s="340" t="s">
        <v>748</v>
      </c>
      <c r="AS216" s="335">
        <v>25</v>
      </c>
      <c r="AT216" s="337" t="s">
        <v>56</v>
      </c>
      <c r="AU216" s="337"/>
      <c r="AV216" s="335"/>
      <c r="AW216" s="337"/>
      <c r="AX216" s="335">
        <f t="shared" si="6"/>
        <v>0</v>
      </c>
      <c r="AY216" s="340" t="s">
        <v>2231</v>
      </c>
      <c r="AZ216" s="282">
        <v>25</v>
      </c>
      <c r="BA216" s="540">
        <v>0</v>
      </c>
      <c r="BB216" s="634">
        <v>46122</v>
      </c>
      <c r="BC216" s="340" t="s">
        <v>411</v>
      </c>
      <c r="BD216" s="335">
        <v>25</v>
      </c>
      <c r="BE216" s="337" t="s">
        <v>56</v>
      </c>
      <c r="BF216" s="337"/>
      <c r="BG216" s="335"/>
      <c r="BH216" s="337"/>
      <c r="BI216" s="335">
        <f t="shared" si="3"/>
        <v>0</v>
      </c>
      <c r="BJ216" s="340" t="s">
        <v>2232</v>
      </c>
      <c r="BK216" s="282">
        <v>25</v>
      </c>
      <c r="BL216" s="540">
        <v>0</v>
      </c>
      <c r="BM216" s="634">
        <v>46152</v>
      </c>
      <c r="BN216" s="340"/>
      <c r="BO216" s="335"/>
      <c r="BP216" s="337"/>
      <c r="BQ216" s="337"/>
      <c r="BR216" s="335"/>
      <c r="BS216" s="337"/>
      <c r="BT216" s="335">
        <f t="shared" si="4"/>
        <v>25</v>
      </c>
      <c r="BU216" s="340"/>
    </row>
    <row r="217" customHeight="1" spans="1:73">
      <c r="A217" s="698" t="s">
        <v>2233</v>
      </c>
      <c r="B217" s="414" t="s">
        <v>2234</v>
      </c>
      <c r="C217" s="7" t="s">
        <v>2235</v>
      </c>
      <c r="D217" s="250" t="s">
        <v>201</v>
      </c>
      <c r="E217" s="275" t="s">
        <v>226</v>
      </c>
      <c r="F217" s="275">
        <v>24</v>
      </c>
      <c r="G217" s="222" t="s">
        <v>2236</v>
      </c>
      <c r="H217" s="7" t="s">
        <v>238</v>
      </c>
      <c r="I217" s="7" t="s">
        <v>206</v>
      </c>
      <c r="J217" s="7" t="s">
        <v>2237</v>
      </c>
      <c r="K217" s="7" t="s">
        <v>2238</v>
      </c>
      <c r="L217" s="222" t="s">
        <v>2239</v>
      </c>
      <c r="M217" s="7"/>
      <c r="N217" s="355">
        <v>45904</v>
      </c>
      <c r="O217" s="327" t="s">
        <v>2197</v>
      </c>
      <c r="P217" s="7" t="s">
        <v>242</v>
      </c>
      <c r="Q217" s="539">
        <v>0</v>
      </c>
      <c r="S217" s="282">
        <v>25</v>
      </c>
      <c r="T217" s="540">
        <v>0</v>
      </c>
      <c r="U217" s="634">
        <v>46044</v>
      </c>
      <c r="V217" s="331">
        <v>45662</v>
      </c>
      <c r="W217" s="539">
        <v>25</v>
      </c>
      <c r="X217" s="543" t="s">
        <v>56</v>
      </c>
      <c r="Y217" s="544"/>
      <c r="Z217" s="545"/>
      <c r="AA217" s="543"/>
      <c r="AB217" s="545">
        <f t="shared" si="0"/>
        <v>0</v>
      </c>
      <c r="AC217" s="250" t="s">
        <v>213</v>
      </c>
      <c r="AD217" s="283">
        <v>25</v>
      </c>
      <c r="AE217" s="540">
        <v>0</v>
      </c>
      <c r="AF217" s="634">
        <v>46075</v>
      </c>
      <c r="AG217" s="251">
        <v>46060</v>
      </c>
      <c r="AH217" s="335">
        <v>25</v>
      </c>
      <c r="AI217" s="336" t="s">
        <v>23</v>
      </c>
      <c r="AJ217" s="345"/>
      <c r="AK217" s="338"/>
      <c r="AL217" s="339"/>
      <c r="AM217" s="338">
        <f t="shared" si="7"/>
        <v>0</v>
      </c>
      <c r="AN217" s="340" t="s">
        <v>2240</v>
      </c>
      <c r="AO217" s="282">
        <v>25</v>
      </c>
      <c r="AP217" s="540">
        <v>0</v>
      </c>
      <c r="AQ217" s="634">
        <v>46103</v>
      </c>
      <c r="AR217" s="340" t="s">
        <v>233</v>
      </c>
      <c r="AS217" s="335">
        <v>25</v>
      </c>
      <c r="AT217" s="337" t="s">
        <v>56</v>
      </c>
      <c r="AU217" s="337"/>
      <c r="AV217" s="335"/>
      <c r="AW217" s="337"/>
      <c r="AX217" s="335">
        <f t="shared" si="6"/>
        <v>0</v>
      </c>
      <c r="AY217" s="340" t="s">
        <v>2241</v>
      </c>
      <c r="AZ217" s="282">
        <v>25</v>
      </c>
      <c r="BA217" s="540">
        <v>0</v>
      </c>
      <c r="BB217" s="634">
        <v>46134</v>
      </c>
      <c r="BC217" s="340" t="s">
        <v>375</v>
      </c>
      <c r="BD217" s="335">
        <v>25</v>
      </c>
      <c r="BE217" s="337" t="s">
        <v>56</v>
      </c>
      <c r="BF217" s="337"/>
      <c r="BG217" s="335"/>
      <c r="BH217" s="337"/>
      <c r="BI217" s="335">
        <f t="shared" si="3"/>
        <v>0</v>
      </c>
      <c r="BJ217" s="340" t="s">
        <v>2242</v>
      </c>
      <c r="BK217" s="282">
        <v>25</v>
      </c>
      <c r="BL217" s="540">
        <v>0</v>
      </c>
      <c r="BM217" s="634">
        <v>46164</v>
      </c>
      <c r="BN217" s="340"/>
      <c r="BO217" s="335"/>
      <c r="BP217" s="337"/>
      <c r="BQ217" s="337"/>
      <c r="BR217" s="335"/>
      <c r="BS217" s="337"/>
      <c r="BT217" s="335">
        <f t="shared" si="4"/>
        <v>25</v>
      </c>
      <c r="BU217" s="340"/>
    </row>
    <row r="218" customHeight="1" spans="1:73">
      <c r="A218" s="698" t="s">
        <v>2243</v>
      </c>
      <c r="B218" s="414" t="s">
        <v>2244</v>
      </c>
      <c r="C218" s="7" t="s">
        <v>2245</v>
      </c>
      <c r="D218" s="250" t="s">
        <v>201</v>
      </c>
      <c r="E218" s="275" t="s">
        <v>202</v>
      </c>
      <c r="F218" s="275">
        <v>24</v>
      </c>
      <c r="G218" s="222" t="s">
        <v>2246</v>
      </c>
      <c r="H218" s="7" t="s">
        <v>238</v>
      </c>
      <c r="I218" s="7" t="s">
        <v>220</v>
      </c>
      <c r="J218" s="7" t="s">
        <v>1920</v>
      </c>
      <c r="K218" s="7" t="s">
        <v>2247</v>
      </c>
      <c r="L218" s="222" t="s">
        <v>2248</v>
      </c>
      <c r="M218" s="7"/>
      <c r="N218" s="54">
        <v>45906</v>
      </c>
      <c r="O218" s="327" t="s">
        <v>384</v>
      </c>
      <c r="P218" s="7" t="s">
        <v>242</v>
      </c>
      <c r="Q218" s="539">
        <v>-1.46</v>
      </c>
      <c r="S218" s="282">
        <v>20.54</v>
      </c>
      <c r="T218" s="540">
        <v>0</v>
      </c>
      <c r="U218" s="634">
        <v>46032</v>
      </c>
      <c r="V218" s="331">
        <v>46049</v>
      </c>
      <c r="W218" s="539">
        <v>19.08</v>
      </c>
      <c r="X218" s="543" t="s">
        <v>56</v>
      </c>
      <c r="Y218" s="544"/>
      <c r="Z218" s="545"/>
      <c r="AA218" s="543"/>
      <c r="AB218" s="545">
        <f t="shared" si="0"/>
        <v>0</v>
      </c>
      <c r="AC218" s="250" t="s">
        <v>2249</v>
      </c>
      <c r="AD218" s="283">
        <v>20.54</v>
      </c>
      <c r="AE218" s="540">
        <v>0</v>
      </c>
      <c r="AF218" s="634">
        <v>46063</v>
      </c>
      <c r="AG218" s="485">
        <v>46073.7505132292</v>
      </c>
      <c r="AH218" s="335">
        <v>21</v>
      </c>
      <c r="AI218" s="336" t="s">
        <v>56</v>
      </c>
      <c r="AJ218" s="337"/>
      <c r="AK218" s="335"/>
      <c r="AL218" s="336"/>
      <c r="AM218" s="335">
        <f t="shared" si="7"/>
        <v>-0.460000000000001</v>
      </c>
      <c r="AN218" s="340" t="s">
        <v>2250</v>
      </c>
      <c r="AO218" s="282">
        <v>20.54</v>
      </c>
      <c r="AP218" s="540">
        <v>0</v>
      </c>
      <c r="AQ218" s="634">
        <v>46091</v>
      </c>
      <c r="AR218" s="485">
        <v>46095.5352956018</v>
      </c>
      <c r="AS218" s="335">
        <v>20.08</v>
      </c>
      <c r="AT218" s="337" t="s">
        <v>56</v>
      </c>
      <c r="AU218" s="337"/>
      <c r="AV218" s="335"/>
      <c r="AW218" s="337"/>
      <c r="AX218" s="335">
        <f t="shared" si="6"/>
        <v>0</v>
      </c>
      <c r="AY218" s="340" t="s">
        <v>2251</v>
      </c>
      <c r="AZ218" s="282">
        <v>20.54</v>
      </c>
      <c r="BA218" s="540">
        <v>0</v>
      </c>
      <c r="BB218" s="634">
        <v>46122</v>
      </c>
      <c r="BC218" s="340" t="s">
        <v>1182</v>
      </c>
      <c r="BD218" s="335">
        <v>20.54</v>
      </c>
      <c r="BE218" s="337" t="s">
        <v>56</v>
      </c>
      <c r="BF218" s="337"/>
      <c r="BG218" s="335"/>
      <c r="BH218" s="337"/>
      <c r="BI218" s="335">
        <f t="shared" si="3"/>
        <v>0</v>
      </c>
      <c r="BJ218" s="340" t="s">
        <v>2252</v>
      </c>
      <c r="BK218" s="282">
        <v>20.54</v>
      </c>
      <c r="BL218" s="540">
        <v>0</v>
      </c>
      <c r="BM218" s="634">
        <v>46152</v>
      </c>
      <c r="BN218" s="340"/>
      <c r="BO218" s="335"/>
      <c r="BP218" s="337"/>
      <c r="BQ218" s="337"/>
      <c r="BR218" s="335"/>
      <c r="BS218" s="337"/>
      <c r="BT218" s="335">
        <f t="shared" si="4"/>
        <v>20.54</v>
      </c>
      <c r="BU218" s="340"/>
    </row>
    <row r="219" customHeight="1" spans="1:73">
      <c r="A219" s="698" t="s">
        <v>2253</v>
      </c>
      <c r="B219" s="414" t="s">
        <v>2254</v>
      </c>
      <c r="C219" s="7" t="s">
        <v>2255</v>
      </c>
      <c r="D219" s="250" t="s">
        <v>472</v>
      </c>
      <c r="E219" s="275" t="s">
        <v>202</v>
      </c>
      <c r="F219" s="275">
        <v>24</v>
      </c>
      <c r="G219" s="222" t="s">
        <v>2256</v>
      </c>
      <c r="H219" s="7" t="s">
        <v>238</v>
      </c>
      <c r="I219" s="7"/>
      <c r="J219" s="7" t="s">
        <v>2257</v>
      </c>
      <c r="K219" s="7" t="s">
        <v>2258</v>
      </c>
      <c r="L219" s="222" t="s">
        <v>2259</v>
      </c>
      <c r="M219" s="7"/>
      <c r="N219" s="355">
        <v>45918</v>
      </c>
      <c r="O219" s="327" t="s">
        <v>384</v>
      </c>
      <c r="P219" s="7" t="s">
        <v>242</v>
      </c>
      <c r="Q219" s="539">
        <v>0</v>
      </c>
      <c r="R219" s="250" t="s">
        <v>2260</v>
      </c>
      <c r="S219" s="282">
        <v>20.54</v>
      </c>
      <c r="T219" s="540">
        <v>0</v>
      </c>
      <c r="U219" s="634">
        <v>46037</v>
      </c>
      <c r="V219" s="331">
        <v>46048</v>
      </c>
      <c r="W219" s="539">
        <v>20.54</v>
      </c>
      <c r="X219" s="543" t="s">
        <v>23</v>
      </c>
      <c r="Y219" s="544"/>
      <c r="Z219" s="545"/>
      <c r="AA219" s="543"/>
      <c r="AB219" s="545">
        <f t="shared" si="0"/>
        <v>0</v>
      </c>
      <c r="AC219" s="250" t="s">
        <v>2261</v>
      </c>
      <c r="AD219" s="283">
        <v>20.54</v>
      </c>
      <c r="AE219" s="540">
        <v>0</v>
      </c>
      <c r="AF219" s="634">
        <v>46068</v>
      </c>
      <c r="AG219" s="251">
        <v>46074</v>
      </c>
      <c r="AH219" s="335">
        <v>20.54</v>
      </c>
      <c r="AI219" s="336" t="s">
        <v>35</v>
      </c>
      <c r="AJ219" s="337"/>
      <c r="AK219" s="335"/>
      <c r="AL219" s="336"/>
      <c r="AM219" s="335">
        <f t="shared" si="7"/>
        <v>0</v>
      </c>
      <c r="AN219" s="340" t="s">
        <v>2262</v>
      </c>
      <c r="AO219" s="282">
        <v>20.54</v>
      </c>
      <c r="AP219" s="540">
        <v>0</v>
      </c>
      <c r="AQ219" s="634">
        <v>46096</v>
      </c>
      <c r="AR219" s="340" t="s">
        <v>386</v>
      </c>
      <c r="AS219" s="335">
        <v>20.54</v>
      </c>
      <c r="AT219" s="337" t="s">
        <v>23</v>
      </c>
      <c r="AU219" s="337"/>
      <c r="AV219" s="335"/>
      <c r="AW219" s="337"/>
      <c r="AX219" s="335">
        <f t="shared" si="6"/>
        <v>0</v>
      </c>
      <c r="AY219" s="340" t="s">
        <v>2263</v>
      </c>
      <c r="AZ219" s="282">
        <v>20.54</v>
      </c>
      <c r="BA219" s="540">
        <v>0</v>
      </c>
      <c r="BB219" s="634">
        <v>46127</v>
      </c>
      <c r="BC219" s="340"/>
      <c r="BD219" s="335"/>
      <c r="BE219" s="337"/>
      <c r="BF219" s="337"/>
      <c r="BG219" s="335"/>
      <c r="BH219" s="337"/>
      <c r="BI219" s="335">
        <f t="shared" si="3"/>
        <v>20.54</v>
      </c>
      <c r="BJ219" s="340" t="s">
        <v>2264</v>
      </c>
      <c r="BK219" s="282">
        <v>20.54</v>
      </c>
      <c r="BL219" s="540">
        <v>0</v>
      </c>
      <c r="BM219" s="634">
        <v>46157</v>
      </c>
      <c r="BN219" s="340"/>
      <c r="BO219" s="335"/>
      <c r="BP219" s="337"/>
      <c r="BQ219" s="337"/>
      <c r="BR219" s="335"/>
      <c r="BS219" s="337"/>
      <c r="BT219" s="335">
        <f t="shared" si="4"/>
        <v>41.08</v>
      </c>
      <c r="BU219" s="340"/>
    </row>
    <row r="220" customHeight="1" spans="1:73">
      <c r="A220" s="698" t="s">
        <v>2265</v>
      </c>
      <c r="B220" s="414" t="s">
        <v>2266</v>
      </c>
      <c r="C220" s="7" t="s">
        <v>2267</v>
      </c>
      <c r="D220" s="250" t="s">
        <v>201</v>
      </c>
      <c r="E220" s="275" t="s">
        <v>226</v>
      </c>
      <c r="F220" s="275">
        <v>24</v>
      </c>
      <c r="G220" s="222" t="s">
        <v>2268</v>
      </c>
      <c r="H220" s="7" t="s">
        <v>238</v>
      </c>
      <c r="I220" s="7"/>
      <c r="J220" s="7" t="s">
        <v>2269</v>
      </c>
      <c r="K220" s="7" t="s">
        <v>2270</v>
      </c>
      <c r="L220" s="222" t="s">
        <v>2271</v>
      </c>
      <c r="M220" s="7"/>
      <c r="N220" s="54">
        <v>45919</v>
      </c>
      <c r="O220" s="327" t="s">
        <v>384</v>
      </c>
      <c r="P220" s="7" t="s">
        <v>242</v>
      </c>
      <c r="Q220" s="539">
        <v>0</v>
      </c>
      <c r="R220" s="250" t="s">
        <v>2272</v>
      </c>
      <c r="S220" s="282">
        <v>20.54</v>
      </c>
      <c r="T220" s="540">
        <v>0</v>
      </c>
      <c r="U220" s="634">
        <v>46032</v>
      </c>
      <c r="V220" s="331">
        <v>46027</v>
      </c>
      <c r="W220" s="539">
        <v>20.54</v>
      </c>
      <c r="X220" s="543" t="s">
        <v>35</v>
      </c>
      <c r="Y220" s="544"/>
      <c r="Z220" s="545"/>
      <c r="AA220" s="543"/>
      <c r="AB220" s="545">
        <f t="shared" si="0"/>
        <v>0</v>
      </c>
      <c r="AC220" s="250" t="s">
        <v>2273</v>
      </c>
      <c r="AD220" s="283">
        <v>20.54</v>
      </c>
      <c r="AE220" s="540">
        <v>0</v>
      </c>
      <c r="AF220" s="634">
        <v>46063</v>
      </c>
      <c r="AG220" s="251">
        <v>46063</v>
      </c>
      <c r="AH220" s="335">
        <v>20.54</v>
      </c>
      <c r="AI220" s="336" t="s">
        <v>23</v>
      </c>
      <c r="AJ220" s="337"/>
      <c r="AK220" s="335"/>
      <c r="AL220" s="336"/>
      <c r="AM220" s="335">
        <f t="shared" si="7"/>
        <v>0</v>
      </c>
      <c r="AN220" s="340" t="s">
        <v>2274</v>
      </c>
      <c r="AO220" s="282">
        <v>20.54</v>
      </c>
      <c r="AP220" s="540">
        <v>0</v>
      </c>
      <c r="AQ220" s="634">
        <v>46091</v>
      </c>
      <c r="AR220" s="340" t="s">
        <v>309</v>
      </c>
      <c r="AS220" s="335">
        <v>20.54</v>
      </c>
      <c r="AT220" s="337" t="s">
        <v>23</v>
      </c>
      <c r="AU220" s="337"/>
      <c r="AV220" s="335"/>
      <c r="AW220" s="337"/>
      <c r="AX220" s="335">
        <f t="shared" si="6"/>
        <v>0</v>
      </c>
      <c r="AY220" s="340" t="s">
        <v>2275</v>
      </c>
      <c r="AZ220" s="282">
        <v>20.54</v>
      </c>
      <c r="BA220" s="540">
        <v>0</v>
      </c>
      <c r="BB220" s="634">
        <v>46122</v>
      </c>
      <c r="BC220" s="340" t="s">
        <v>905</v>
      </c>
      <c r="BD220" s="335">
        <v>20.54</v>
      </c>
      <c r="BE220" s="337" t="s">
        <v>23</v>
      </c>
      <c r="BF220" s="337"/>
      <c r="BG220" s="335"/>
      <c r="BH220" s="337"/>
      <c r="BI220" s="335">
        <f t="shared" si="3"/>
        <v>0</v>
      </c>
      <c r="BJ220" s="340" t="s">
        <v>2276</v>
      </c>
      <c r="BK220" s="282">
        <v>20.54</v>
      </c>
      <c r="BL220" s="540">
        <v>0</v>
      </c>
      <c r="BM220" s="634">
        <v>46152</v>
      </c>
      <c r="BN220" s="340"/>
      <c r="BO220" s="335"/>
      <c r="BP220" s="337"/>
      <c r="BQ220" s="337"/>
      <c r="BR220" s="335"/>
      <c r="BS220" s="337"/>
      <c r="BT220" s="335">
        <f t="shared" si="4"/>
        <v>20.54</v>
      </c>
      <c r="BU220" s="340"/>
    </row>
    <row r="221" customHeight="1" spans="1:73">
      <c r="A221" s="698" t="s">
        <v>2277</v>
      </c>
      <c r="B221" s="417" t="s">
        <v>2278</v>
      </c>
      <c r="C221" s="7" t="s">
        <v>2279</v>
      </c>
      <c r="D221" s="250" t="s">
        <v>201</v>
      </c>
      <c r="E221" s="275" t="s">
        <v>202</v>
      </c>
      <c r="F221" s="275">
        <v>24</v>
      </c>
      <c r="G221" s="222" t="s">
        <v>2280</v>
      </c>
      <c r="H221" s="7" t="s">
        <v>238</v>
      </c>
      <c r="I221" s="7" t="s">
        <v>220</v>
      </c>
      <c r="J221" s="7" t="s">
        <v>2281</v>
      </c>
      <c r="K221" s="7" t="s">
        <v>2282</v>
      </c>
      <c r="L221" s="222" t="s">
        <v>2283</v>
      </c>
      <c r="M221" s="7"/>
      <c r="N221" s="54">
        <v>45922</v>
      </c>
      <c r="O221" s="327" t="s">
        <v>384</v>
      </c>
      <c r="P221" s="7" t="s">
        <v>242</v>
      </c>
      <c r="Q221" s="539">
        <v>-0.03</v>
      </c>
      <c r="S221" s="282">
        <v>20.54</v>
      </c>
      <c r="T221" s="540">
        <v>0</v>
      </c>
      <c r="U221" s="634">
        <v>46032</v>
      </c>
      <c r="V221" s="350" t="s">
        <v>385</v>
      </c>
      <c r="W221" s="539">
        <v>20.55</v>
      </c>
      <c r="X221" s="543" t="s">
        <v>23</v>
      </c>
      <c r="Y221" s="544"/>
      <c r="Z221" s="545"/>
      <c r="AA221" s="543"/>
      <c r="AB221" s="545">
        <f t="shared" si="0"/>
        <v>-0.0400000000000027</v>
      </c>
      <c r="AC221" s="250" t="s">
        <v>213</v>
      </c>
      <c r="AD221" s="283">
        <v>20.54</v>
      </c>
      <c r="AE221" s="540">
        <v>0</v>
      </c>
      <c r="AF221" s="634">
        <v>46063</v>
      </c>
      <c r="AG221" s="485">
        <v>46077.4660088194</v>
      </c>
      <c r="AH221" s="335">
        <v>20.5</v>
      </c>
      <c r="AI221" s="336" t="s">
        <v>56</v>
      </c>
      <c r="AJ221" s="345"/>
      <c r="AK221" s="338"/>
      <c r="AL221" s="339"/>
      <c r="AM221" s="338">
        <f t="shared" si="7"/>
        <v>0</v>
      </c>
      <c r="AN221" s="340" t="s">
        <v>2284</v>
      </c>
      <c r="AO221" s="282">
        <v>20.54</v>
      </c>
      <c r="AP221" s="540">
        <v>0</v>
      </c>
      <c r="AQ221" s="634">
        <v>46091</v>
      </c>
      <c r="AR221" s="340" t="s">
        <v>748</v>
      </c>
      <c r="AS221" s="335">
        <v>20.55</v>
      </c>
      <c r="AT221" s="337" t="s">
        <v>56</v>
      </c>
      <c r="AU221" s="337"/>
      <c r="AV221" s="335"/>
      <c r="AW221" s="337"/>
      <c r="AX221" s="335">
        <f t="shared" si="6"/>
        <v>-0.0100000000000016</v>
      </c>
      <c r="AY221" s="340" t="s">
        <v>2285</v>
      </c>
      <c r="AZ221" s="282">
        <v>20.54</v>
      </c>
      <c r="BA221" s="540">
        <v>0</v>
      </c>
      <c r="BB221" s="634">
        <v>46122</v>
      </c>
      <c r="BC221" s="340" t="s">
        <v>626</v>
      </c>
      <c r="BD221" s="335">
        <v>20.53</v>
      </c>
      <c r="BE221" s="337" t="s">
        <v>56</v>
      </c>
      <c r="BF221" s="337"/>
      <c r="BG221" s="335"/>
      <c r="BH221" s="337"/>
      <c r="BI221" s="335">
        <f t="shared" si="3"/>
        <v>0</v>
      </c>
      <c r="BJ221" s="340" t="s">
        <v>2286</v>
      </c>
      <c r="BK221" s="282">
        <v>20.54</v>
      </c>
      <c r="BL221" s="540">
        <v>0</v>
      </c>
      <c r="BM221" s="634">
        <v>46152</v>
      </c>
      <c r="BN221" s="340"/>
      <c r="BO221" s="335"/>
      <c r="BP221" s="337"/>
      <c r="BQ221" s="337"/>
      <c r="BR221" s="335"/>
      <c r="BS221" s="337"/>
      <c r="BT221" s="335">
        <f t="shared" si="4"/>
        <v>20.54</v>
      </c>
      <c r="BU221" s="340"/>
    </row>
    <row r="222" customHeight="1" spans="1:73">
      <c r="A222" s="698" t="s">
        <v>2287</v>
      </c>
      <c r="B222" s="417" t="s">
        <v>2288</v>
      </c>
      <c r="C222" s="7" t="s">
        <v>2289</v>
      </c>
      <c r="D222" s="250" t="s">
        <v>201</v>
      </c>
      <c r="E222" s="275" t="s">
        <v>226</v>
      </c>
      <c r="F222" s="275">
        <v>24</v>
      </c>
      <c r="G222" s="222" t="s">
        <v>2290</v>
      </c>
      <c r="H222" s="7" t="s">
        <v>238</v>
      </c>
      <c r="I222" s="7"/>
      <c r="J222" s="7" t="s">
        <v>2291</v>
      </c>
      <c r="K222" s="7" t="s">
        <v>2292</v>
      </c>
      <c r="L222" s="222" t="s">
        <v>2293</v>
      </c>
      <c r="M222" s="7"/>
      <c r="N222" s="54">
        <v>45923</v>
      </c>
      <c r="O222" s="327" t="s">
        <v>384</v>
      </c>
      <c r="P222" s="7" t="s">
        <v>242</v>
      </c>
      <c r="Q222" s="539">
        <v>0</v>
      </c>
      <c r="S222" s="282">
        <v>20.54</v>
      </c>
      <c r="T222" s="540">
        <v>0</v>
      </c>
      <c r="U222" s="261">
        <v>46032</v>
      </c>
      <c r="V222" s="331">
        <v>46032</v>
      </c>
      <c r="W222" s="539">
        <v>20.54</v>
      </c>
      <c r="X222" s="543" t="s">
        <v>56</v>
      </c>
      <c r="Y222" s="544"/>
      <c r="Z222" s="545"/>
      <c r="AA222" s="543"/>
      <c r="AB222" s="545">
        <f t="shared" si="0"/>
        <v>0</v>
      </c>
      <c r="AC222" s="250" t="s">
        <v>213</v>
      </c>
      <c r="AD222" s="283">
        <v>20.54</v>
      </c>
      <c r="AE222" s="540">
        <v>0</v>
      </c>
      <c r="AF222" s="261">
        <v>46063</v>
      </c>
      <c r="AG222" s="251">
        <v>46069</v>
      </c>
      <c r="AH222" s="335">
        <f>10+10.54</f>
        <v>20.54</v>
      </c>
      <c r="AI222" s="336" t="s">
        <v>23</v>
      </c>
      <c r="AJ222" s="345"/>
      <c r="AK222" s="338"/>
      <c r="AL222" s="339"/>
      <c r="AM222" s="338">
        <f t="shared" si="7"/>
        <v>0</v>
      </c>
      <c r="AN222" s="340" t="s">
        <v>213</v>
      </c>
      <c r="AO222" s="282">
        <v>20.54</v>
      </c>
      <c r="AP222" s="540">
        <v>0</v>
      </c>
      <c r="AQ222" s="261">
        <v>46091</v>
      </c>
      <c r="AR222" s="340" t="s">
        <v>309</v>
      </c>
      <c r="AS222" s="335">
        <v>20.54</v>
      </c>
      <c r="AT222" s="337" t="s">
        <v>56</v>
      </c>
      <c r="AU222" s="337"/>
      <c r="AV222" s="335"/>
      <c r="AW222" s="337"/>
      <c r="AX222" s="335">
        <f t="shared" si="6"/>
        <v>0</v>
      </c>
      <c r="AY222" s="340" t="s">
        <v>213</v>
      </c>
      <c r="AZ222" s="282">
        <v>20.54</v>
      </c>
      <c r="BA222" s="540">
        <v>0</v>
      </c>
      <c r="BB222" s="261">
        <v>46122</v>
      </c>
      <c r="BC222" s="340" t="s">
        <v>1202</v>
      </c>
      <c r="BD222" s="335">
        <v>20.54</v>
      </c>
      <c r="BE222" s="337" t="s">
        <v>23</v>
      </c>
      <c r="BF222" s="337"/>
      <c r="BG222" s="335"/>
      <c r="BH222" s="337"/>
      <c r="BI222" s="335">
        <f t="shared" si="3"/>
        <v>0</v>
      </c>
      <c r="BJ222" s="340"/>
      <c r="BK222" s="282">
        <v>20.54</v>
      </c>
      <c r="BL222" s="540">
        <v>0</v>
      </c>
      <c r="BM222" s="261">
        <v>46152</v>
      </c>
      <c r="BN222" s="340"/>
      <c r="BO222" s="335"/>
      <c r="BP222" s="337"/>
      <c r="BQ222" s="337"/>
      <c r="BR222" s="335"/>
      <c r="BS222" s="337"/>
      <c r="BT222" s="335">
        <f t="shared" si="4"/>
        <v>20.54</v>
      </c>
      <c r="BU222" s="340"/>
    </row>
    <row r="223" customHeight="1" spans="1:73">
      <c r="A223" s="700" t="s">
        <v>2294</v>
      </c>
      <c r="B223" s="417" t="s">
        <v>2295</v>
      </c>
      <c r="C223" s="7" t="s">
        <v>2296</v>
      </c>
      <c r="D223" s="250" t="s">
        <v>201</v>
      </c>
      <c r="E223" s="275" t="s">
        <v>220</v>
      </c>
      <c r="F223" s="275">
        <v>24</v>
      </c>
      <c r="G223" s="222" t="s">
        <v>2297</v>
      </c>
      <c r="H223" s="7" t="s">
        <v>238</v>
      </c>
      <c r="I223" s="7"/>
      <c r="J223" s="7" t="s">
        <v>1635</v>
      </c>
      <c r="K223" s="7" t="s">
        <v>2298</v>
      </c>
      <c r="L223" s="222" t="s">
        <v>2299</v>
      </c>
      <c r="M223" s="7"/>
      <c r="N223" s="54">
        <v>45923</v>
      </c>
      <c r="O223" s="327" t="s">
        <v>2197</v>
      </c>
      <c r="P223" s="7" t="s">
        <v>242</v>
      </c>
      <c r="Q223" s="539">
        <v>0</v>
      </c>
      <c r="S223" s="282">
        <v>25</v>
      </c>
      <c r="T223" s="540">
        <v>0</v>
      </c>
      <c r="U223" s="634">
        <v>46044</v>
      </c>
      <c r="V223" s="542">
        <v>46041.5116773727</v>
      </c>
      <c r="W223" s="701">
        <v>12.5</v>
      </c>
      <c r="X223" s="543" t="s">
        <v>56</v>
      </c>
      <c r="Y223" s="544"/>
      <c r="Z223" s="545"/>
      <c r="AA223" s="543"/>
      <c r="AB223" s="545">
        <f t="shared" si="0"/>
        <v>12.5</v>
      </c>
      <c r="AC223" s="250" t="s">
        <v>213</v>
      </c>
      <c r="AD223" s="283">
        <f>25</f>
        <v>25</v>
      </c>
      <c r="AE223" s="540">
        <v>0</v>
      </c>
      <c r="AF223" s="634">
        <v>46075</v>
      </c>
      <c r="AG223" s="251">
        <v>46071</v>
      </c>
      <c r="AH223" s="335">
        <v>25</v>
      </c>
      <c r="AI223" s="336" t="s">
        <v>56</v>
      </c>
      <c r="AJ223" s="345"/>
      <c r="AK223" s="338"/>
      <c r="AL223" s="339"/>
      <c r="AM223" s="338">
        <f t="shared" si="7"/>
        <v>12.5</v>
      </c>
      <c r="AN223" s="340" t="s">
        <v>213</v>
      </c>
      <c r="AO223" s="282">
        <v>25</v>
      </c>
      <c r="AP223" s="540">
        <v>0</v>
      </c>
      <c r="AQ223" s="634">
        <v>46103</v>
      </c>
      <c r="AR223" s="485">
        <v>46094.8081778241</v>
      </c>
      <c r="AS223" s="335">
        <v>25</v>
      </c>
      <c r="AT223" s="337" t="s">
        <v>56</v>
      </c>
      <c r="AU223" s="337"/>
      <c r="AV223" s="335"/>
      <c r="AW223" s="337"/>
      <c r="AX223" s="335">
        <f t="shared" si="6"/>
        <v>12.5</v>
      </c>
      <c r="AY223" s="340" t="s">
        <v>213</v>
      </c>
      <c r="AZ223" s="282">
        <v>25</v>
      </c>
      <c r="BA223" s="540">
        <v>0</v>
      </c>
      <c r="BB223" s="634">
        <v>46134</v>
      </c>
      <c r="BC223" s="340" t="s">
        <v>905</v>
      </c>
      <c r="BD223" s="335">
        <v>25</v>
      </c>
      <c r="BE223" s="337" t="s">
        <v>23</v>
      </c>
      <c r="BF223" s="337"/>
      <c r="BG223" s="335"/>
      <c r="BH223" s="337"/>
      <c r="BI223" s="335">
        <f t="shared" si="3"/>
        <v>12.5</v>
      </c>
      <c r="BJ223" s="340"/>
      <c r="BK223" s="282">
        <v>25</v>
      </c>
      <c r="BL223" s="540">
        <v>0</v>
      </c>
      <c r="BM223" s="634">
        <v>46164</v>
      </c>
      <c r="BN223" s="340"/>
      <c r="BO223" s="335"/>
      <c r="BP223" s="337"/>
      <c r="BQ223" s="337"/>
      <c r="BR223" s="335"/>
      <c r="BS223" s="337"/>
      <c r="BT223" s="335">
        <f t="shared" si="4"/>
        <v>37.5</v>
      </c>
      <c r="BU223" s="340"/>
    </row>
    <row r="224" customHeight="1" spans="1:73">
      <c r="A224" s="702" t="s">
        <v>2300</v>
      </c>
      <c r="B224" s="694" t="s">
        <v>2062</v>
      </c>
      <c r="C224" s="301" t="s">
        <v>2301</v>
      </c>
      <c r="D224" s="250" t="s">
        <v>201</v>
      </c>
      <c r="E224" s="302" t="s">
        <v>220</v>
      </c>
      <c r="F224" s="302">
        <v>24</v>
      </c>
      <c r="G224" s="696" t="s">
        <v>2064</v>
      </c>
      <c r="H224" s="301" t="s">
        <v>238</v>
      </c>
      <c r="I224" s="301"/>
      <c r="J224" s="301" t="s">
        <v>2065</v>
      </c>
      <c r="K224" s="301" t="s">
        <v>2066</v>
      </c>
      <c r="L224" s="696" t="s">
        <v>2067</v>
      </c>
      <c r="M224" s="301"/>
      <c r="N224" s="703">
        <v>45925</v>
      </c>
      <c r="O224" s="461" t="s">
        <v>2197</v>
      </c>
      <c r="P224" s="301" t="s">
        <v>242</v>
      </c>
      <c r="Q224" s="539">
        <v>0</v>
      </c>
      <c r="S224" s="282">
        <v>25</v>
      </c>
      <c r="T224" s="540">
        <v>0</v>
      </c>
      <c r="U224" s="634">
        <v>46042</v>
      </c>
      <c r="V224" s="350" t="s">
        <v>385</v>
      </c>
      <c r="W224" s="539">
        <v>25</v>
      </c>
      <c r="X224" s="543" t="s">
        <v>56</v>
      </c>
      <c r="Y224" s="544"/>
      <c r="Z224" s="545"/>
      <c r="AA224" s="543"/>
      <c r="AB224" s="545">
        <f t="shared" si="0"/>
        <v>0</v>
      </c>
      <c r="AC224" s="250" t="s">
        <v>213</v>
      </c>
      <c r="AD224" s="283">
        <v>25</v>
      </c>
      <c r="AE224" s="540">
        <v>0</v>
      </c>
      <c r="AF224" s="634">
        <v>46073</v>
      </c>
      <c r="AG224" s="251">
        <v>46077</v>
      </c>
      <c r="AH224" s="335">
        <v>25</v>
      </c>
      <c r="AI224" s="336" t="s">
        <v>56</v>
      </c>
      <c r="AJ224" s="345"/>
      <c r="AK224" s="338"/>
      <c r="AL224" s="339"/>
      <c r="AM224" s="338">
        <f t="shared" si="7"/>
        <v>0</v>
      </c>
      <c r="AN224" s="340" t="s">
        <v>2302</v>
      </c>
      <c r="AO224" s="282">
        <v>25</v>
      </c>
      <c r="AP224" s="540">
        <v>0</v>
      </c>
      <c r="AQ224" s="634">
        <v>46101</v>
      </c>
      <c r="AR224" s="340" t="s">
        <v>748</v>
      </c>
      <c r="AS224" s="335">
        <v>25</v>
      </c>
      <c r="AT224" s="337" t="s">
        <v>35</v>
      </c>
      <c r="AU224" s="337"/>
      <c r="AV224" s="335"/>
      <c r="AW224" s="337"/>
      <c r="AX224" s="335">
        <f t="shared" si="6"/>
        <v>0</v>
      </c>
      <c r="AY224" s="340" t="s">
        <v>2303</v>
      </c>
      <c r="AZ224" s="282">
        <v>25</v>
      </c>
      <c r="BA224" s="540">
        <v>0</v>
      </c>
      <c r="BB224" s="634">
        <v>46132</v>
      </c>
      <c r="BC224" s="340" t="s">
        <v>411</v>
      </c>
      <c r="BD224" s="335">
        <v>25</v>
      </c>
      <c r="BE224" s="337" t="s">
        <v>56</v>
      </c>
      <c r="BF224" s="337"/>
      <c r="BG224" s="335"/>
      <c r="BH224" s="337"/>
      <c r="BI224" s="335">
        <f t="shared" si="3"/>
        <v>0</v>
      </c>
      <c r="BJ224" s="340" t="s">
        <v>2304</v>
      </c>
      <c r="BK224" s="282">
        <v>25</v>
      </c>
      <c r="BL224" s="540">
        <v>0</v>
      </c>
      <c r="BM224" s="634">
        <v>46162</v>
      </c>
      <c r="BN224" s="340"/>
      <c r="BO224" s="335"/>
      <c r="BP224" s="337"/>
      <c r="BQ224" s="337"/>
      <c r="BR224" s="335"/>
      <c r="BS224" s="337"/>
      <c r="BT224" s="335">
        <f t="shared" si="4"/>
        <v>25</v>
      </c>
      <c r="BU224" s="340"/>
    </row>
    <row r="225" customHeight="1" spans="1:73">
      <c r="A225" s="700" t="s">
        <v>2305</v>
      </c>
      <c r="B225" s="417" t="s">
        <v>2306</v>
      </c>
      <c r="C225" s="7" t="s">
        <v>2307</v>
      </c>
      <c r="D225" s="250" t="s">
        <v>201</v>
      </c>
      <c r="E225" s="275" t="s">
        <v>220</v>
      </c>
      <c r="F225" s="275">
        <v>12</v>
      </c>
      <c r="G225" s="222" t="s">
        <v>2308</v>
      </c>
      <c r="H225" s="7" t="s">
        <v>238</v>
      </c>
      <c r="I225" s="7" t="s">
        <v>220</v>
      </c>
      <c r="J225" s="7" t="s">
        <v>1145</v>
      </c>
      <c r="K225" s="7" t="s">
        <v>2309</v>
      </c>
      <c r="L225" s="222" t="s">
        <v>2310</v>
      </c>
      <c r="M225" s="7"/>
      <c r="N225" s="355">
        <v>45939</v>
      </c>
      <c r="O225" s="327" t="s">
        <v>384</v>
      </c>
      <c r="P225" s="7" t="s">
        <v>242</v>
      </c>
      <c r="Q225" s="539">
        <v>0</v>
      </c>
      <c r="R225" s="250" t="s">
        <v>2311</v>
      </c>
      <c r="S225" s="282">
        <v>20.54</v>
      </c>
      <c r="T225" s="540">
        <v>0</v>
      </c>
      <c r="U225" s="634">
        <v>46032</v>
      </c>
      <c r="V225" s="331">
        <v>46034</v>
      </c>
      <c r="W225" s="539">
        <v>20.54</v>
      </c>
      <c r="X225" s="543" t="s">
        <v>56</v>
      </c>
      <c r="Y225" s="544"/>
      <c r="Z225" s="545"/>
      <c r="AA225" s="543"/>
      <c r="AB225" s="545">
        <f t="shared" si="0"/>
        <v>0</v>
      </c>
      <c r="AC225" s="250" t="s">
        <v>2312</v>
      </c>
      <c r="AD225" s="283">
        <v>20.54</v>
      </c>
      <c r="AE225" s="540">
        <v>0</v>
      </c>
      <c r="AF225" s="634">
        <v>46063</v>
      </c>
      <c r="AG225" s="251">
        <v>46062</v>
      </c>
      <c r="AH225" s="335">
        <v>20.54</v>
      </c>
      <c r="AI225" s="336" t="s">
        <v>23</v>
      </c>
      <c r="AJ225" s="337"/>
      <c r="AK225" s="335"/>
      <c r="AL225" s="336"/>
      <c r="AM225" s="335">
        <f t="shared" si="7"/>
        <v>0</v>
      </c>
      <c r="AN225" s="340" t="s">
        <v>2313</v>
      </c>
      <c r="AO225" s="282">
        <v>20.54</v>
      </c>
      <c r="AP225" s="540">
        <v>0</v>
      </c>
      <c r="AQ225" s="634">
        <v>46091</v>
      </c>
      <c r="AR225" s="340" t="s">
        <v>233</v>
      </c>
      <c r="AS225" s="335">
        <v>20.54</v>
      </c>
      <c r="AT225" s="337" t="s">
        <v>56</v>
      </c>
      <c r="AU225" s="337"/>
      <c r="AV225" s="335"/>
      <c r="AW225" s="337"/>
      <c r="AX225" s="335">
        <f t="shared" si="6"/>
        <v>0</v>
      </c>
      <c r="AY225" s="340" t="s">
        <v>2314</v>
      </c>
      <c r="AZ225" s="282">
        <f>20.54+25</f>
        <v>45.54</v>
      </c>
      <c r="BA225" s="540">
        <v>0</v>
      </c>
      <c r="BB225" s="634">
        <v>46122</v>
      </c>
      <c r="BC225" s="485">
        <v>46119.7341384144</v>
      </c>
      <c r="BD225" s="335">
        <v>20.54</v>
      </c>
      <c r="BE225" s="337" t="s">
        <v>56</v>
      </c>
      <c r="BF225" s="337"/>
      <c r="BG225" s="335"/>
      <c r="BH225" s="337"/>
      <c r="BI225" s="335">
        <f t="shared" si="3"/>
        <v>25</v>
      </c>
      <c r="BJ225" s="340" t="s">
        <v>2315</v>
      </c>
      <c r="BK225" s="282">
        <f>20.54+25</f>
        <v>45.54</v>
      </c>
      <c r="BL225" s="540">
        <v>0</v>
      </c>
      <c r="BM225" s="634">
        <v>46152</v>
      </c>
      <c r="BN225" s="340"/>
      <c r="BO225" s="335"/>
      <c r="BP225" s="337"/>
      <c r="BQ225" s="337"/>
      <c r="BR225" s="335"/>
      <c r="BS225" s="337"/>
      <c r="BT225" s="335">
        <f t="shared" si="4"/>
        <v>70.54</v>
      </c>
      <c r="BU225" s="340"/>
    </row>
    <row r="226" customHeight="1" spans="1:73">
      <c r="A226" s="698" t="s">
        <v>2316</v>
      </c>
      <c r="B226" s="414" t="s">
        <v>2317</v>
      </c>
      <c r="C226" s="7" t="s">
        <v>2318</v>
      </c>
      <c r="D226" s="250" t="s">
        <v>201</v>
      </c>
      <c r="E226" s="275" t="s">
        <v>220</v>
      </c>
      <c r="F226" s="275">
        <v>24</v>
      </c>
      <c r="G226" s="222" t="s">
        <v>2319</v>
      </c>
      <c r="H226" s="7" t="s">
        <v>238</v>
      </c>
      <c r="I226" s="7" t="s">
        <v>220</v>
      </c>
      <c r="J226" s="7" t="s">
        <v>2291</v>
      </c>
      <c r="K226" s="7" t="s">
        <v>2320</v>
      </c>
      <c r="L226" s="222" t="s">
        <v>2321</v>
      </c>
      <c r="M226" s="7"/>
      <c r="N226" s="54">
        <v>45944</v>
      </c>
      <c r="O226" s="327" t="s">
        <v>384</v>
      </c>
      <c r="P226" s="7" t="s">
        <v>242</v>
      </c>
      <c r="Q226" s="539">
        <v>0</v>
      </c>
      <c r="S226" s="282">
        <v>20.54</v>
      </c>
      <c r="T226" s="540">
        <v>0</v>
      </c>
      <c r="U226" s="634">
        <v>46032</v>
      </c>
      <c r="V226" s="361">
        <v>46204</v>
      </c>
      <c r="W226" s="539">
        <v>20.54</v>
      </c>
      <c r="X226" s="543" t="s">
        <v>56</v>
      </c>
      <c r="Y226" s="544"/>
      <c r="Z226" s="545"/>
      <c r="AA226" s="543"/>
      <c r="AB226" s="545">
        <f t="shared" si="0"/>
        <v>0</v>
      </c>
      <c r="AC226" s="250" t="s">
        <v>213</v>
      </c>
      <c r="AD226" s="283">
        <v>20.54</v>
      </c>
      <c r="AE226" s="540">
        <v>0</v>
      </c>
      <c r="AF226" s="634">
        <v>46063</v>
      </c>
      <c r="AG226" s="485">
        <v>46076.4240627894</v>
      </c>
      <c r="AH226" s="335">
        <v>20.54</v>
      </c>
      <c r="AI226" s="336" t="s">
        <v>56</v>
      </c>
      <c r="AJ226" s="345"/>
      <c r="AK226" s="338"/>
      <c r="AL226" s="339"/>
      <c r="AM226" s="338">
        <f t="shared" si="7"/>
        <v>0</v>
      </c>
      <c r="AN226" s="340" t="s">
        <v>213</v>
      </c>
      <c r="AO226" s="282">
        <v>20.54</v>
      </c>
      <c r="AP226" s="540">
        <v>0</v>
      </c>
      <c r="AQ226" s="634">
        <v>46091</v>
      </c>
      <c r="AR226" s="340" t="s">
        <v>386</v>
      </c>
      <c r="AS226" s="335">
        <v>20.54</v>
      </c>
      <c r="AT226" s="337" t="s">
        <v>56</v>
      </c>
      <c r="AU226" s="337"/>
      <c r="AV226" s="335"/>
      <c r="AW226" s="337"/>
      <c r="AX226" s="335">
        <f t="shared" si="6"/>
        <v>0</v>
      </c>
      <c r="AY226" s="340" t="s">
        <v>213</v>
      </c>
      <c r="AZ226" s="282">
        <v>20.54</v>
      </c>
      <c r="BA226" s="540">
        <v>0</v>
      </c>
      <c r="BB226" s="634">
        <v>46122</v>
      </c>
      <c r="BC226" s="485">
        <v>46139.3929948843</v>
      </c>
      <c r="BD226" s="335">
        <v>20.54</v>
      </c>
      <c r="BE226" s="337" t="s">
        <v>56</v>
      </c>
      <c r="BF226" s="337"/>
      <c r="BG226" s="335"/>
      <c r="BH226" s="337"/>
      <c r="BI226" s="335">
        <f t="shared" si="3"/>
        <v>0</v>
      </c>
      <c r="BJ226" s="340"/>
      <c r="BK226" s="282">
        <v>20.54</v>
      </c>
      <c r="BL226" s="540">
        <v>0</v>
      </c>
      <c r="BM226" s="634">
        <v>46152</v>
      </c>
      <c r="BN226" s="340"/>
      <c r="BO226" s="335"/>
      <c r="BP226" s="337"/>
      <c r="BQ226" s="337"/>
      <c r="BR226" s="335"/>
      <c r="BS226" s="337"/>
      <c r="BT226" s="335">
        <f t="shared" si="4"/>
        <v>20.54</v>
      </c>
      <c r="BU226" s="340"/>
    </row>
    <row r="227" customHeight="1" spans="1:73">
      <c r="A227" s="698" t="s">
        <v>2322</v>
      </c>
      <c r="B227" s="414" t="s">
        <v>2323</v>
      </c>
      <c r="C227" s="7" t="s">
        <v>2324</v>
      </c>
      <c r="D227" s="250" t="s">
        <v>201</v>
      </c>
      <c r="E227" s="275" t="s">
        <v>220</v>
      </c>
      <c r="F227" s="275">
        <v>24</v>
      </c>
      <c r="G227" s="222" t="s">
        <v>2325</v>
      </c>
      <c r="H227" s="7" t="s">
        <v>238</v>
      </c>
      <c r="I227" s="7" t="s">
        <v>206</v>
      </c>
      <c r="J227" s="7" t="s">
        <v>2326</v>
      </c>
      <c r="K227" s="7" t="s">
        <v>2327</v>
      </c>
      <c r="L227" s="222" t="s">
        <v>2328</v>
      </c>
      <c r="M227" s="7"/>
      <c r="N227" s="54">
        <v>45944</v>
      </c>
      <c r="O227" s="327" t="s">
        <v>384</v>
      </c>
      <c r="P227" s="7" t="s">
        <v>242</v>
      </c>
      <c r="Q227" s="539">
        <v>0</v>
      </c>
      <c r="S227" s="282">
        <v>20.54</v>
      </c>
      <c r="T227" s="540">
        <v>0</v>
      </c>
      <c r="U227" s="634">
        <v>46032</v>
      </c>
      <c r="V227" s="331">
        <v>46039</v>
      </c>
      <c r="W227" s="539">
        <v>20.54</v>
      </c>
      <c r="X227" s="543" t="s">
        <v>56</v>
      </c>
      <c r="Y227" s="544"/>
      <c r="Z227" s="545"/>
      <c r="AA227" s="543"/>
      <c r="AB227" s="545">
        <f t="shared" si="0"/>
        <v>0</v>
      </c>
      <c r="AC227" s="250" t="s">
        <v>2329</v>
      </c>
      <c r="AD227" s="283">
        <v>20.54</v>
      </c>
      <c r="AE227" s="540">
        <v>0</v>
      </c>
      <c r="AF227" s="634">
        <v>46063</v>
      </c>
      <c r="AG227" s="251">
        <v>46067</v>
      </c>
      <c r="AH227" s="335">
        <v>20.54</v>
      </c>
      <c r="AI227" s="336" t="s">
        <v>56</v>
      </c>
      <c r="AJ227" s="337"/>
      <c r="AK227" s="335"/>
      <c r="AL227" s="336"/>
      <c r="AM227" s="335">
        <f t="shared" si="7"/>
        <v>0</v>
      </c>
      <c r="AN227" s="340" t="s">
        <v>2330</v>
      </c>
      <c r="AO227" s="282">
        <v>20.54</v>
      </c>
      <c r="AP227" s="540">
        <v>0</v>
      </c>
      <c r="AQ227" s="634">
        <v>46091</v>
      </c>
      <c r="AR227" s="340" t="s">
        <v>360</v>
      </c>
      <c r="AS227" s="335">
        <v>20.54</v>
      </c>
      <c r="AT227" s="337" t="s">
        <v>23</v>
      </c>
      <c r="AU227" s="337"/>
      <c r="AV227" s="335"/>
      <c r="AW227" s="337"/>
      <c r="AX227" s="335">
        <f t="shared" si="6"/>
        <v>0</v>
      </c>
      <c r="AY227" s="340" t="s">
        <v>2331</v>
      </c>
      <c r="AZ227" s="282">
        <v>20.54</v>
      </c>
      <c r="BA227" s="540">
        <v>0</v>
      </c>
      <c r="BB227" s="634">
        <v>46122</v>
      </c>
      <c r="BC227" s="485">
        <v>46132.7702747338</v>
      </c>
      <c r="BD227" s="335">
        <v>20.54</v>
      </c>
      <c r="BE227" s="337" t="s">
        <v>56</v>
      </c>
      <c r="BF227" s="337"/>
      <c r="BG227" s="335"/>
      <c r="BH227" s="337"/>
      <c r="BI227" s="335">
        <f t="shared" si="3"/>
        <v>0</v>
      </c>
      <c r="BJ227" s="340" t="s">
        <v>2332</v>
      </c>
      <c r="BK227" s="282">
        <v>20.54</v>
      </c>
      <c r="BL227" s="540">
        <v>0</v>
      </c>
      <c r="BM227" s="634">
        <v>46152</v>
      </c>
      <c r="BN227" s="340"/>
      <c r="BO227" s="335"/>
      <c r="BP227" s="337"/>
      <c r="BQ227" s="337"/>
      <c r="BR227" s="335"/>
      <c r="BS227" s="337"/>
      <c r="BT227" s="335">
        <f t="shared" si="4"/>
        <v>20.54</v>
      </c>
      <c r="BU227" s="340"/>
    </row>
    <row r="228" customHeight="1" spans="1:73">
      <c r="A228" s="698" t="s">
        <v>2333</v>
      </c>
      <c r="B228" s="414" t="s">
        <v>2334</v>
      </c>
      <c r="C228" s="7" t="s">
        <v>2335</v>
      </c>
      <c r="D228" s="250" t="s">
        <v>201</v>
      </c>
      <c r="E228" s="275" t="s">
        <v>220</v>
      </c>
      <c r="F228" s="275">
        <v>24</v>
      </c>
      <c r="G228" s="222" t="s">
        <v>2336</v>
      </c>
      <c r="H228" s="7" t="s">
        <v>238</v>
      </c>
      <c r="I228" s="7" t="s">
        <v>206</v>
      </c>
      <c r="J228" s="7" t="s">
        <v>2337</v>
      </c>
      <c r="K228" s="7" t="s">
        <v>2338</v>
      </c>
      <c r="L228" s="222" t="s">
        <v>2339</v>
      </c>
      <c r="M228" s="7"/>
      <c r="N228" s="54">
        <v>45945</v>
      </c>
      <c r="O228" s="327" t="s">
        <v>384</v>
      </c>
      <c r="P228" s="7" t="s">
        <v>242</v>
      </c>
      <c r="Q228" s="539">
        <v>0</v>
      </c>
      <c r="S228" s="282">
        <v>10.27</v>
      </c>
      <c r="T228" s="540">
        <v>0</v>
      </c>
      <c r="U228" s="634">
        <v>46023</v>
      </c>
      <c r="V228" s="331">
        <v>45664</v>
      </c>
      <c r="W228" s="539">
        <v>10.27</v>
      </c>
      <c r="X228" s="543" t="s">
        <v>56</v>
      </c>
      <c r="Y228" s="544"/>
      <c r="Z228" s="545"/>
      <c r="AA228" s="543"/>
      <c r="AB228" s="545">
        <f t="shared" si="0"/>
        <v>0</v>
      </c>
      <c r="AC228" s="250" t="s">
        <v>213</v>
      </c>
      <c r="AD228" s="283">
        <v>20.54</v>
      </c>
      <c r="AE228" s="540">
        <v>0</v>
      </c>
      <c r="AF228" s="634">
        <v>46054</v>
      </c>
      <c r="AG228" s="251">
        <v>46066</v>
      </c>
      <c r="AH228" s="335">
        <v>20.54</v>
      </c>
      <c r="AI228" s="336" t="s">
        <v>56</v>
      </c>
      <c r="AJ228" s="345"/>
      <c r="AK228" s="338"/>
      <c r="AL228" s="339"/>
      <c r="AM228" s="338">
        <f t="shared" si="7"/>
        <v>0</v>
      </c>
      <c r="AN228" s="340" t="s">
        <v>213</v>
      </c>
      <c r="AO228" s="282">
        <v>20.54</v>
      </c>
      <c r="AP228" s="540">
        <v>0</v>
      </c>
      <c r="AQ228" s="634">
        <v>46082</v>
      </c>
      <c r="AR228" s="485">
        <v>46099.4090301157</v>
      </c>
      <c r="AS228" s="335">
        <v>20.54</v>
      </c>
      <c r="AT228" s="337" t="s">
        <v>56</v>
      </c>
      <c r="AU228" s="337"/>
      <c r="AV228" s="335"/>
      <c r="AW228" s="337"/>
      <c r="AX228" s="335">
        <f t="shared" si="6"/>
        <v>0</v>
      </c>
      <c r="AY228" s="340" t="s">
        <v>213</v>
      </c>
      <c r="AZ228" s="282">
        <v>20.54</v>
      </c>
      <c r="BA228" s="540">
        <v>0</v>
      </c>
      <c r="BB228" s="634">
        <v>46113</v>
      </c>
      <c r="BC228" s="485">
        <v>46134.4948066319</v>
      </c>
      <c r="BD228" s="335">
        <v>20.54</v>
      </c>
      <c r="BE228" s="337" t="s">
        <v>56</v>
      </c>
      <c r="BF228" s="337"/>
      <c r="BG228" s="335"/>
      <c r="BH228" s="337"/>
      <c r="BI228" s="335">
        <f t="shared" si="3"/>
        <v>0</v>
      </c>
      <c r="BJ228" s="340"/>
      <c r="BK228" s="282">
        <v>20.54</v>
      </c>
      <c r="BL228" s="540">
        <v>0</v>
      </c>
      <c r="BM228" s="634">
        <v>46143</v>
      </c>
      <c r="BN228" s="340"/>
      <c r="BO228" s="335"/>
      <c r="BP228" s="337"/>
      <c r="BQ228" s="337"/>
      <c r="BR228" s="335"/>
      <c r="BS228" s="337"/>
      <c r="BT228" s="335">
        <f t="shared" si="4"/>
        <v>20.54</v>
      </c>
      <c r="BU228" s="340"/>
    </row>
    <row r="229" customHeight="1" spans="1:73">
      <c r="A229" s="700" t="s">
        <v>2340</v>
      </c>
      <c r="B229" s="305" t="s">
        <v>2341</v>
      </c>
      <c r="C229" s="7" t="s">
        <v>2342</v>
      </c>
      <c r="D229" s="250" t="s">
        <v>201</v>
      </c>
      <c r="E229" s="275" t="s">
        <v>220</v>
      </c>
      <c r="F229" s="275">
        <v>24</v>
      </c>
      <c r="G229" s="222" t="s">
        <v>2343</v>
      </c>
      <c r="H229" s="7" t="s">
        <v>238</v>
      </c>
      <c r="I229" s="7" t="s">
        <v>220</v>
      </c>
      <c r="J229" s="7" t="s">
        <v>2344</v>
      </c>
      <c r="K229" s="7" t="s">
        <v>2345</v>
      </c>
      <c r="L229" s="222" t="s">
        <v>2346</v>
      </c>
      <c r="M229" s="7"/>
      <c r="N229" s="54">
        <v>45946</v>
      </c>
      <c r="O229" s="327" t="s">
        <v>384</v>
      </c>
      <c r="P229" s="7" t="s">
        <v>242</v>
      </c>
      <c r="Q229" s="539">
        <v>0</v>
      </c>
      <c r="S229" s="282">
        <v>10</v>
      </c>
      <c r="T229" s="540">
        <v>0</v>
      </c>
      <c r="U229" s="634">
        <v>46032</v>
      </c>
      <c r="V229" s="350"/>
      <c r="W229" s="545"/>
      <c r="X229" s="543"/>
      <c r="Y229" s="544"/>
      <c r="Z229" s="545"/>
      <c r="AA229" s="543"/>
      <c r="AB229" s="545">
        <f t="shared" si="0"/>
        <v>10</v>
      </c>
      <c r="AC229" s="250" t="s">
        <v>2347</v>
      </c>
      <c r="AD229" s="283">
        <v>10</v>
      </c>
      <c r="AE229" s="540">
        <v>0</v>
      </c>
      <c r="AF229" s="634">
        <v>46063</v>
      </c>
      <c r="AG229" s="250"/>
      <c r="AH229" s="335"/>
      <c r="AI229" s="336"/>
      <c r="AJ229" s="337"/>
      <c r="AK229" s="335"/>
      <c r="AL229" s="336"/>
      <c r="AM229" s="335">
        <f t="shared" si="7"/>
        <v>20</v>
      </c>
      <c r="AN229" s="340" t="s">
        <v>213</v>
      </c>
      <c r="AO229" s="282">
        <v>20.54</v>
      </c>
      <c r="AP229" s="540">
        <v>0</v>
      </c>
      <c r="AQ229" s="634">
        <v>46091</v>
      </c>
      <c r="AR229" s="340" t="s">
        <v>309</v>
      </c>
      <c r="AS229" s="335">
        <v>40.5</v>
      </c>
      <c r="AT229" s="337" t="s">
        <v>23</v>
      </c>
      <c r="AU229" s="337"/>
      <c r="AV229" s="335"/>
      <c r="AW229" s="337"/>
      <c r="AX229" s="335">
        <f t="shared" si="6"/>
        <v>0.0399999999999991</v>
      </c>
      <c r="AY229" s="340" t="s">
        <v>213</v>
      </c>
      <c r="AZ229" s="282">
        <v>20.54</v>
      </c>
      <c r="BA229" s="540">
        <v>0</v>
      </c>
      <c r="BB229" s="634">
        <v>46122</v>
      </c>
      <c r="BC229" s="340" t="s">
        <v>375</v>
      </c>
      <c r="BD229" s="335">
        <v>20.5</v>
      </c>
      <c r="BE229" s="337" t="s">
        <v>23</v>
      </c>
      <c r="BF229" s="337"/>
      <c r="BG229" s="335"/>
      <c r="BH229" s="337"/>
      <c r="BI229" s="335">
        <f t="shared" si="3"/>
        <v>0.0799999999999983</v>
      </c>
      <c r="BJ229" s="340"/>
      <c r="BK229" s="282">
        <v>20.54</v>
      </c>
      <c r="BL229" s="540">
        <v>0</v>
      </c>
      <c r="BM229" s="634">
        <v>46152</v>
      </c>
      <c r="BN229" s="340"/>
      <c r="BO229" s="335"/>
      <c r="BP229" s="337"/>
      <c r="BQ229" s="337"/>
      <c r="BR229" s="335"/>
      <c r="BS229" s="337"/>
      <c r="BT229" s="335">
        <f t="shared" si="4"/>
        <v>20.62</v>
      </c>
      <c r="BU229" s="340"/>
    </row>
    <row r="230" customHeight="1" spans="1:73">
      <c r="A230" s="700" t="s">
        <v>2348</v>
      </c>
      <c r="B230" s="305" t="s">
        <v>2349</v>
      </c>
      <c r="C230" s="7" t="s">
        <v>2350</v>
      </c>
      <c r="D230" s="250" t="s">
        <v>201</v>
      </c>
      <c r="E230" s="275" t="s">
        <v>220</v>
      </c>
      <c r="F230" s="275">
        <v>24</v>
      </c>
      <c r="G230" s="222" t="s">
        <v>2351</v>
      </c>
      <c r="H230" s="7" t="s">
        <v>238</v>
      </c>
      <c r="I230" s="7" t="s">
        <v>206</v>
      </c>
      <c r="J230" s="7" t="s">
        <v>2352</v>
      </c>
      <c r="K230" s="7" t="s">
        <v>1373</v>
      </c>
      <c r="L230" s="222" t="s">
        <v>1374</v>
      </c>
      <c r="M230" s="7"/>
      <c r="N230" s="54">
        <v>45955</v>
      </c>
      <c r="O230" s="461" t="s">
        <v>2197</v>
      </c>
      <c r="P230" s="7" t="s">
        <v>242</v>
      </c>
      <c r="Q230" s="539">
        <v>0</v>
      </c>
      <c r="S230" s="282">
        <v>12.5</v>
      </c>
      <c r="T230" s="540">
        <v>0</v>
      </c>
      <c r="U230" s="691">
        <v>46072</v>
      </c>
      <c r="V230" s="331">
        <v>46041</v>
      </c>
      <c r="W230" s="539">
        <v>12.5</v>
      </c>
      <c r="X230" s="543" t="s">
        <v>56</v>
      </c>
      <c r="Y230" s="544"/>
      <c r="Z230" s="545"/>
      <c r="AA230" s="543"/>
      <c r="AB230" s="545">
        <f t="shared" si="0"/>
        <v>0</v>
      </c>
      <c r="AC230" s="250" t="s">
        <v>213</v>
      </c>
      <c r="AD230" s="283">
        <v>12.5</v>
      </c>
      <c r="AE230" s="540">
        <v>0</v>
      </c>
      <c r="AF230" s="691">
        <v>46100</v>
      </c>
      <c r="AG230" s="485">
        <v>46073.6993587269</v>
      </c>
      <c r="AH230" s="335">
        <v>12.5</v>
      </c>
      <c r="AI230" s="336" t="s">
        <v>56</v>
      </c>
      <c r="AJ230" s="345"/>
      <c r="AK230" s="338"/>
      <c r="AL230" s="339"/>
      <c r="AM230" s="338">
        <f t="shared" si="7"/>
        <v>0</v>
      </c>
      <c r="AN230" s="340" t="s">
        <v>947</v>
      </c>
      <c r="AO230" s="282">
        <v>12.5</v>
      </c>
      <c r="AP230" s="540">
        <v>0</v>
      </c>
      <c r="AQ230" s="691">
        <v>46131</v>
      </c>
      <c r="AR230" s="340" t="s">
        <v>748</v>
      </c>
      <c r="AS230" s="335">
        <v>12.5</v>
      </c>
      <c r="AT230" s="337" t="s">
        <v>56</v>
      </c>
      <c r="AU230" s="337"/>
      <c r="AV230" s="335"/>
      <c r="AW230" s="337"/>
      <c r="AX230" s="335">
        <f t="shared" si="6"/>
        <v>0</v>
      </c>
      <c r="AY230" s="340" t="s">
        <v>213</v>
      </c>
      <c r="AZ230" s="282">
        <v>12.5</v>
      </c>
      <c r="BA230" s="540">
        <v>0</v>
      </c>
      <c r="BB230" s="691">
        <v>46161</v>
      </c>
      <c r="BC230" s="485">
        <v>46132.6473349653</v>
      </c>
      <c r="BD230" s="335">
        <v>12.5</v>
      </c>
      <c r="BE230" s="337" t="s">
        <v>56</v>
      </c>
      <c r="BF230" s="337"/>
      <c r="BG230" s="335"/>
      <c r="BH230" s="337"/>
      <c r="BI230" s="335">
        <f t="shared" si="3"/>
        <v>0</v>
      </c>
      <c r="BJ230" s="340"/>
      <c r="BK230" s="282">
        <v>12.5</v>
      </c>
      <c r="BL230" s="540">
        <v>0</v>
      </c>
      <c r="BM230" s="691">
        <v>46192</v>
      </c>
      <c r="BN230" s="340"/>
      <c r="BO230" s="335"/>
      <c r="BP230" s="337"/>
      <c r="BQ230" s="337"/>
      <c r="BR230" s="335"/>
      <c r="BS230" s="337"/>
      <c r="BT230" s="335">
        <f t="shared" si="4"/>
        <v>12.5</v>
      </c>
      <c r="BU230" s="340"/>
    </row>
    <row r="231" customHeight="1" spans="1:73">
      <c r="A231" s="699" t="s">
        <v>2353</v>
      </c>
      <c r="B231" s="704" t="s">
        <v>2354</v>
      </c>
      <c r="C231" s="307" t="s">
        <v>2355</v>
      </c>
      <c r="D231" s="250" t="s">
        <v>201</v>
      </c>
      <c r="E231" s="307"/>
      <c r="F231" s="466">
        <v>24</v>
      </c>
      <c r="G231" s="467" t="s">
        <v>2356</v>
      </c>
      <c r="H231" s="307" t="s">
        <v>238</v>
      </c>
      <c r="I231" s="307" t="s">
        <v>206</v>
      </c>
      <c r="J231" s="307" t="s">
        <v>2357</v>
      </c>
      <c r="K231" s="307" t="s">
        <v>2358</v>
      </c>
      <c r="L231" s="467" t="s">
        <v>2359</v>
      </c>
      <c r="M231" s="307"/>
      <c r="N231" s="483">
        <v>45965</v>
      </c>
      <c r="O231" s="327" t="s">
        <v>2197</v>
      </c>
      <c r="P231" s="307" t="s">
        <v>242</v>
      </c>
      <c r="Q231" s="539">
        <v>0</v>
      </c>
      <c r="S231" s="282">
        <v>12.5</v>
      </c>
      <c r="T231" s="540">
        <v>0</v>
      </c>
      <c r="U231" s="634">
        <v>46044</v>
      </c>
      <c r="V231" s="331">
        <v>46034</v>
      </c>
      <c r="W231" s="539">
        <v>12.5</v>
      </c>
      <c r="X231" s="543" t="s">
        <v>56</v>
      </c>
      <c r="Y231" s="544"/>
      <c r="Z231" s="545"/>
      <c r="AA231" s="543"/>
      <c r="AB231" s="545">
        <f t="shared" si="0"/>
        <v>0</v>
      </c>
      <c r="AC231" s="250" t="s">
        <v>213</v>
      </c>
      <c r="AD231" s="283">
        <v>25</v>
      </c>
      <c r="AE231" s="540">
        <v>0</v>
      </c>
      <c r="AF231" s="634">
        <v>46075</v>
      </c>
      <c r="AG231" s="485">
        <v>46079.5265019907</v>
      </c>
      <c r="AH231" s="335">
        <v>25</v>
      </c>
      <c r="AI231" s="336" t="s">
        <v>56</v>
      </c>
      <c r="AJ231" s="345"/>
      <c r="AK231" s="338"/>
      <c r="AL231" s="339"/>
      <c r="AM231" s="338">
        <f t="shared" si="7"/>
        <v>0</v>
      </c>
      <c r="AN231" s="340" t="s">
        <v>213</v>
      </c>
      <c r="AO231" s="282">
        <v>25</v>
      </c>
      <c r="AP231" s="540">
        <v>0</v>
      </c>
      <c r="AQ231" s="634">
        <v>46103</v>
      </c>
      <c r="AR231" s="340" t="s">
        <v>386</v>
      </c>
      <c r="AS231" s="335">
        <v>25</v>
      </c>
      <c r="AT231" s="337" t="s">
        <v>56</v>
      </c>
      <c r="AU231" s="337"/>
      <c r="AV231" s="335"/>
      <c r="AW231" s="337"/>
      <c r="AX231" s="335">
        <f t="shared" si="6"/>
        <v>0</v>
      </c>
      <c r="AY231" s="340" t="s">
        <v>213</v>
      </c>
      <c r="AZ231" s="282">
        <v>25</v>
      </c>
      <c r="BA231" s="540">
        <v>0</v>
      </c>
      <c r="BB231" s="634">
        <v>46134</v>
      </c>
      <c r="BC231" s="485">
        <v>46136.3791541204</v>
      </c>
      <c r="BD231" s="335">
        <v>25</v>
      </c>
      <c r="BE231" s="337" t="s">
        <v>56</v>
      </c>
      <c r="BF231" s="337"/>
      <c r="BG231" s="335"/>
      <c r="BH231" s="337"/>
      <c r="BI231" s="335">
        <f t="shared" si="3"/>
        <v>0</v>
      </c>
      <c r="BJ231" s="340" t="s">
        <v>2360</v>
      </c>
      <c r="BK231" s="282">
        <v>25</v>
      </c>
      <c r="BL231" s="540">
        <v>0</v>
      </c>
      <c r="BM231" s="634">
        <v>46164</v>
      </c>
      <c r="BN231" s="340"/>
      <c r="BO231" s="335"/>
      <c r="BP231" s="337"/>
      <c r="BQ231" s="337"/>
      <c r="BR231" s="335"/>
      <c r="BS231" s="337"/>
      <c r="BT231" s="335">
        <f t="shared" si="4"/>
        <v>25</v>
      </c>
      <c r="BU231" s="340"/>
    </row>
    <row r="232" customHeight="1" spans="1:73">
      <c r="A232" s="700" t="s">
        <v>2361</v>
      </c>
      <c r="B232" s="305" t="s">
        <v>2362</v>
      </c>
      <c r="C232" s="7" t="s">
        <v>2363</v>
      </c>
      <c r="D232" s="250" t="s">
        <v>201</v>
      </c>
      <c r="E232" s="275" t="s">
        <v>220</v>
      </c>
      <c r="F232" s="275">
        <v>24</v>
      </c>
      <c r="G232" s="222" t="s">
        <v>2364</v>
      </c>
      <c r="H232" s="7" t="s">
        <v>238</v>
      </c>
      <c r="I232" s="7" t="s">
        <v>220</v>
      </c>
      <c r="J232" s="7" t="s">
        <v>2365</v>
      </c>
      <c r="K232" s="7" t="s">
        <v>2366</v>
      </c>
      <c r="L232" s="222" t="s">
        <v>2367</v>
      </c>
      <c r="M232" s="7"/>
      <c r="N232" s="54">
        <v>45972</v>
      </c>
      <c r="O232" s="327" t="s">
        <v>384</v>
      </c>
      <c r="P232" s="7" t="s">
        <v>242</v>
      </c>
      <c r="Q232" s="539">
        <v>0</v>
      </c>
      <c r="S232" s="282">
        <v>20.54</v>
      </c>
      <c r="T232" s="540">
        <v>0</v>
      </c>
      <c r="U232" s="634">
        <v>46032</v>
      </c>
      <c r="V232" s="331">
        <v>46034</v>
      </c>
      <c r="W232" s="539">
        <v>20.54</v>
      </c>
      <c r="X232" s="543" t="s">
        <v>56</v>
      </c>
      <c r="Y232" s="544"/>
      <c r="Z232" s="545"/>
      <c r="AA232" s="543"/>
      <c r="AB232" s="545">
        <f t="shared" si="0"/>
        <v>0</v>
      </c>
      <c r="AC232" s="250" t="s">
        <v>213</v>
      </c>
      <c r="AD232" s="283">
        <v>20.54</v>
      </c>
      <c r="AE232" s="540">
        <v>0</v>
      </c>
      <c r="AF232" s="634">
        <v>46063</v>
      </c>
      <c r="AG232" s="485">
        <v>46076.3689226157</v>
      </c>
      <c r="AH232" s="335">
        <v>20.54</v>
      </c>
      <c r="AI232" s="336" t="s">
        <v>56</v>
      </c>
      <c r="AJ232" s="345"/>
      <c r="AK232" s="338"/>
      <c r="AL232" s="339"/>
      <c r="AM232" s="338">
        <f t="shared" si="7"/>
        <v>0</v>
      </c>
      <c r="AN232" s="340" t="s">
        <v>213</v>
      </c>
      <c r="AO232" s="282">
        <v>20.54</v>
      </c>
      <c r="AP232" s="540">
        <v>0</v>
      </c>
      <c r="AQ232" s="634">
        <v>46091</v>
      </c>
      <c r="AR232" s="485">
        <v>46092.8066537269</v>
      </c>
      <c r="AS232" s="335">
        <v>20.54</v>
      </c>
      <c r="AT232" s="337" t="s">
        <v>56</v>
      </c>
      <c r="AU232" s="337"/>
      <c r="AV232" s="335"/>
      <c r="AW232" s="337"/>
      <c r="AX232" s="335">
        <f t="shared" si="6"/>
        <v>0</v>
      </c>
      <c r="AY232" s="340" t="s">
        <v>213</v>
      </c>
      <c r="AZ232" s="282">
        <v>20.54</v>
      </c>
      <c r="BA232" s="540">
        <v>0</v>
      </c>
      <c r="BB232" s="634">
        <v>46122</v>
      </c>
      <c r="BC232" s="340" t="s">
        <v>375</v>
      </c>
      <c r="BD232" s="335">
        <v>20.54</v>
      </c>
      <c r="BE232" s="337" t="s">
        <v>56</v>
      </c>
      <c r="BF232" s="337"/>
      <c r="BG232" s="335"/>
      <c r="BH232" s="337"/>
      <c r="BI232" s="335">
        <f t="shared" si="3"/>
        <v>0</v>
      </c>
      <c r="BJ232" s="340"/>
      <c r="BK232" s="282">
        <v>20.54</v>
      </c>
      <c r="BL232" s="540">
        <v>0</v>
      </c>
      <c r="BM232" s="634">
        <v>46152</v>
      </c>
      <c r="BN232" s="340"/>
      <c r="BO232" s="335"/>
      <c r="BP232" s="337"/>
      <c r="BQ232" s="337"/>
      <c r="BR232" s="335"/>
      <c r="BS232" s="337"/>
      <c r="BT232" s="335">
        <f t="shared" si="4"/>
        <v>20.54</v>
      </c>
      <c r="BU232" s="340"/>
    </row>
    <row r="233" customHeight="1" spans="1:73">
      <c r="A233" s="535" t="s">
        <v>2368</v>
      </c>
      <c r="B233" s="427" t="s">
        <v>2369</v>
      </c>
      <c r="C233" s="7" t="s">
        <v>2370</v>
      </c>
      <c r="D233" s="250" t="s">
        <v>201</v>
      </c>
      <c r="E233" s="275" t="s">
        <v>220</v>
      </c>
      <c r="F233" s="275">
        <v>24</v>
      </c>
      <c r="G233" s="222" t="s">
        <v>2371</v>
      </c>
      <c r="H233" s="7" t="s">
        <v>238</v>
      </c>
      <c r="I233" s="7" t="s">
        <v>206</v>
      </c>
      <c r="J233" s="7" t="s">
        <v>2372</v>
      </c>
      <c r="K233" s="7" t="s">
        <v>2373</v>
      </c>
      <c r="L233" s="222" t="s">
        <v>2374</v>
      </c>
      <c r="M233" s="7"/>
      <c r="N233" s="54">
        <v>45972</v>
      </c>
      <c r="O233" s="327" t="s">
        <v>384</v>
      </c>
      <c r="P233" s="7" t="s">
        <v>242</v>
      </c>
      <c r="Q233" s="539">
        <v>0</v>
      </c>
      <c r="S233" s="282">
        <v>13</v>
      </c>
      <c r="T233" s="540">
        <v>0</v>
      </c>
      <c r="U233" s="634">
        <v>46033</v>
      </c>
      <c r="V233" s="331">
        <v>46030</v>
      </c>
      <c r="W233" s="539">
        <v>13</v>
      </c>
      <c r="X233" s="543" t="s">
        <v>56</v>
      </c>
      <c r="Y233" s="544"/>
      <c r="Z233" s="545"/>
      <c r="AA233" s="543"/>
      <c r="AB233" s="545">
        <f t="shared" si="0"/>
        <v>0</v>
      </c>
      <c r="AC233" s="250" t="s">
        <v>213</v>
      </c>
      <c r="AD233" s="283">
        <v>20.54</v>
      </c>
      <c r="AE233" s="540">
        <v>0</v>
      </c>
      <c r="AF233" s="634">
        <v>46064</v>
      </c>
      <c r="AG233" s="251">
        <v>46063</v>
      </c>
      <c r="AH233" s="335">
        <v>20.54</v>
      </c>
      <c r="AI233" s="336" t="s">
        <v>56</v>
      </c>
      <c r="AJ233" s="345"/>
      <c r="AK233" s="338"/>
      <c r="AL233" s="339"/>
      <c r="AM233" s="338">
        <f t="shared" si="7"/>
        <v>0</v>
      </c>
      <c r="AN233" s="340" t="s">
        <v>213</v>
      </c>
      <c r="AO233" s="282">
        <v>20.54</v>
      </c>
      <c r="AP233" s="540">
        <v>0</v>
      </c>
      <c r="AQ233" s="634">
        <v>46092</v>
      </c>
      <c r="AR233" s="340" t="s">
        <v>233</v>
      </c>
      <c r="AS233" s="335">
        <v>20.54</v>
      </c>
      <c r="AT233" s="337" t="s">
        <v>56</v>
      </c>
      <c r="AU233" s="337"/>
      <c r="AV233" s="335"/>
      <c r="AW233" s="337"/>
      <c r="AX233" s="335">
        <f t="shared" si="6"/>
        <v>0</v>
      </c>
      <c r="AY233" s="340" t="s">
        <v>213</v>
      </c>
      <c r="AZ233" s="282">
        <v>20.54</v>
      </c>
      <c r="BA233" s="540">
        <v>0</v>
      </c>
      <c r="BB233" s="634">
        <v>46123</v>
      </c>
      <c r="BC233" s="340" t="s">
        <v>2375</v>
      </c>
      <c r="BD233" s="335">
        <v>20.54</v>
      </c>
      <c r="BE233" s="337" t="s">
        <v>56</v>
      </c>
      <c r="BF233" s="337"/>
      <c r="BG233" s="335"/>
      <c r="BH233" s="337"/>
      <c r="BI233" s="335">
        <f t="shared" si="3"/>
        <v>0</v>
      </c>
      <c r="BJ233" s="340"/>
      <c r="BK233" s="282">
        <v>20.54</v>
      </c>
      <c r="BL233" s="540">
        <v>0</v>
      </c>
      <c r="BM233" s="634">
        <v>46153</v>
      </c>
      <c r="BN233" s="340"/>
      <c r="BO233" s="335"/>
      <c r="BP233" s="337"/>
      <c r="BQ233" s="337"/>
      <c r="BR233" s="335"/>
      <c r="BS233" s="337"/>
      <c r="BT233" s="335">
        <f t="shared" si="4"/>
        <v>20.54</v>
      </c>
      <c r="BU233" s="340"/>
    </row>
    <row r="234" customHeight="1" spans="1:73">
      <c r="A234" s="595" t="s">
        <v>2376</v>
      </c>
      <c r="B234" s="7"/>
      <c r="C234" s="7"/>
      <c r="D234" s="250" t="s">
        <v>251</v>
      </c>
      <c r="E234" s="7"/>
      <c r="F234" s="7"/>
      <c r="G234" s="222"/>
      <c r="H234" s="7"/>
      <c r="I234" s="7"/>
      <c r="J234" s="7"/>
      <c r="K234" s="7"/>
      <c r="L234" s="222"/>
      <c r="M234" s="7"/>
      <c r="N234" s="7"/>
      <c r="O234" s="327"/>
      <c r="P234" s="7"/>
      <c r="Q234" s="539">
        <v>0</v>
      </c>
      <c r="T234" s="540">
        <v>0</v>
      </c>
      <c r="U234" s="559"/>
      <c r="V234" s="350"/>
      <c r="W234" s="545"/>
      <c r="X234" s="543"/>
      <c r="Y234" s="544"/>
      <c r="Z234" s="545"/>
      <c r="AA234" s="543"/>
      <c r="AB234" s="545">
        <f t="shared" si="0"/>
        <v>0</v>
      </c>
      <c r="AC234" s="250" t="s">
        <v>213</v>
      </c>
      <c r="AD234" s="280"/>
      <c r="AE234" s="540">
        <v>0</v>
      </c>
      <c r="AF234" s="559"/>
      <c r="AH234" s="338"/>
      <c r="AI234" s="339"/>
      <c r="AJ234" s="345"/>
      <c r="AK234" s="338"/>
      <c r="AL234" s="339"/>
      <c r="AM234" s="338">
        <f t="shared" si="7"/>
        <v>0</v>
      </c>
      <c r="AN234" s="340" t="s">
        <v>213</v>
      </c>
      <c r="AP234" s="540">
        <v>0</v>
      </c>
      <c r="AQ234" s="559"/>
      <c r="AR234" s="340"/>
      <c r="AS234" s="335"/>
      <c r="AT234" s="337"/>
      <c r="AU234" s="337"/>
      <c r="AV234" s="335"/>
      <c r="AW234" s="337"/>
      <c r="AX234" s="335">
        <f t="shared" si="6"/>
        <v>0</v>
      </c>
      <c r="AY234" s="340" t="s">
        <v>213</v>
      </c>
      <c r="BA234" s="540">
        <v>0</v>
      </c>
      <c r="BB234" s="559"/>
      <c r="BC234" s="340"/>
      <c r="BD234" s="335"/>
      <c r="BE234" s="337"/>
      <c r="BF234" s="337"/>
      <c r="BG234" s="335"/>
      <c r="BH234" s="337"/>
      <c r="BI234" s="335">
        <f t="shared" si="3"/>
        <v>0</v>
      </c>
      <c r="BJ234" s="340"/>
      <c r="BL234" s="540">
        <v>0</v>
      </c>
      <c r="BM234" s="559"/>
      <c r="BN234" s="340"/>
      <c r="BO234" s="335"/>
      <c r="BP234" s="337"/>
      <c r="BQ234" s="337"/>
      <c r="BR234" s="335"/>
      <c r="BS234" s="337"/>
      <c r="BT234" s="335">
        <f t="shared" si="4"/>
        <v>0</v>
      </c>
      <c r="BU234" s="340"/>
    </row>
    <row r="235" customHeight="1" spans="1:73">
      <c r="A235" s="700" t="s">
        <v>2377</v>
      </c>
      <c r="B235" s="414" t="s">
        <v>2378</v>
      </c>
      <c r="C235" s="7" t="s">
        <v>2379</v>
      </c>
      <c r="D235" s="250" t="s">
        <v>201</v>
      </c>
      <c r="E235" s="275" t="s">
        <v>220</v>
      </c>
      <c r="F235" s="275">
        <v>24</v>
      </c>
      <c r="G235" s="222" t="s">
        <v>2380</v>
      </c>
      <c r="H235" s="7" t="s">
        <v>238</v>
      </c>
      <c r="I235" s="7" t="s">
        <v>220</v>
      </c>
      <c r="J235" s="7" t="s">
        <v>2381</v>
      </c>
      <c r="K235" s="7" t="s">
        <v>2382</v>
      </c>
      <c r="L235" s="222" t="s">
        <v>2383</v>
      </c>
      <c r="M235" s="7"/>
      <c r="N235" s="54">
        <v>45975</v>
      </c>
      <c r="O235" s="327" t="s">
        <v>384</v>
      </c>
      <c r="P235" s="7" t="s">
        <v>242</v>
      </c>
      <c r="Q235" s="539">
        <v>0</v>
      </c>
      <c r="S235" s="282">
        <v>20.54</v>
      </c>
      <c r="T235" s="540">
        <v>0</v>
      </c>
      <c r="U235" s="634">
        <v>46032</v>
      </c>
      <c r="V235" s="331">
        <v>45665</v>
      </c>
      <c r="W235" s="539">
        <v>20.54</v>
      </c>
      <c r="X235" s="543" t="s">
        <v>56</v>
      </c>
      <c r="Y235" s="544"/>
      <c r="Z235" s="545"/>
      <c r="AA235" s="543"/>
      <c r="AB235" s="545">
        <f t="shared" si="0"/>
        <v>0</v>
      </c>
      <c r="AC235" s="250" t="s">
        <v>213</v>
      </c>
      <c r="AD235" s="283">
        <v>20.54</v>
      </c>
      <c r="AE235" s="540">
        <v>0</v>
      </c>
      <c r="AF235" s="634">
        <v>46063</v>
      </c>
      <c r="AG235" s="251">
        <v>46062</v>
      </c>
      <c r="AH235" s="335">
        <v>20.54</v>
      </c>
      <c r="AI235" s="336" t="s">
        <v>56</v>
      </c>
      <c r="AJ235" s="345"/>
      <c r="AK235" s="338"/>
      <c r="AL235" s="339"/>
      <c r="AM235" s="338">
        <f t="shared" si="7"/>
        <v>0</v>
      </c>
      <c r="AN235" s="340" t="s">
        <v>213</v>
      </c>
      <c r="AO235" s="282">
        <v>20.54</v>
      </c>
      <c r="AP235" s="540">
        <v>0</v>
      </c>
      <c r="AQ235" s="634">
        <v>46091</v>
      </c>
      <c r="AR235" s="340" t="s">
        <v>309</v>
      </c>
      <c r="AS235" s="335">
        <v>20.55</v>
      </c>
      <c r="AT235" s="337" t="s">
        <v>56</v>
      </c>
      <c r="AU235" s="337"/>
      <c r="AV235" s="335"/>
      <c r="AW235" s="337"/>
      <c r="AX235" s="335">
        <f t="shared" si="6"/>
        <v>-0.0100000000000016</v>
      </c>
      <c r="AY235" s="340" t="s">
        <v>213</v>
      </c>
      <c r="AZ235" s="282">
        <v>20.54</v>
      </c>
      <c r="BA235" s="540">
        <v>0</v>
      </c>
      <c r="BB235" s="634">
        <v>46122</v>
      </c>
      <c r="BC235" s="485">
        <v>46116.4777287269</v>
      </c>
      <c r="BD235" s="335">
        <v>20.53</v>
      </c>
      <c r="BE235" s="337" t="s">
        <v>56</v>
      </c>
      <c r="BF235" s="337"/>
      <c r="BG235" s="335"/>
      <c r="BH235" s="337"/>
      <c r="BI235" s="335">
        <f t="shared" si="3"/>
        <v>0</v>
      </c>
      <c r="BJ235" s="340"/>
      <c r="BK235" s="282">
        <v>20.54</v>
      </c>
      <c r="BL235" s="540">
        <v>0</v>
      </c>
      <c r="BM235" s="634">
        <v>46152</v>
      </c>
      <c r="BN235" s="340"/>
      <c r="BO235" s="335"/>
      <c r="BP235" s="337"/>
      <c r="BQ235" s="337"/>
      <c r="BR235" s="335"/>
      <c r="BS235" s="337"/>
      <c r="BT235" s="335">
        <f t="shared" si="4"/>
        <v>20.54</v>
      </c>
      <c r="BU235" s="340"/>
    </row>
    <row r="236" customHeight="1" spans="1:73">
      <c r="A236" s="700" t="s">
        <v>2384</v>
      </c>
      <c r="B236" s="414" t="s">
        <v>324</v>
      </c>
      <c r="C236" s="7" t="s">
        <v>2385</v>
      </c>
      <c r="D236" s="250" t="s">
        <v>201</v>
      </c>
      <c r="E236" s="275" t="s">
        <v>220</v>
      </c>
      <c r="F236" s="275">
        <v>24</v>
      </c>
      <c r="G236" s="222" t="s">
        <v>326</v>
      </c>
      <c r="H236" s="7" t="s">
        <v>238</v>
      </c>
      <c r="I236" s="7" t="s">
        <v>220</v>
      </c>
      <c r="J236" s="7" t="s">
        <v>341</v>
      </c>
      <c r="K236" s="7" t="s">
        <v>327</v>
      </c>
      <c r="L236" s="222" t="s">
        <v>328</v>
      </c>
      <c r="M236" s="7"/>
      <c r="N236" s="54">
        <v>45981</v>
      </c>
      <c r="O236" s="327" t="s">
        <v>384</v>
      </c>
      <c r="P236" s="7" t="s">
        <v>242</v>
      </c>
      <c r="Q236" s="539">
        <v>0</v>
      </c>
      <c r="S236" s="282">
        <v>20.54</v>
      </c>
      <c r="T236" s="540">
        <v>0</v>
      </c>
      <c r="U236" s="260">
        <v>46032</v>
      </c>
      <c r="V236" s="331">
        <v>46041</v>
      </c>
      <c r="W236" s="539">
        <v>20.55</v>
      </c>
      <c r="X236" s="543" t="s">
        <v>56</v>
      </c>
      <c r="Y236" s="544"/>
      <c r="Z236" s="545"/>
      <c r="AA236" s="543"/>
      <c r="AB236" s="545">
        <f t="shared" si="0"/>
        <v>-0.0100000000000016</v>
      </c>
      <c r="AC236" s="250" t="s">
        <v>213</v>
      </c>
      <c r="AD236" s="283">
        <v>20.54</v>
      </c>
      <c r="AE236" s="540">
        <v>0</v>
      </c>
      <c r="AF236" s="260">
        <v>46063</v>
      </c>
      <c r="AG236" s="251">
        <v>46072</v>
      </c>
      <c r="AH236" s="335">
        <v>20.53</v>
      </c>
      <c r="AI236" s="336" t="s">
        <v>56</v>
      </c>
      <c r="AJ236" s="345"/>
      <c r="AK236" s="338"/>
      <c r="AL236" s="339"/>
      <c r="AM236" s="338">
        <f t="shared" si="7"/>
        <v>0</v>
      </c>
      <c r="AN236" s="340" t="s">
        <v>213</v>
      </c>
      <c r="AO236" s="282">
        <v>20.54</v>
      </c>
      <c r="AP236" s="540">
        <v>0</v>
      </c>
      <c r="AQ236" s="260">
        <v>46091</v>
      </c>
      <c r="AR236" s="340" t="s">
        <v>2386</v>
      </c>
      <c r="AS236" s="335">
        <v>20.54</v>
      </c>
      <c r="AT236" s="337" t="s">
        <v>56</v>
      </c>
      <c r="AU236" s="337"/>
      <c r="AV236" s="335"/>
      <c r="AW236" s="337"/>
      <c r="AX236" s="335">
        <f t="shared" si="6"/>
        <v>0</v>
      </c>
      <c r="AY236" s="340" t="s">
        <v>213</v>
      </c>
      <c r="AZ236" s="282">
        <v>20.54</v>
      </c>
      <c r="BA236" s="540">
        <v>0</v>
      </c>
      <c r="BB236" s="260">
        <v>46122</v>
      </c>
      <c r="BC236" s="340" t="s">
        <v>375</v>
      </c>
      <c r="BD236" s="335">
        <v>20.54</v>
      </c>
      <c r="BE236" s="337" t="s">
        <v>56</v>
      </c>
      <c r="BF236" s="337"/>
      <c r="BG236" s="335"/>
      <c r="BH236" s="337"/>
      <c r="BI236" s="335">
        <f t="shared" si="3"/>
        <v>0</v>
      </c>
      <c r="BJ236" s="340"/>
      <c r="BK236" s="282">
        <v>20.54</v>
      </c>
      <c r="BL236" s="540">
        <v>0</v>
      </c>
      <c r="BM236" s="260">
        <v>46152</v>
      </c>
      <c r="BN236" s="340"/>
      <c r="BO236" s="335"/>
      <c r="BP236" s="337"/>
      <c r="BQ236" s="337"/>
      <c r="BR236" s="335"/>
      <c r="BS236" s="337"/>
      <c r="BT236" s="335">
        <f t="shared" si="4"/>
        <v>20.54</v>
      </c>
      <c r="BU236" s="340"/>
    </row>
    <row r="237" customHeight="1" spans="1:73">
      <c r="A237" s="700" t="s">
        <v>2387</v>
      </c>
      <c r="B237" s="414" t="s">
        <v>2388</v>
      </c>
      <c r="C237" s="7" t="s">
        <v>2389</v>
      </c>
      <c r="D237" s="250" t="s">
        <v>201</v>
      </c>
      <c r="E237" s="275" t="s">
        <v>220</v>
      </c>
      <c r="F237" s="275">
        <v>24</v>
      </c>
      <c r="G237" s="222" t="s">
        <v>2390</v>
      </c>
      <c r="H237" s="7" t="s">
        <v>238</v>
      </c>
      <c r="I237" s="7" t="s">
        <v>220</v>
      </c>
      <c r="J237" s="7" t="s">
        <v>2391</v>
      </c>
      <c r="K237" s="7" t="s">
        <v>2392</v>
      </c>
      <c r="L237" s="222" t="s">
        <v>2393</v>
      </c>
      <c r="M237" s="7"/>
      <c r="N237" s="54">
        <v>45983</v>
      </c>
      <c r="O237" s="327" t="s">
        <v>464</v>
      </c>
      <c r="P237" s="7" t="s">
        <v>242</v>
      </c>
      <c r="Q237" s="539">
        <v>0</v>
      </c>
      <c r="S237" s="282">
        <v>16.1</v>
      </c>
      <c r="T237" s="540">
        <v>6</v>
      </c>
      <c r="U237" s="260">
        <v>46032</v>
      </c>
      <c r="V237" s="331">
        <v>46027</v>
      </c>
      <c r="W237" s="539">
        <v>16.1</v>
      </c>
      <c r="X237" s="543" t="s">
        <v>23</v>
      </c>
      <c r="Y237" s="544"/>
      <c r="Z237" s="539">
        <v>6</v>
      </c>
      <c r="AA237" s="543" t="s">
        <v>23</v>
      </c>
      <c r="AB237" s="545">
        <f t="shared" si="0"/>
        <v>0</v>
      </c>
      <c r="AC237" s="250" t="s">
        <v>213</v>
      </c>
      <c r="AD237" s="283">
        <v>16.1</v>
      </c>
      <c r="AE237" s="540">
        <v>6</v>
      </c>
      <c r="AF237" s="260">
        <v>46063</v>
      </c>
      <c r="AG237" s="251">
        <v>46062</v>
      </c>
      <c r="AH237" s="335">
        <v>16.1</v>
      </c>
      <c r="AI237" s="336" t="s">
        <v>23</v>
      </c>
      <c r="AJ237" s="345"/>
      <c r="AK237" s="335">
        <v>6</v>
      </c>
      <c r="AL237" s="336" t="s">
        <v>23</v>
      </c>
      <c r="AM237" s="338">
        <f t="shared" si="7"/>
        <v>0</v>
      </c>
      <c r="AN237" s="340" t="s">
        <v>213</v>
      </c>
      <c r="AO237" s="282">
        <v>16.1</v>
      </c>
      <c r="AP237" s="540"/>
      <c r="AQ237" s="260">
        <v>46091</v>
      </c>
      <c r="AR237" s="340" t="s">
        <v>522</v>
      </c>
      <c r="AS237" s="335">
        <v>16.1</v>
      </c>
      <c r="AT237" s="337" t="s">
        <v>23</v>
      </c>
      <c r="AU237" s="337"/>
      <c r="AV237" s="335"/>
      <c r="AW237" s="337"/>
      <c r="AX237" s="335">
        <f t="shared" si="6"/>
        <v>0</v>
      </c>
      <c r="AY237" s="340" t="s">
        <v>213</v>
      </c>
      <c r="AZ237" s="282">
        <v>16.1</v>
      </c>
      <c r="BA237" s="540">
        <v>0</v>
      </c>
      <c r="BB237" s="260">
        <v>46122</v>
      </c>
      <c r="BC237" s="340" t="s">
        <v>795</v>
      </c>
      <c r="BD237" s="335">
        <v>16.1</v>
      </c>
      <c r="BE237" s="337" t="s">
        <v>23</v>
      </c>
      <c r="BF237" s="337"/>
      <c r="BG237" s="335"/>
      <c r="BH237" s="337"/>
      <c r="BI237" s="335">
        <f t="shared" si="3"/>
        <v>0</v>
      </c>
      <c r="BJ237" s="340"/>
      <c r="BK237" s="282">
        <v>16.1</v>
      </c>
      <c r="BL237" s="540">
        <v>4</v>
      </c>
      <c r="BM237" s="260">
        <v>46152</v>
      </c>
      <c r="BN237" s="340" t="s">
        <v>770</v>
      </c>
      <c r="BO237" s="335">
        <v>16.2</v>
      </c>
      <c r="BP237" s="337" t="s">
        <v>23</v>
      </c>
      <c r="BQ237" s="337" t="s">
        <v>770</v>
      </c>
      <c r="BR237" s="335">
        <v>4</v>
      </c>
      <c r="BS237" s="337" t="s">
        <v>23</v>
      </c>
      <c r="BT237" s="335">
        <f t="shared" si="4"/>
        <v>-0.0999999999999979</v>
      </c>
      <c r="BU237" s="340"/>
    </row>
    <row r="238" customHeight="1" spans="1:73">
      <c r="A238" s="705" t="s">
        <v>2394</v>
      </c>
      <c r="B238" s="414" t="s">
        <v>2395</v>
      </c>
      <c r="C238" s="7" t="s">
        <v>2396</v>
      </c>
      <c r="D238" s="250" t="s">
        <v>201</v>
      </c>
      <c r="E238" s="275" t="s">
        <v>220</v>
      </c>
      <c r="F238" s="275">
        <v>24</v>
      </c>
      <c r="G238" s="222" t="s">
        <v>2397</v>
      </c>
      <c r="H238" s="7" t="s">
        <v>238</v>
      </c>
      <c r="I238" s="7" t="s">
        <v>206</v>
      </c>
      <c r="J238" s="7" t="s">
        <v>1678</v>
      </c>
      <c r="K238" s="7" t="s">
        <v>2398</v>
      </c>
      <c r="L238" s="222" t="s">
        <v>2399</v>
      </c>
      <c r="M238" s="7"/>
      <c r="N238" s="54">
        <v>45928</v>
      </c>
      <c r="O238" s="327" t="s">
        <v>384</v>
      </c>
      <c r="P238" s="7" t="s">
        <v>242</v>
      </c>
      <c r="Q238" s="539">
        <v>0</v>
      </c>
      <c r="S238" s="282">
        <v>20.54</v>
      </c>
      <c r="T238" s="540">
        <v>0</v>
      </c>
      <c r="U238" s="260">
        <v>46032</v>
      </c>
      <c r="V238" s="361">
        <v>46174</v>
      </c>
      <c r="W238" s="539">
        <v>20.54</v>
      </c>
      <c r="X238" s="543" t="s">
        <v>56</v>
      </c>
      <c r="Y238" s="544"/>
      <c r="Z238" s="545"/>
      <c r="AA238" s="543"/>
      <c r="AB238" s="545">
        <f t="shared" si="0"/>
        <v>0</v>
      </c>
      <c r="AC238" s="250" t="s">
        <v>213</v>
      </c>
      <c r="AD238" s="283">
        <v>20.54</v>
      </c>
      <c r="AE238" s="540">
        <v>0</v>
      </c>
      <c r="AF238" s="260">
        <v>46063</v>
      </c>
      <c r="AG238" s="485">
        <v>46056.6390570023</v>
      </c>
      <c r="AH238" s="335">
        <v>20.54</v>
      </c>
      <c r="AI238" s="336" t="s">
        <v>56</v>
      </c>
      <c r="AJ238" s="345"/>
      <c r="AK238" s="338"/>
      <c r="AL238" s="339"/>
      <c r="AM238" s="338">
        <f t="shared" si="7"/>
        <v>0</v>
      </c>
      <c r="AN238" s="340" t="s">
        <v>213</v>
      </c>
      <c r="AO238" s="282">
        <v>20.54</v>
      </c>
      <c r="AP238" s="540">
        <v>0</v>
      </c>
      <c r="AQ238" s="260">
        <v>46091</v>
      </c>
      <c r="AR238" s="340" t="s">
        <v>1379</v>
      </c>
      <c r="AS238" s="335">
        <v>20.54</v>
      </c>
      <c r="AT238" s="337" t="s">
        <v>56</v>
      </c>
      <c r="AU238" s="337"/>
      <c r="AV238" s="335"/>
      <c r="AW238" s="337"/>
      <c r="AX238" s="335">
        <f t="shared" si="6"/>
        <v>0</v>
      </c>
      <c r="AY238" s="340" t="s">
        <v>213</v>
      </c>
      <c r="AZ238" s="282">
        <v>20.54</v>
      </c>
      <c r="BA238" s="540">
        <v>0</v>
      </c>
      <c r="BB238" s="260">
        <v>46122</v>
      </c>
      <c r="BC238" s="485">
        <v>46121.6276654167</v>
      </c>
      <c r="BD238" s="335">
        <v>20.54</v>
      </c>
      <c r="BE238" s="337" t="s">
        <v>56</v>
      </c>
      <c r="BF238" s="337"/>
      <c r="BG238" s="335"/>
      <c r="BH238" s="337"/>
      <c r="BI238" s="335">
        <f t="shared" si="3"/>
        <v>0</v>
      </c>
      <c r="BJ238" s="340"/>
      <c r="BK238" s="282">
        <v>20.54</v>
      </c>
      <c r="BL238" s="540">
        <v>0</v>
      </c>
      <c r="BM238" s="260">
        <v>46152</v>
      </c>
      <c r="BN238" s="340"/>
      <c r="BO238" s="335"/>
      <c r="BP238" s="337"/>
      <c r="BQ238" s="337"/>
      <c r="BR238" s="335"/>
      <c r="BS238" s="337"/>
      <c r="BT238" s="335">
        <f t="shared" si="4"/>
        <v>20.54</v>
      </c>
      <c r="BU238" s="340"/>
    </row>
    <row r="239" customHeight="1" spans="1:73">
      <c r="A239" s="706" t="s">
        <v>2400</v>
      </c>
      <c r="B239" s="704" t="s">
        <v>2401</v>
      </c>
      <c r="C239" s="307" t="s">
        <v>2402</v>
      </c>
      <c r="D239" s="499" t="s">
        <v>201</v>
      </c>
      <c r="E239" s="466" t="s">
        <v>220</v>
      </c>
      <c r="F239" s="466">
        <v>24</v>
      </c>
      <c r="G239" s="467" t="s">
        <v>2403</v>
      </c>
      <c r="H239" s="307" t="s">
        <v>238</v>
      </c>
      <c r="I239" s="307" t="s">
        <v>206</v>
      </c>
      <c r="J239" s="307" t="s">
        <v>2404</v>
      </c>
      <c r="K239" s="307" t="s">
        <v>2405</v>
      </c>
      <c r="L239" s="467" t="s">
        <v>2406</v>
      </c>
      <c r="M239" s="307"/>
      <c r="N239" s="468">
        <v>45993</v>
      </c>
      <c r="O239" s="707" t="s">
        <v>2407</v>
      </c>
      <c r="P239" s="307" t="s">
        <v>242</v>
      </c>
      <c r="Q239" s="708">
        <v>0</v>
      </c>
      <c r="R239" s="503"/>
      <c r="S239" s="504">
        <v>0</v>
      </c>
      <c r="T239" s="709">
        <v>0</v>
      </c>
      <c r="U239" s="710">
        <v>46032</v>
      </c>
      <c r="V239" s="512"/>
      <c r="W239" s="711"/>
      <c r="X239" s="712"/>
      <c r="Y239" s="713"/>
      <c r="Z239" s="711"/>
      <c r="AA239" s="712"/>
      <c r="AB239" s="711">
        <f t="shared" si="0"/>
        <v>0</v>
      </c>
      <c r="AC239" s="499" t="s">
        <v>213</v>
      </c>
      <c r="AD239" s="714">
        <v>25</v>
      </c>
      <c r="AE239" s="709">
        <v>0</v>
      </c>
      <c r="AF239" s="710">
        <v>46063</v>
      </c>
      <c r="AG239" s="715">
        <v>46062.4077212384</v>
      </c>
      <c r="AH239" s="522">
        <v>25</v>
      </c>
      <c r="AI239" s="523" t="s">
        <v>56</v>
      </c>
      <c r="AJ239" s="516"/>
      <c r="AK239" s="514"/>
      <c r="AL239" s="515"/>
      <c r="AM239" s="514">
        <f t="shared" si="7"/>
        <v>0</v>
      </c>
      <c r="AN239" s="716" t="s">
        <v>213</v>
      </c>
      <c r="AO239" s="504">
        <v>25</v>
      </c>
      <c r="AP239" s="709">
        <v>0</v>
      </c>
      <c r="AQ239" s="710">
        <v>46091</v>
      </c>
      <c r="AR239" s="485">
        <v>46090.3606259491</v>
      </c>
      <c r="AS239" s="335">
        <v>25</v>
      </c>
      <c r="AT239" s="337" t="s">
        <v>56</v>
      </c>
      <c r="AU239" s="337"/>
      <c r="AV239" s="335"/>
      <c r="AW239" s="337"/>
      <c r="AX239" s="335">
        <f t="shared" si="6"/>
        <v>0</v>
      </c>
      <c r="AY239" s="340" t="s">
        <v>213</v>
      </c>
      <c r="AZ239" s="504">
        <v>25</v>
      </c>
      <c r="BA239" s="709">
        <v>0</v>
      </c>
      <c r="BB239" s="710">
        <v>46122</v>
      </c>
      <c r="BC239" s="485">
        <v>46127.4507362616</v>
      </c>
      <c r="BD239" s="335">
        <v>25</v>
      </c>
      <c r="BE239" s="337" t="s">
        <v>56</v>
      </c>
      <c r="BF239" s="337"/>
      <c r="BG239" s="335"/>
      <c r="BH239" s="337"/>
      <c r="BI239" s="335">
        <f t="shared" si="3"/>
        <v>0</v>
      </c>
      <c r="BJ239" s="340"/>
      <c r="BK239" s="504">
        <v>25</v>
      </c>
      <c r="BL239" s="709">
        <v>0</v>
      </c>
      <c r="BM239" s="710">
        <v>46152</v>
      </c>
      <c r="BN239" s="340"/>
      <c r="BO239" s="335"/>
      <c r="BP239" s="337"/>
      <c r="BQ239" s="337"/>
      <c r="BR239" s="335"/>
      <c r="BS239" s="337"/>
      <c r="BT239" s="335">
        <f t="shared" si="4"/>
        <v>25</v>
      </c>
      <c r="BU239" s="340"/>
    </row>
    <row r="240" customHeight="1" spans="1:73">
      <c r="A240" s="700" t="s">
        <v>2408</v>
      </c>
      <c r="B240" s="305" t="s">
        <v>2409</v>
      </c>
      <c r="C240" s="7" t="s">
        <v>2410</v>
      </c>
      <c r="D240" s="250" t="s">
        <v>201</v>
      </c>
      <c r="E240" s="275" t="s">
        <v>220</v>
      </c>
      <c r="F240" s="275">
        <v>12</v>
      </c>
      <c r="G240" s="222" t="s">
        <v>2411</v>
      </c>
      <c r="H240" s="7" t="s">
        <v>238</v>
      </c>
      <c r="I240" s="7" t="s">
        <v>220</v>
      </c>
      <c r="J240" s="7" t="s">
        <v>1016</v>
      </c>
      <c r="K240" s="7" t="s">
        <v>2412</v>
      </c>
      <c r="L240" s="222" t="s">
        <v>2413</v>
      </c>
      <c r="M240" s="7"/>
      <c r="N240" s="54">
        <v>45999</v>
      </c>
      <c r="O240" s="327" t="s">
        <v>384</v>
      </c>
      <c r="P240" s="7" t="s">
        <v>242</v>
      </c>
      <c r="Q240" s="539">
        <v>0</v>
      </c>
      <c r="S240" s="282">
        <f>20.54+10</f>
        <v>30.54</v>
      </c>
      <c r="T240" s="540">
        <v>0</v>
      </c>
      <c r="U240" s="260">
        <v>46032</v>
      </c>
      <c r="V240" s="331">
        <v>46042</v>
      </c>
      <c r="W240" s="545">
        <f>20.54+10</f>
        <v>30.54</v>
      </c>
      <c r="X240" s="543" t="s">
        <v>56</v>
      </c>
      <c r="Y240" s="544"/>
      <c r="Z240" s="545"/>
      <c r="AA240" s="543"/>
      <c r="AB240" s="545">
        <f t="shared" si="0"/>
        <v>0</v>
      </c>
      <c r="AC240" s="250" t="s">
        <v>213</v>
      </c>
      <c r="AD240" s="283">
        <v>20.54</v>
      </c>
      <c r="AE240" s="540">
        <v>0</v>
      </c>
      <c r="AF240" s="260">
        <v>46063</v>
      </c>
      <c r="AG240" s="485">
        <v>46064.7509778819</v>
      </c>
      <c r="AH240" s="335">
        <v>20.54</v>
      </c>
      <c r="AI240" s="336" t="s">
        <v>56</v>
      </c>
      <c r="AJ240" s="345"/>
      <c r="AK240" s="338"/>
      <c r="AL240" s="339"/>
      <c r="AM240" s="338">
        <f t="shared" si="7"/>
        <v>0</v>
      </c>
      <c r="AN240" s="340" t="s">
        <v>213</v>
      </c>
      <c r="AO240" s="282">
        <v>20.54</v>
      </c>
      <c r="AP240" s="540">
        <v>0</v>
      </c>
      <c r="AQ240" s="260">
        <v>46091</v>
      </c>
      <c r="AR240" s="340" t="s">
        <v>360</v>
      </c>
      <c r="AS240" s="335">
        <v>20.54</v>
      </c>
      <c r="AT240" s="337" t="s">
        <v>56</v>
      </c>
      <c r="AU240" s="337"/>
      <c r="AV240" s="335"/>
      <c r="AW240" s="337"/>
      <c r="AX240" s="335">
        <f t="shared" si="6"/>
        <v>0</v>
      </c>
      <c r="AY240" s="340" t="s">
        <v>213</v>
      </c>
      <c r="AZ240" s="282">
        <v>20.54</v>
      </c>
      <c r="BA240" s="540">
        <v>0</v>
      </c>
      <c r="BB240" s="260">
        <v>46122</v>
      </c>
      <c r="BC240" s="340" t="s">
        <v>2414</v>
      </c>
      <c r="BD240" s="335">
        <v>20.54</v>
      </c>
      <c r="BE240" s="337" t="s">
        <v>23</v>
      </c>
      <c r="BF240" s="337"/>
      <c r="BG240" s="335"/>
      <c r="BH240" s="337"/>
      <c r="BI240" s="335">
        <f t="shared" si="3"/>
        <v>0</v>
      </c>
      <c r="BJ240" s="340"/>
      <c r="BK240" s="282">
        <v>20.54</v>
      </c>
      <c r="BL240" s="540">
        <v>0</v>
      </c>
      <c r="BM240" s="260">
        <v>46152</v>
      </c>
      <c r="BN240" s="340"/>
      <c r="BO240" s="335"/>
      <c r="BP240" s="337"/>
      <c r="BQ240" s="337"/>
      <c r="BR240" s="335"/>
      <c r="BS240" s="337"/>
      <c r="BT240" s="335">
        <f t="shared" si="4"/>
        <v>20.54</v>
      </c>
      <c r="BU240" s="340"/>
    </row>
    <row r="241" customHeight="1" spans="1:73">
      <c r="A241" s="700" t="s">
        <v>2415</v>
      </c>
      <c r="B241" s="305" t="s">
        <v>2416</v>
      </c>
      <c r="C241" s="250" t="s">
        <v>2417</v>
      </c>
      <c r="D241" s="250" t="s">
        <v>201</v>
      </c>
      <c r="E241" s="275" t="s">
        <v>220</v>
      </c>
      <c r="F241" s="275">
        <v>24</v>
      </c>
      <c r="G241" s="222" t="s">
        <v>2418</v>
      </c>
      <c r="H241" s="7" t="s">
        <v>238</v>
      </c>
      <c r="I241" s="7" t="s">
        <v>206</v>
      </c>
      <c r="J241" s="7" t="s">
        <v>2419</v>
      </c>
      <c r="K241" s="7" t="s">
        <v>2420</v>
      </c>
      <c r="L241" s="222" t="s">
        <v>2421</v>
      </c>
      <c r="M241" s="7"/>
      <c r="N241" s="717">
        <v>45973</v>
      </c>
      <c r="O241" s="327" t="s">
        <v>464</v>
      </c>
      <c r="P241" s="7" t="s">
        <v>242</v>
      </c>
      <c r="Q241" s="539">
        <v>0</v>
      </c>
      <c r="S241" s="282">
        <v>16.1</v>
      </c>
      <c r="T241" s="540">
        <v>0</v>
      </c>
      <c r="U241" s="260">
        <v>46032</v>
      </c>
      <c r="V241" s="361">
        <v>46204</v>
      </c>
      <c r="W241" s="539">
        <v>16.1</v>
      </c>
      <c r="X241" s="543" t="s">
        <v>56</v>
      </c>
      <c r="Y241" s="544"/>
      <c r="Z241" s="545"/>
      <c r="AA241" s="543"/>
      <c r="AB241" s="545">
        <f t="shared" si="0"/>
        <v>0</v>
      </c>
      <c r="AC241" s="250" t="s">
        <v>2422</v>
      </c>
      <c r="AD241" s="283">
        <v>16.1</v>
      </c>
      <c r="AE241" s="540">
        <v>0</v>
      </c>
      <c r="AF241" s="260">
        <v>46063</v>
      </c>
      <c r="AG241" s="485">
        <v>46062.3969392593</v>
      </c>
      <c r="AH241" s="335">
        <v>16.1</v>
      </c>
      <c r="AI241" s="336" t="s">
        <v>56</v>
      </c>
      <c r="AJ241" s="337"/>
      <c r="AK241" s="335"/>
      <c r="AL241" s="336"/>
      <c r="AM241" s="335">
        <f t="shared" si="7"/>
        <v>0</v>
      </c>
      <c r="AN241" s="340" t="s">
        <v>213</v>
      </c>
      <c r="AO241" s="282">
        <v>16.1</v>
      </c>
      <c r="AP241" s="540">
        <v>0</v>
      </c>
      <c r="AQ241" s="260">
        <v>46091</v>
      </c>
      <c r="AR241" s="340" t="s">
        <v>309</v>
      </c>
      <c r="AS241" s="335">
        <v>16.1</v>
      </c>
      <c r="AT241" s="337" t="s">
        <v>56</v>
      </c>
      <c r="AU241" s="337"/>
      <c r="AV241" s="335"/>
      <c r="AW241" s="337"/>
      <c r="AX241" s="335">
        <f t="shared" si="6"/>
        <v>0</v>
      </c>
      <c r="AY241" s="340" t="s">
        <v>213</v>
      </c>
      <c r="AZ241" s="282">
        <v>16.1</v>
      </c>
      <c r="BA241" s="540">
        <v>0</v>
      </c>
      <c r="BB241" s="260">
        <v>46122</v>
      </c>
      <c r="BC241" s="340" t="s">
        <v>375</v>
      </c>
      <c r="BD241" s="335">
        <v>16.1</v>
      </c>
      <c r="BE241" s="337" t="s">
        <v>56</v>
      </c>
      <c r="BF241" s="337"/>
      <c r="BG241" s="335"/>
      <c r="BH241" s="337"/>
      <c r="BI241" s="335">
        <f t="shared" si="3"/>
        <v>0</v>
      </c>
      <c r="BJ241" s="340" t="s">
        <v>2423</v>
      </c>
      <c r="BK241" s="282">
        <v>16.1</v>
      </c>
      <c r="BL241" s="540">
        <v>0</v>
      </c>
      <c r="BM241" s="260">
        <v>46152</v>
      </c>
      <c r="BN241" s="340"/>
      <c r="BO241" s="335"/>
      <c r="BP241" s="337"/>
      <c r="BQ241" s="337"/>
      <c r="BR241" s="335"/>
      <c r="BS241" s="337"/>
      <c r="BT241" s="335">
        <f t="shared" si="4"/>
        <v>16.1</v>
      </c>
      <c r="BU241" s="340"/>
    </row>
    <row r="242" customHeight="1" spans="1:73">
      <c r="A242" s="700" t="s">
        <v>2424</v>
      </c>
      <c r="B242" s="305" t="s">
        <v>2425</v>
      </c>
      <c r="C242" s="7" t="s">
        <v>2426</v>
      </c>
      <c r="D242" s="250" t="s">
        <v>201</v>
      </c>
      <c r="E242" s="275" t="s">
        <v>220</v>
      </c>
      <c r="F242" s="275">
        <v>24</v>
      </c>
      <c r="G242" s="222" t="s">
        <v>2427</v>
      </c>
      <c r="H242" s="7" t="s">
        <v>238</v>
      </c>
      <c r="I242" s="7" t="s">
        <v>206</v>
      </c>
      <c r="J242" s="7" t="s">
        <v>2428</v>
      </c>
      <c r="K242" s="7" t="s">
        <v>2429</v>
      </c>
      <c r="L242" s="222" t="s">
        <v>2430</v>
      </c>
      <c r="M242" s="7"/>
      <c r="N242" s="60" t="s">
        <v>2431</v>
      </c>
      <c r="O242" s="327" t="s">
        <v>2197</v>
      </c>
      <c r="P242" s="290" t="s">
        <v>242</v>
      </c>
      <c r="Q242" s="539">
        <v>0</v>
      </c>
      <c r="S242" s="282">
        <v>0</v>
      </c>
      <c r="T242" s="540">
        <v>0</v>
      </c>
      <c r="U242" s="671">
        <v>46296</v>
      </c>
      <c r="V242" s="350"/>
      <c r="W242" s="545"/>
      <c r="X242" s="543"/>
      <c r="Y242" s="544"/>
      <c r="Z242" s="545"/>
      <c r="AA242" s="543"/>
      <c r="AB242" s="545">
        <f t="shared" si="0"/>
        <v>0</v>
      </c>
      <c r="AC242" s="250" t="s">
        <v>213</v>
      </c>
      <c r="AD242" s="283">
        <v>12.5</v>
      </c>
      <c r="AE242" s="540">
        <v>0</v>
      </c>
      <c r="AF242" s="671">
        <v>46327</v>
      </c>
      <c r="AG242" s="485">
        <v>46072.5013233912</v>
      </c>
      <c r="AH242" s="335">
        <v>12.5</v>
      </c>
      <c r="AI242" s="336" t="s">
        <v>56</v>
      </c>
      <c r="AJ242" s="345"/>
      <c r="AK242" s="338"/>
      <c r="AL242" s="339"/>
      <c r="AM242" s="338">
        <f t="shared" si="7"/>
        <v>0</v>
      </c>
      <c r="AN242" s="340" t="s">
        <v>213</v>
      </c>
      <c r="AO242" s="282">
        <v>12.5</v>
      </c>
      <c r="AP242" s="540">
        <v>0</v>
      </c>
      <c r="AQ242" s="671">
        <v>46357</v>
      </c>
      <c r="AR242" s="485">
        <v>46099.7150190856</v>
      </c>
      <c r="AS242" s="335">
        <v>12.5</v>
      </c>
      <c r="AT242" s="337" t="s">
        <v>56</v>
      </c>
      <c r="AU242" s="337"/>
      <c r="AV242" s="335"/>
      <c r="AW242" s="337"/>
      <c r="AX242" s="335">
        <f t="shared" si="6"/>
        <v>0</v>
      </c>
      <c r="AY242" s="340" t="s">
        <v>213</v>
      </c>
      <c r="AZ242" s="282">
        <v>25</v>
      </c>
      <c r="BA242" s="540">
        <v>0</v>
      </c>
      <c r="BB242" s="671">
        <v>46388</v>
      </c>
      <c r="BC242" s="340" t="s">
        <v>321</v>
      </c>
      <c r="BD242" s="335">
        <v>25</v>
      </c>
      <c r="BE242" s="337" t="s">
        <v>56</v>
      </c>
      <c r="BF242" s="337"/>
      <c r="BG242" s="335"/>
      <c r="BH242" s="337"/>
      <c r="BI242" s="335">
        <f t="shared" si="3"/>
        <v>0</v>
      </c>
      <c r="BJ242" s="340"/>
      <c r="BK242" s="282">
        <v>25</v>
      </c>
      <c r="BL242" s="540">
        <v>0</v>
      </c>
      <c r="BM242" s="671">
        <v>46419</v>
      </c>
      <c r="BN242" s="340"/>
      <c r="BO242" s="335"/>
      <c r="BP242" s="337"/>
      <c r="BQ242" s="337"/>
      <c r="BR242" s="335"/>
      <c r="BS242" s="337"/>
      <c r="BT242" s="335">
        <f t="shared" si="4"/>
        <v>25</v>
      </c>
      <c r="BU242" s="340"/>
    </row>
    <row r="243" customHeight="1" spans="1:73">
      <c r="A243" s="700" t="s">
        <v>2432</v>
      </c>
      <c r="B243" s="417" t="s">
        <v>2433</v>
      </c>
      <c r="C243" s="7" t="s">
        <v>2434</v>
      </c>
      <c r="D243" s="250" t="s">
        <v>201</v>
      </c>
      <c r="E243" s="275" t="s">
        <v>220</v>
      </c>
      <c r="F243" s="275">
        <v>24</v>
      </c>
      <c r="G243" s="222" t="s">
        <v>2435</v>
      </c>
      <c r="H243" s="7" t="s">
        <v>238</v>
      </c>
      <c r="I243" s="7" t="s">
        <v>206</v>
      </c>
      <c r="J243" s="7" t="s">
        <v>1978</v>
      </c>
      <c r="K243" s="7" t="s">
        <v>2436</v>
      </c>
      <c r="L243" s="222" t="s">
        <v>2437</v>
      </c>
      <c r="M243" s="7"/>
      <c r="N243" s="49">
        <v>46011</v>
      </c>
      <c r="O243" s="461" t="s">
        <v>384</v>
      </c>
      <c r="P243" s="7" t="s">
        <v>242</v>
      </c>
      <c r="Q243" s="257"/>
      <c r="S243" s="282">
        <v>20.54</v>
      </c>
      <c r="T243" s="250">
        <v>0</v>
      </c>
      <c r="U243" s="49">
        <v>46032</v>
      </c>
      <c r="V243" s="361">
        <v>46204</v>
      </c>
      <c r="W243" s="539">
        <v>41</v>
      </c>
      <c r="X243" s="543" t="s">
        <v>35</v>
      </c>
      <c r="Y243" s="544"/>
      <c r="Z243" s="544"/>
      <c r="AA243" s="543"/>
      <c r="AB243" s="545">
        <f t="shared" si="0"/>
        <v>-20.46</v>
      </c>
      <c r="AC243" s="250" t="s">
        <v>213</v>
      </c>
      <c r="AD243" s="283">
        <v>20.54</v>
      </c>
      <c r="AE243" s="250">
        <v>0</v>
      </c>
      <c r="AF243" s="49">
        <v>46063</v>
      </c>
      <c r="AH243" s="338"/>
      <c r="AI243" s="339"/>
      <c r="AJ243" s="345"/>
      <c r="AK243" s="338"/>
      <c r="AL243" s="339"/>
      <c r="AM243" s="338">
        <f t="shared" si="7"/>
        <v>0.0799999999999983</v>
      </c>
      <c r="AN243" s="340" t="s">
        <v>213</v>
      </c>
      <c r="AO243" s="282">
        <v>20.54</v>
      </c>
      <c r="AP243" s="250">
        <v>0</v>
      </c>
      <c r="AQ243" s="49">
        <v>46091</v>
      </c>
      <c r="AR243" s="340" t="s">
        <v>309</v>
      </c>
      <c r="AS243" s="335">
        <v>61.7</v>
      </c>
      <c r="AT243" s="337" t="s">
        <v>56</v>
      </c>
      <c r="AU243" s="337"/>
      <c r="AV243" s="335"/>
      <c r="AW243" s="337"/>
      <c r="AX243" s="335">
        <f t="shared" si="6"/>
        <v>-41.08</v>
      </c>
      <c r="AY243" s="340" t="s">
        <v>213</v>
      </c>
      <c r="AZ243" s="282">
        <v>20.54</v>
      </c>
      <c r="BA243" s="250">
        <v>0</v>
      </c>
      <c r="BB243" s="49">
        <v>46122</v>
      </c>
      <c r="BC243" s="340"/>
      <c r="BD243" s="335"/>
      <c r="BE243" s="337"/>
      <c r="BF243" s="337"/>
      <c r="BG243" s="335"/>
      <c r="BH243" s="337"/>
      <c r="BI243" s="335">
        <f t="shared" si="3"/>
        <v>-20.54</v>
      </c>
      <c r="BJ243" s="340" t="s">
        <v>2438</v>
      </c>
      <c r="BK243" s="282">
        <v>20.54</v>
      </c>
      <c r="BL243" s="250">
        <v>0</v>
      </c>
      <c r="BM243" s="49">
        <v>46152</v>
      </c>
      <c r="BN243" s="340"/>
      <c r="BO243" s="335"/>
      <c r="BP243" s="337"/>
      <c r="BQ243" s="337"/>
      <c r="BR243" s="335"/>
      <c r="BS243" s="337"/>
      <c r="BT243" s="335">
        <f t="shared" si="4"/>
        <v>0</v>
      </c>
      <c r="BU243" s="340"/>
    </row>
    <row r="244" customHeight="1" spans="1:73">
      <c r="A244" s="718" t="s">
        <v>2439</v>
      </c>
      <c r="B244" s="307" t="s">
        <v>2440</v>
      </c>
      <c r="C244" s="307" t="s">
        <v>2441</v>
      </c>
      <c r="D244" s="499" t="s">
        <v>201</v>
      </c>
      <c r="E244" s="466" t="s">
        <v>220</v>
      </c>
      <c r="F244" s="466">
        <v>24</v>
      </c>
      <c r="G244" s="467" t="s">
        <v>2442</v>
      </c>
      <c r="H244" s="307" t="s">
        <v>2443</v>
      </c>
      <c r="I244" s="307" t="s">
        <v>206</v>
      </c>
      <c r="J244" s="307" t="s">
        <v>2444</v>
      </c>
      <c r="K244" s="307" t="s">
        <v>2445</v>
      </c>
      <c r="L244" s="467" t="s">
        <v>2446</v>
      </c>
      <c r="M244" s="307"/>
      <c r="N244" s="719">
        <v>46143</v>
      </c>
      <c r="O244" s="327" t="s">
        <v>384</v>
      </c>
      <c r="P244" s="307" t="s">
        <v>242</v>
      </c>
      <c r="Q244" s="513"/>
      <c r="R244" s="503"/>
      <c r="S244" s="282">
        <v>5</v>
      </c>
      <c r="T244" s="499">
        <v>0</v>
      </c>
      <c r="U244" s="719">
        <v>46296</v>
      </c>
      <c r="V244" s="505">
        <v>46030</v>
      </c>
      <c r="W244" s="708">
        <v>5</v>
      </c>
      <c r="X244" s="712" t="s">
        <v>35</v>
      </c>
      <c r="Y244" s="713"/>
      <c r="Z244" s="713"/>
      <c r="AA244" s="712"/>
      <c r="AB244" s="711">
        <f t="shared" si="0"/>
        <v>0</v>
      </c>
      <c r="AC244" s="250" t="s">
        <v>213</v>
      </c>
      <c r="AD244" s="283">
        <v>20.54</v>
      </c>
      <c r="AE244" s="499">
        <v>0</v>
      </c>
      <c r="AF244" s="719">
        <v>46327</v>
      </c>
      <c r="AG244" s="251">
        <v>46076</v>
      </c>
      <c r="AH244" s="335">
        <v>20.54</v>
      </c>
      <c r="AI244" s="336" t="s">
        <v>56</v>
      </c>
      <c r="AJ244" s="345"/>
      <c r="AK244" s="338"/>
      <c r="AL244" s="339"/>
      <c r="AM244" s="338">
        <f t="shared" si="7"/>
        <v>0</v>
      </c>
      <c r="AN244" s="340" t="s">
        <v>213</v>
      </c>
      <c r="AO244" s="282">
        <v>20.54</v>
      </c>
      <c r="AP244" s="499">
        <v>0</v>
      </c>
      <c r="AQ244" s="719">
        <v>46357</v>
      </c>
      <c r="AR244" s="340" t="s">
        <v>267</v>
      </c>
      <c r="AS244" s="335">
        <v>20.54</v>
      </c>
      <c r="AT244" s="337" t="s">
        <v>35</v>
      </c>
      <c r="AU244" s="337"/>
      <c r="AV244" s="335"/>
      <c r="AW244" s="337"/>
      <c r="AX244" s="335">
        <f t="shared" si="6"/>
        <v>0</v>
      </c>
      <c r="AY244" s="340" t="s">
        <v>213</v>
      </c>
      <c r="AZ244" s="282">
        <v>20.54</v>
      </c>
      <c r="BA244" s="499">
        <v>0</v>
      </c>
      <c r="BB244" s="719">
        <v>46388</v>
      </c>
      <c r="BC244" s="340" t="s">
        <v>321</v>
      </c>
      <c r="BD244" s="335">
        <v>20.54</v>
      </c>
      <c r="BE244" s="337" t="s">
        <v>35</v>
      </c>
      <c r="BF244" s="337"/>
      <c r="BG244" s="335"/>
      <c r="BH244" s="337"/>
      <c r="BI244" s="335">
        <f t="shared" si="3"/>
        <v>0</v>
      </c>
      <c r="BJ244" s="340"/>
      <c r="BK244" s="282">
        <v>20.54</v>
      </c>
      <c r="BL244" s="499">
        <v>0</v>
      </c>
      <c r="BM244" s="719">
        <v>46419</v>
      </c>
      <c r="BN244" s="340"/>
      <c r="BO244" s="335"/>
      <c r="BP244" s="337"/>
      <c r="BQ244" s="337"/>
      <c r="BR244" s="335"/>
      <c r="BS244" s="337"/>
      <c r="BT244" s="335">
        <f t="shared" si="4"/>
        <v>20.54</v>
      </c>
      <c r="BU244" s="340"/>
    </row>
    <row r="245" customHeight="1" spans="1:73">
      <c r="A245" s="689" t="s">
        <v>2447</v>
      </c>
      <c r="B245" s="305" t="s">
        <v>2448</v>
      </c>
      <c r="C245" s="7" t="s">
        <v>2449</v>
      </c>
      <c r="D245" s="250" t="s">
        <v>201</v>
      </c>
      <c r="E245" s="275" t="s">
        <v>220</v>
      </c>
      <c r="F245" s="275">
        <v>24</v>
      </c>
      <c r="G245" s="222" t="s">
        <v>2450</v>
      </c>
      <c r="H245" s="7" t="s">
        <v>2443</v>
      </c>
      <c r="I245" s="7" t="s">
        <v>206</v>
      </c>
      <c r="J245" s="7" t="s">
        <v>2444</v>
      </c>
      <c r="K245" s="7" t="s">
        <v>2445</v>
      </c>
      <c r="L245" s="222" t="s">
        <v>2446</v>
      </c>
      <c r="M245" s="7"/>
      <c r="N245" s="717">
        <v>46143</v>
      </c>
      <c r="O245" s="327" t="s">
        <v>384</v>
      </c>
      <c r="P245" s="7" t="s">
        <v>242</v>
      </c>
      <c r="Q245" s="257"/>
      <c r="S245" s="282">
        <f>20.54</f>
        <v>20.54</v>
      </c>
      <c r="T245" s="250">
        <v>0</v>
      </c>
      <c r="U245" s="717">
        <v>46296</v>
      </c>
      <c r="V245" s="331">
        <v>46039</v>
      </c>
      <c r="W245" s="539">
        <v>20.54</v>
      </c>
      <c r="X245" s="543" t="s">
        <v>35</v>
      </c>
      <c r="Y245" s="544"/>
      <c r="Z245" s="544"/>
      <c r="AA245" s="543"/>
      <c r="AB245" s="545">
        <f t="shared" si="0"/>
        <v>0</v>
      </c>
      <c r="AC245" s="250" t="s">
        <v>213</v>
      </c>
      <c r="AD245" s="283">
        <f>20.54</f>
        <v>20.54</v>
      </c>
      <c r="AE245" s="250">
        <v>0</v>
      </c>
      <c r="AF245" s="717">
        <v>46327</v>
      </c>
      <c r="AG245" s="251">
        <v>46077</v>
      </c>
      <c r="AH245" s="335">
        <v>20.54</v>
      </c>
      <c r="AI245" s="336" t="s">
        <v>56</v>
      </c>
      <c r="AJ245" s="345"/>
      <c r="AK245" s="338"/>
      <c r="AL245" s="339"/>
      <c r="AM245" s="338">
        <f t="shared" si="7"/>
        <v>0</v>
      </c>
      <c r="AN245" s="340" t="s">
        <v>213</v>
      </c>
      <c r="AO245" s="282">
        <f>20.54</f>
        <v>20.54</v>
      </c>
      <c r="AP245" s="250">
        <v>0</v>
      </c>
      <c r="AQ245" s="717">
        <v>46357</v>
      </c>
      <c r="AR245" s="340" t="s">
        <v>748</v>
      </c>
      <c r="AS245" s="335">
        <v>20.54</v>
      </c>
      <c r="AT245" s="337" t="s">
        <v>35</v>
      </c>
      <c r="AU245" s="337"/>
      <c r="AV245" s="335"/>
      <c r="AW245" s="337"/>
      <c r="AX245" s="335">
        <f t="shared" si="6"/>
        <v>0</v>
      </c>
      <c r="AY245" s="340" t="s">
        <v>213</v>
      </c>
      <c r="AZ245" s="282">
        <f>20.54</f>
        <v>20.54</v>
      </c>
      <c r="BA245" s="250">
        <v>0</v>
      </c>
      <c r="BB245" s="717">
        <v>46388</v>
      </c>
      <c r="BC245" s="340" t="s">
        <v>321</v>
      </c>
      <c r="BD245" s="335">
        <v>20.54</v>
      </c>
      <c r="BE245" s="337" t="s">
        <v>35</v>
      </c>
      <c r="BF245" s="337"/>
      <c r="BG245" s="335"/>
      <c r="BH245" s="337"/>
      <c r="BI245" s="335">
        <f t="shared" si="3"/>
        <v>0</v>
      </c>
      <c r="BJ245" s="340"/>
      <c r="BK245" s="282">
        <f>20.54</f>
        <v>20.54</v>
      </c>
      <c r="BL245" s="250">
        <v>0</v>
      </c>
      <c r="BM245" s="717">
        <v>46419</v>
      </c>
      <c r="BN245" s="340"/>
      <c r="BO245" s="335"/>
      <c r="BP245" s="337"/>
      <c r="BQ245" s="337"/>
      <c r="BR245" s="335"/>
      <c r="BS245" s="337"/>
      <c r="BT245" s="335">
        <f t="shared" si="4"/>
        <v>20.54</v>
      </c>
      <c r="BU245" s="340"/>
    </row>
    <row r="246" customHeight="1" spans="1:73">
      <c r="A246" s="700" t="s">
        <v>2451</v>
      </c>
      <c r="B246" s="417" t="s">
        <v>2452</v>
      </c>
      <c r="C246" s="7" t="s">
        <v>2453</v>
      </c>
      <c r="D246" s="486" t="s">
        <v>472</v>
      </c>
      <c r="E246" s="275" t="s">
        <v>220</v>
      </c>
      <c r="F246" s="275">
        <v>24</v>
      </c>
      <c r="G246" s="222" t="s">
        <v>2454</v>
      </c>
      <c r="H246" s="7" t="s">
        <v>238</v>
      </c>
      <c r="I246" s="7" t="s">
        <v>206</v>
      </c>
      <c r="J246" s="7" t="s">
        <v>341</v>
      </c>
      <c r="K246" s="7" t="s">
        <v>2455</v>
      </c>
      <c r="L246" s="222" t="s">
        <v>2456</v>
      </c>
      <c r="M246" s="7"/>
      <c r="N246" s="717">
        <v>46174</v>
      </c>
      <c r="O246" s="327" t="s">
        <v>384</v>
      </c>
      <c r="P246" s="7" t="s">
        <v>242</v>
      </c>
      <c r="Q246" s="257"/>
      <c r="S246" s="282">
        <v>0</v>
      </c>
      <c r="T246" s="250">
        <v>0</v>
      </c>
      <c r="U246" s="717">
        <v>46296</v>
      </c>
      <c r="V246" s="350"/>
      <c r="W246" s="545"/>
      <c r="X246" s="543"/>
      <c r="Y246" s="544"/>
      <c r="Z246" s="544"/>
      <c r="AA246" s="543"/>
      <c r="AB246" s="545">
        <f t="shared" si="0"/>
        <v>0</v>
      </c>
      <c r="AC246" s="250" t="s">
        <v>213</v>
      </c>
      <c r="AD246" s="283">
        <v>20.54</v>
      </c>
      <c r="AE246" s="250">
        <v>0</v>
      </c>
      <c r="AF246" s="717">
        <v>46327</v>
      </c>
      <c r="AH246" s="338"/>
      <c r="AI246" s="339"/>
      <c r="AJ246" s="345"/>
      <c r="AK246" s="338"/>
      <c r="AL246" s="339"/>
      <c r="AM246" s="338">
        <f t="shared" si="7"/>
        <v>20.54</v>
      </c>
      <c r="AN246" s="340" t="s">
        <v>213</v>
      </c>
      <c r="AO246" s="282">
        <v>20.54</v>
      </c>
      <c r="AP246" s="250">
        <v>0</v>
      </c>
      <c r="AQ246" s="717">
        <v>46357</v>
      </c>
      <c r="AR246" s="340"/>
      <c r="AS246" s="335"/>
      <c r="AT246" s="337"/>
      <c r="AU246" s="337"/>
      <c r="AV246" s="335"/>
      <c r="AW246" s="337"/>
      <c r="AX246" s="335">
        <f t="shared" si="6"/>
        <v>41.08</v>
      </c>
      <c r="AY246" s="340" t="s">
        <v>213</v>
      </c>
      <c r="AZ246" s="282">
        <v>20.54</v>
      </c>
      <c r="BA246" s="250">
        <v>0</v>
      </c>
      <c r="BB246" s="717">
        <v>46388</v>
      </c>
      <c r="BC246" s="340"/>
      <c r="BD246" s="335"/>
      <c r="BE246" s="337"/>
      <c r="BF246" s="337"/>
      <c r="BG246" s="335"/>
      <c r="BH246" s="337"/>
      <c r="BI246" s="335">
        <f t="shared" si="3"/>
        <v>61.62</v>
      </c>
      <c r="BJ246" s="340"/>
      <c r="BK246" s="282">
        <v>20.54</v>
      </c>
      <c r="BL246" s="250">
        <v>0</v>
      </c>
      <c r="BM246" s="717">
        <v>46419</v>
      </c>
      <c r="BN246" s="340"/>
      <c r="BO246" s="335"/>
      <c r="BP246" s="337"/>
      <c r="BQ246" s="337"/>
      <c r="BR246" s="335"/>
      <c r="BS246" s="337"/>
      <c r="BT246" s="335">
        <f t="shared" si="4"/>
        <v>82.16</v>
      </c>
      <c r="BU246" s="340"/>
    </row>
    <row r="247" customHeight="1" spans="1:73">
      <c r="A247" s="700" t="s">
        <v>2457</v>
      </c>
      <c r="B247" s="305" t="s">
        <v>2458</v>
      </c>
      <c r="C247" s="7" t="s">
        <v>2459</v>
      </c>
      <c r="D247" s="250" t="s">
        <v>988</v>
      </c>
      <c r="E247" s="275" t="s">
        <v>220</v>
      </c>
      <c r="F247" s="275">
        <v>24</v>
      </c>
      <c r="G247" s="222" t="s">
        <v>2460</v>
      </c>
      <c r="H247" s="7" t="s">
        <v>238</v>
      </c>
      <c r="I247" s="7" t="s">
        <v>206</v>
      </c>
      <c r="J247" s="7" t="s">
        <v>2381</v>
      </c>
      <c r="K247" s="7" t="s">
        <v>2461</v>
      </c>
      <c r="L247" s="222" t="s">
        <v>1985</v>
      </c>
      <c r="M247" s="7"/>
      <c r="N247" s="49">
        <v>46043</v>
      </c>
      <c r="O247" s="327" t="s">
        <v>384</v>
      </c>
      <c r="P247" s="7" t="s">
        <v>242</v>
      </c>
      <c r="Q247" s="257"/>
      <c r="S247" s="250">
        <v>5</v>
      </c>
      <c r="T247" s="250">
        <v>0</v>
      </c>
      <c r="U247" s="49">
        <v>46032</v>
      </c>
      <c r="V247" s="331">
        <v>46045</v>
      </c>
      <c r="W247" s="539">
        <v>5</v>
      </c>
      <c r="X247" s="543" t="s">
        <v>56</v>
      </c>
      <c r="Y247" s="544"/>
      <c r="Z247" s="544"/>
      <c r="AA247" s="543"/>
      <c r="AB247" s="545">
        <f t="shared" si="0"/>
        <v>0</v>
      </c>
      <c r="AC247" s="250" t="s">
        <v>213</v>
      </c>
      <c r="AD247" s="283">
        <v>10</v>
      </c>
      <c r="AE247" s="250">
        <v>0</v>
      </c>
      <c r="AF247" s="49">
        <v>46063</v>
      </c>
      <c r="AG247" s="251">
        <v>46076</v>
      </c>
      <c r="AH247" s="335">
        <v>10</v>
      </c>
      <c r="AI247" s="336" t="s">
        <v>56</v>
      </c>
      <c r="AJ247" s="345"/>
      <c r="AK247" s="338"/>
      <c r="AL247" s="339"/>
      <c r="AM247" s="338">
        <f t="shared" si="7"/>
        <v>0</v>
      </c>
      <c r="AN247" s="340" t="s">
        <v>213</v>
      </c>
      <c r="AO247" s="282">
        <v>10</v>
      </c>
      <c r="AP247" s="250">
        <v>0</v>
      </c>
      <c r="AQ247" s="49">
        <v>46091</v>
      </c>
      <c r="AR247" s="485">
        <v>46095.4294824421</v>
      </c>
      <c r="AS247" s="335">
        <v>10</v>
      </c>
      <c r="AT247" s="337" t="s">
        <v>56</v>
      </c>
      <c r="AU247" s="337"/>
      <c r="AV247" s="335"/>
      <c r="AW247" s="337"/>
      <c r="AX247" s="335">
        <f t="shared" si="6"/>
        <v>0</v>
      </c>
      <c r="AY247" s="340" t="s">
        <v>213</v>
      </c>
      <c r="AZ247" s="282">
        <v>10</v>
      </c>
      <c r="BA247" s="250">
        <v>0</v>
      </c>
      <c r="BB247" s="49">
        <v>46122</v>
      </c>
      <c r="BC247" s="485">
        <v>46121.6650829282</v>
      </c>
      <c r="BD247" s="335">
        <v>10</v>
      </c>
      <c r="BE247" s="337" t="s">
        <v>56</v>
      </c>
      <c r="BF247" s="337"/>
      <c r="BG247" s="335"/>
      <c r="BH247" s="337"/>
      <c r="BI247" s="335">
        <f t="shared" si="3"/>
        <v>0</v>
      </c>
      <c r="BJ247" s="340"/>
      <c r="BK247" s="282">
        <v>10</v>
      </c>
      <c r="BL247" s="250">
        <v>0</v>
      </c>
      <c r="BM247" s="49">
        <v>46152</v>
      </c>
      <c r="BN247" s="340"/>
      <c r="BO247" s="335"/>
      <c r="BP247" s="337"/>
      <c r="BQ247" s="337"/>
      <c r="BR247" s="335"/>
      <c r="BS247" s="337"/>
      <c r="BT247" s="335">
        <f t="shared" si="4"/>
        <v>10</v>
      </c>
      <c r="BU247" s="340"/>
    </row>
    <row r="248" customHeight="1" spans="1:73">
      <c r="A248" s="700" t="s">
        <v>2462</v>
      </c>
      <c r="B248" s="307" t="s">
        <v>1413</v>
      </c>
      <c r="C248" s="307" t="s">
        <v>2463</v>
      </c>
      <c r="D248" s="499" t="s">
        <v>201</v>
      </c>
      <c r="E248" s="466" t="s">
        <v>220</v>
      </c>
      <c r="F248" s="466">
        <v>24</v>
      </c>
      <c r="G248" s="467" t="s">
        <v>1415</v>
      </c>
      <c r="H248" s="307" t="s">
        <v>238</v>
      </c>
      <c r="I248" s="307" t="s">
        <v>206</v>
      </c>
      <c r="J248" s="307" t="s">
        <v>2464</v>
      </c>
      <c r="K248" s="307" t="s">
        <v>1416</v>
      </c>
      <c r="L248" s="467" t="s">
        <v>1417</v>
      </c>
      <c r="M248" s="307"/>
      <c r="N248" s="502">
        <v>46063</v>
      </c>
      <c r="O248" s="307" t="s">
        <v>384</v>
      </c>
      <c r="P248" s="720" t="s">
        <v>242</v>
      </c>
      <c r="Q248" s="513"/>
      <c r="R248" s="503"/>
      <c r="S248" s="503"/>
      <c r="T248" s="503"/>
      <c r="U248" s="307"/>
      <c r="V248" s="512"/>
      <c r="W248" s="503"/>
      <c r="X248" s="503"/>
      <c r="Y248" s="503"/>
      <c r="Z248" s="503"/>
      <c r="AA248" s="503"/>
      <c r="AB248" s="503"/>
      <c r="AC248" s="499" t="s">
        <v>213</v>
      </c>
      <c r="AD248" s="714">
        <v>0</v>
      </c>
      <c r="AE248" s="503"/>
      <c r="AF248" s="503"/>
      <c r="AG248" s="503"/>
      <c r="AH248" s="335">
        <v>0</v>
      </c>
      <c r="AI248" s="336"/>
      <c r="AJ248" s="345"/>
      <c r="AK248" s="338"/>
      <c r="AL248" s="339"/>
      <c r="AM248" s="338">
        <f t="shared" si="7"/>
        <v>0</v>
      </c>
      <c r="AN248" s="340" t="s">
        <v>213</v>
      </c>
      <c r="AO248" s="504">
        <v>0</v>
      </c>
      <c r="AP248" s="503"/>
      <c r="AQ248" s="503"/>
      <c r="AR248" s="340"/>
      <c r="AS248" s="335"/>
      <c r="AT248" s="337"/>
      <c r="AU248" s="337"/>
      <c r="AV248" s="335"/>
      <c r="AW248" s="337"/>
      <c r="AX248" s="335">
        <f t="shared" si="6"/>
        <v>0</v>
      </c>
      <c r="AY248" s="340" t="s">
        <v>213</v>
      </c>
      <c r="AZ248" s="504">
        <v>20.54</v>
      </c>
      <c r="BA248" s="499">
        <v>4</v>
      </c>
      <c r="BB248" s="517">
        <v>46122</v>
      </c>
      <c r="BC248" s="340" t="s">
        <v>2465</v>
      </c>
      <c r="BD248" s="335">
        <v>20.54</v>
      </c>
      <c r="BE248" s="337" t="s">
        <v>23</v>
      </c>
      <c r="BF248" s="337"/>
      <c r="BG248" s="335">
        <v>4</v>
      </c>
      <c r="BH248" s="337" t="s">
        <v>23</v>
      </c>
      <c r="BI248" s="335">
        <f t="shared" si="3"/>
        <v>0</v>
      </c>
      <c r="BJ248" s="340"/>
      <c r="BK248" s="504">
        <v>20.54</v>
      </c>
      <c r="BL248" s="499">
        <v>4</v>
      </c>
      <c r="BM248" s="517">
        <v>46152</v>
      </c>
      <c r="BN248" s="340"/>
      <c r="BO248" s="335"/>
      <c r="BP248" s="337"/>
      <c r="BQ248" s="337"/>
      <c r="BR248" s="335"/>
      <c r="BS248" s="337"/>
      <c r="BT248" s="335">
        <f t="shared" si="4"/>
        <v>24.54</v>
      </c>
      <c r="BU248" s="340"/>
    </row>
    <row r="249" customHeight="1" spans="1:73">
      <c r="A249" s="700" t="s">
        <v>2466</v>
      </c>
      <c r="B249" s="250" t="s">
        <v>2467</v>
      </c>
      <c r="C249" s="7" t="s">
        <v>2468</v>
      </c>
      <c r="D249" s="250" t="s">
        <v>201</v>
      </c>
      <c r="E249" s="275" t="s">
        <v>220</v>
      </c>
      <c r="F249" s="275">
        <v>24</v>
      </c>
      <c r="G249" s="222" t="s">
        <v>2469</v>
      </c>
      <c r="H249" s="7" t="s">
        <v>238</v>
      </c>
      <c r="I249" s="7" t="s">
        <v>220</v>
      </c>
      <c r="J249" s="7" t="s">
        <v>1906</v>
      </c>
      <c r="K249" s="7" t="s">
        <v>2470</v>
      </c>
      <c r="L249" s="222" t="s">
        <v>2471</v>
      </c>
      <c r="M249" s="7"/>
      <c r="N249" s="49">
        <v>46065</v>
      </c>
      <c r="O249" s="7" t="s">
        <v>384</v>
      </c>
      <c r="P249" s="7" t="s">
        <v>242</v>
      </c>
      <c r="Q249" s="257"/>
      <c r="U249" s="7"/>
      <c r="V249" s="350"/>
      <c r="AC249" s="250" t="s">
        <v>213</v>
      </c>
      <c r="AD249" s="283">
        <v>0</v>
      </c>
      <c r="AH249" s="335">
        <v>0</v>
      </c>
      <c r="AI249" s="336"/>
      <c r="AJ249" s="345"/>
      <c r="AK249" s="338"/>
      <c r="AL249" s="339"/>
      <c r="AM249" s="338">
        <f t="shared" si="7"/>
        <v>0</v>
      </c>
      <c r="AN249" s="340" t="s">
        <v>213</v>
      </c>
      <c r="AO249" s="282">
        <v>20.54</v>
      </c>
      <c r="AQ249" s="251">
        <v>46091</v>
      </c>
      <c r="AR249" s="340" t="s">
        <v>1379</v>
      </c>
      <c r="AS249" s="335">
        <v>20.54</v>
      </c>
      <c r="AT249" s="337" t="s">
        <v>23</v>
      </c>
      <c r="AU249" s="337"/>
      <c r="AV249" s="335"/>
      <c r="AW249" s="337"/>
      <c r="AX249" s="335">
        <f t="shared" si="6"/>
        <v>0</v>
      </c>
      <c r="AY249" s="340" t="s">
        <v>213</v>
      </c>
      <c r="AZ249" s="282">
        <v>20.54</v>
      </c>
      <c r="BB249" s="251">
        <v>46122</v>
      </c>
      <c r="BC249" s="340" t="s">
        <v>795</v>
      </c>
      <c r="BD249" s="335">
        <v>20.54</v>
      </c>
      <c r="BE249" s="337" t="s">
        <v>23</v>
      </c>
      <c r="BF249" s="337"/>
      <c r="BG249" s="335"/>
      <c r="BH249" s="337"/>
      <c r="BI249" s="335">
        <f t="shared" si="3"/>
        <v>0</v>
      </c>
      <c r="BJ249" s="340"/>
      <c r="BK249" s="282">
        <v>20.54</v>
      </c>
      <c r="BM249" s="251">
        <v>46152</v>
      </c>
      <c r="BN249" s="340" t="s">
        <v>797</v>
      </c>
      <c r="BO249" s="335">
        <v>20.54</v>
      </c>
      <c r="BP249" s="337" t="s">
        <v>23</v>
      </c>
      <c r="BQ249" s="337"/>
      <c r="BR249" s="335"/>
      <c r="BS249" s="337"/>
      <c r="BT249" s="335">
        <f t="shared" si="4"/>
        <v>0</v>
      </c>
      <c r="BU249" s="340"/>
    </row>
    <row r="250" customHeight="1" spans="1:73">
      <c r="A250" s="700" t="s">
        <v>2472</v>
      </c>
      <c r="B250" s="7" t="s">
        <v>2473</v>
      </c>
      <c r="C250" s="7" t="s">
        <v>2474</v>
      </c>
      <c r="D250" s="250" t="s">
        <v>201</v>
      </c>
      <c r="E250" s="275" t="s">
        <v>220</v>
      </c>
      <c r="F250" s="275">
        <v>24</v>
      </c>
      <c r="G250" s="222" t="s">
        <v>2475</v>
      </c>
      <c r="H250" s="7" t="s">
        <v>238</v>
      </c>
      <c r="I250" s="7" t="s">
        <v>206</v>
      </c>
      <c r="J250" s="7" t="s">
        <v>2476</v>
      </c>
      <c r="K250" s="7" t="s">
        <v>2477</v>
      </c>
      <c r="L250" s="222" t="s">
        <v>2478</v>
      </c>
      <c r="M250" s="7"/>
      <c r="N250" s="49">
        <v>46072</v>
      </c>
      <c r="O250" s="7" t="s">
        <v>384</v>
      </c>
      <c r="P250" s="7" t="s">
        <v>242</v>
      </c>
      <c r="Q250" s="257"/>
      <c r="U250" s="7"/>
      <c r="V250" s="350"/>
      <c r="AC250" s="250" t="s">
        <v>213</v>
      </c>
      <c r="AD250" s="283">
        <v>11</v>
      </c>
      <c r="AH250" s="335">
        <v>11</v>
      </c>
      <c r="AI250" s="336" t="s">
        <v>56</v>
      </c>
      <c r="AJ250" s="345"/>
      <c r="AK250" s="338"/>
      <c r="AL250" s="339"/>
      <c r="AM250" s="338">
        <f t="shared" si="7"/>
        <v>0</v>
      </c>
      <c r="AN250" s="340" t="s">
        <v>213</v>
      </c>
      <c r="AO250" s="282">
        <v>20.5</v>
      </c>
      <c r="AQ250" s="251">
        <v>46091</v>
      </c>
      <c r="AR250" s="340" t="s">
        <v>1379</v>
      </c>
      <c r="AS250" s="335">
        <v>20.5</v>
      </c>
      <c r="AT250" s="337" t="s">
        <v>56</v>
      </c>
      <c r="AU250" s="337"/>
      <c r="AV250" s="335"/>
      <c r="AW250" s="337"/>
      <c r="AX250" s="335">
        <f t="shared" si="6"/>
        <v>0</v>
      </c>
      <c r="AY250" s="340" t="s">
        <v>213</v>
      </c>
      <c r="AZ250" s="282">
        <v>20.5</v>
      </c>
      <c r="BB250" s="251">
        <v>46122</v>
      </c>
      <c r="BC250" s="485">
        <v>46118.6624110185</v>
      </c>
      <c r="BD250" s="335">
        <v>20.5</v>
      </c>
      <c r="BE250" s="337" t="s">
        <v>56</v>
      </c>
      <c r="BF250" s="337"/>
      <c r="BG250" s="335"/>
      <c r="BH250" s="337"/>
      <c r="BI250" s="335">
        <f t="shared" si="3"/>
        <v>0</v>
      </c>
      <c r="BJ250" s="340"/>
      <c r="BK250" s="282">
        <v>20.5</v>
      </c>
      <c r="BM250" s="251">
        <v>46152</v>
      </c>
      <c r="BN250" s="340" t="s">
        <v>954</v>
      </c>
      <c r="BO250" s="335">
        <v>20.5</v>
      </c>
      <c r="BP250" s="337" t="s">
        <v>56</v>
      </c>
      <c r="BQ250" s="337"/>
      <c r="BR250" s="335"/>
      <c r="BS250" s="337"/>
      <c r="BT250" s="335">
        <f t="shared" si="4"/>
        <v>0</v>
      </c>
      <c r="BU250" s="340"/>
    </row>
    <row r="251" customHeight="1" spans="1:73">
      <c r="A251" s="700" t="s">
        <v>2479</v>
      </c>
      <c r="B251" s="250" t="s">
        <v>2480</v>
      </c>
      <c r="C251" s="250" t="s">
        <v>2481</v>
      </c>
      <c r="D251" s="250" t="s">
        <v>201</v>
      </c>
      <c r="E251" s="277" t="s">
        <v>220</v>
      </c>
      <c r="F251" s="275">
        <v>24</v>
      </c>
      <c r="G251" s="340" t="s">
        <v>2482</v>
      </c>
      <c r="H251" s="250" t="s">
        <v>238</v>
      </c>
      <c r="I251" s="250" t="s">
        <v>220</v>
      </c>
      <c r="J251" s="250" t="s">
        <v>2483</v>
      </c>
      <c r="K251" s="250" t="s">
        <v>2484</v>
      </c>
      <c r="L251" s="340" t="s">
        <v>2485</v>
      </c>
      <c r="N251" s="251">
        <v>46074</v>
      </c>
      <c r="O251" s="7" t="s">
        <v>384</v>
      </c>
      <c r="P251" s="250" t="s">
        <v>242</v>
      </c>
      <c r="AC251" s="250" t="s">
        <v>213</v>
      </c>
      <c r="AD251" s="279"/>
      <c r="AH251" s="335">
        <v>0</v>
      </c>
      <c r="AI251" s="336"/>
      <c r="AJ251" s="345"/>
      <c r="AK251" s="338"/>
      <c r="AL251" s="339"/>
      <c r="AM251" s="338">
        <f t="shared" si="7"/>
        <v>0</v>
      </c>
      <c r="AN251" s="340" t="s">
        <v>213</v>
      </c>
      <c r="AO251" s="282">
        <v>20.54</v>
      </c>
      <c r="AQ251" s="251">
        <v>46091</v>
      </c>
      <c r="AR251" s="340" t="s">
        <v>360</v>
      </c>
      <c r="AS251" s="335">
        <v>20.54</v>
      </c>
      <c r="AT251" s="337" t="s">
        <v>56</v>
      </c>
      <c r="AU251" s="337"/>
      <c r="AV251" s="335"/>
      <c r="AW251" s="337"/>
      <c r="AX251" s="335">
        <f t="shared" si="6"/>
        <v>0</v>
      </c>
      <c r="AY251" s="340" t="s">
        <v>213</v>
      </c>
      <c r="AZ251" s="282">
        <v>20.54</v>
      </c>
      <c r="BB251" s="251">
        <v>46122</v>
      </c>
      <c r="BC251" s="485">
        <v>46128.6781411343</v>
      </c>
      <c r="BD251" s="335">
        <v>20.54</v>
      </c>
      <c r="BE251" s="337" t="s">
        <v>56</v>
      </c>
      <c r="BF251" s="337"/>
      <c r="BG251" s="335"/>
      <c r="BH251" s="337"/>
      <c r="BI251" s="335">
        <f t="shared" si="3"/>
        <v>0</v>
      </c>
      <c r="BJ251" s="340"/>
      <c r="BK251" s="282">
        <v>20.54</v>
      </c>
      <c r="BM251" s="251">
        <v>46152</v>
      </c>
      <c r="BN251" s="340"/>
      <c r="BO251" s="335"/>
      <c r="BP251" s="337"/>
      <c r="BQ251" s="337"/>
      <c r="BR251" s="335"/>
      <c r="BS251" s="337"/>
      <c r="BT251" s="335">
        <f t="shared" si="4"/>
        <v>20.54</v>
      </c>
      <c r="BU251" s="340"/>
    </row>
    <row r="252" customHeight="1" spans="1:73">
      <c r="A252" s="700" t="s">
        <v>2486</v>
      </c>
      <c r="B252" s="7" t="s">
        <v>2487</v>
      </c>
      <c r="C252" s="7" t="s">
        <v>2488</v>
      </c>
      <c r="D252" s="250" t="s">
        <v>201</v>
      </c>
      <c r="E252" s="275" t="s">
        <v>220</v>
      </c>
      <c r="F252" s="275">
        <v>24</v>
      </c>
      <c r="G252" s="222" t="s">
        <v>2489</v>
      </c>
      <c r="H252" s="7" t="s">
        <v>238</v>
      </c>
      <c r="I252" s="7" t="s">
        <v>220</v>
      </c>
      <c r="J252" s="7" t="s">
        <v>2483</v>
      </c>
      <c r="K252" s="7" t="s">
        <v>2490</v>
      </c>
      <c r="L252" s="222" t="s">
        <v>2491</v>
      </c>
      <c r="M252" s="7"/>
      <c r="N252" s="49">
        <v>46076</v>
      </c>
      <c r="O252" s="7" t="s">
        <v>384</v>
      </c>
      <c r="P252" s="7" t="s">
        <v>242</v>
      </c>
      <c r="Q252" s="257"/>
      <c r="U252" s="7"/>
      <c r="V252" s="350"/>
      <c r="AC252" s="250" t="s">
        <v>213</v>
      </c>
      <c r="AD252" s="283">
        <v>4</v>
      </c>
      <c r="AH252" s="335">
        <v>4</v>
      </c>
      <c r="AI252" s="336" t="s">
        <v>56</v>
      </c>
      <c r="AJ252" s="345"/>
      <c r="AK252" s="338"/>
      <c r="AL252" s="339"/>
      <c r="AM252" s="338">
        <f t="shared" si="7"/>
        <v>0</v>
      </c>
      <c r="AN252" s="340" t="s">
        <v>213</v>
      </c>
      <c r="AO252" s="282">
        <v>20.54</v>
      </c>
      <c r="AR252" s="485">
        <v>46101.5824667593</v>
      </c>
      <c r="AS252" s="335">
        <v>20.54</v>
      </c>
      <c r="AT252" s="337" t="s">
        <v>56</v>
      </c>
      <c r="AU252" s="337"/>
      <c r="AV252" s="335"/>
      <c r="AW252" s="337"/>
      <c r="AX252" s="335">
        <f t="shared" si="6"/>
        <v>0</v>
      </c>
      <c r="AY252" s="340" t="s">
        <v>213</v>
      </c>
      <c r="AZ252" s="282">
        <v>20.54</v>
      </c>
      <c r="BB252" s="251">
        <v>46122</v>
      </c>
      <c r="BC252" s="340" t="s">
        <v>468</v>
      </c>
      <c r="BD252" s="335">
        <v>20.54</v>
      </c>
      <c r="BE252" s="337" t="s">
        <v>56</v>
      </c>
      <c r="BF252" s="337"/>
      <c r="BG252" s="335"/>
      <c r="BH252" s="337"/>
      <c r="BI252" s="335">
        <f t="shared" si="3"/>
        <v>0</v>
      </c>
      <c r="BJ252" s="340"/>
      <c r="BK252" s="282">
        <v>20.54</v>
      </c>
      <c r="BM252" s="251">
        <v>46152</v>
      </c>
      <c r="BN252" s="340"/>
      <c r="BO252" s="335"/>
      <c r="BP252" s="337"/>
      <c r="BQ252" s="337"/>
      <c r="BR252" s="335"/>
      <c r="BS252" s="337"/>
      <c r="BT252" s="335">
        <f t="shared" si="4"/>
        <v>20.54</v>
      </c>
      <c r="BU252" s="340"/>
    </row>
    <row r="253" customHeight="1" spans="1:73">
      <c r="A253" s="706" t="s">
        <v>2492</v>
      </c>
      <c r="B253" s="307" t="s">
        <v>2493</v>
      </c>
      <c r="C253" s="307" t="s">
        <v>2494</v>
      </c>
      <c r="D253" s="499" t="s">
        <v>201</v>
      </c>
      <c r="E253" s="466" t="s">
        <v>220</v>
      </c>
      <c r="F253" s="466">
        <v>24</v>
      </c>
      <c r="G253" s="467" t="s">
        <v>2495</v>
      </c>
      <c r="H253" s="307" t="s">
        <v>238</v>
      </c>
      <c r="I253" s="307" t="s">
        <v>220</v>
      </c>
      <c r="J253" s="307" t="s">
        <v>1430</v>
      </c>
      <c r="K253" s="307" t="s">
        <v>2496</v>
      </c>
      <c r="L253" s="467" t="s">
        <v>2497</v>
      </c>
      <c r="M253" s="307"/>
      <c r="N253" s="502">
        <v>46088</v>
      </c>
      <c r="O253" s="307" t="s">
        <v>384</v>
      </c>
      <c r="P253" s="307" t="s">
        <v>242</v>
      </c>
      <c r="Q253" s="513"/>
      <c r="R253" s="503"/>
      <c r="S253" s="503"/>
      <c r="T253" s="503"/>
      <c r="U253" s="307"/>
      <c r="V253" s="512"/>
      <c r="W253" s="503"/>
      <c r="X253" s="503"/>
      <c r="Y253" s="503"/>
      <c r="Z253" s="503"/>
      <c r="AA253" s="503"/>
      <c r="AB253" s="503"/>
      <c r="AC253" s="499" t="s">
        <v>213</v>
      </c>
      <c r="AD253" s="721">
        <v>13.7</v>
      </c>
      <c r="AE253" s="503"/>
      <c r="AF253" s="503"/>
      <c r="AG253" s="503"/>
      <c r="AH253" s="522">
        <v>13.7</v>
      </c>
      <c r="AI253" s="523" t="s">
        <v>56</v>
      </c>
      <c r="AJ253" s="516"/>
      <c r="AK253" s="516"/>
      <c r="AL253" s="515"/>
      <c r="AM253" s="514">
        <f t="shared" si="7"/>
        <v>0</v>
      </c>
      <c r="AN253" s="499" t="s">
        <v>213</v>
      </c>
      <c r="AO253" s="282"/>
      <c r="AP253" s="503"/>
      <c r="AQ253" s="503"/>
      <c r="AR253" s="503"/>
      <c r="AS253" s="522"/>
      <c r="AT253" s="722"/>
      <c r="AU253" s="722"/>
      <c r="AV253" s="522"/>
      <c r="AW253" s="722"/>
      <c r="AX253" s="522">
        <f t="shared" si="6"/>
        <v>0</v>
      </c>
      <c r="AY253" s="340" t="s">
        <v>213</v>
      </c>
      <c r="AZ253" s="282">
        <v>20.54</v>
      </c>
      <c r="BA253" s="503"/>
      <c r="BB253" s="517">
        <v>46122</v>
      </c>
      <c r="BC253" s="485">
        <v>46120.4868080093</v>
      </c>
      <c r="BD253" s="335">
        <v>20.54</v>
      </c>
      <c r="BE253" s="336" t="s">
        <v>56</v>
      </c>
      <c r="BF253" s="345"/>
      <c r="BG253" s="338"/>
      <c r="BH253" s="339"/>
      <c r="BI253" s="338">
        <f t="shared" si="3"/>
        <v>0</v>
      </c>
      <c r="BJ253" s="519"/>
      <c r="BK253" s="282">
        <v>20.54</v>
      </c>
      <c r="BL253" s="503"/>
      <c r="BM253" s="517">
        <v>46152</v>
      </c>
      <c r="BN253" s="519"/>
      <c r="BO253" s="338"/>
      <c r="BP253" s="345"/>
      <c r="BQ253" s="345"/>
      <c r="BR253" s="338"/>
      <c r="BS253" s="345"/>
      <c r="BT253" s="338">
        <f t="shared" si="4"/>
        <v>20.54</v>
      </c>
      <c r="BU253" s="519"/>
    </row>
    <row r="254" customHeight="1" spans="1:73">
      <c r="A254" s="700" t="s">
        <v>2498</v>
      </c>
      <c r="B254" s="7" t="s">
        <v>2499</v>
      </c>
      <c r="C254" s="7" t="s">
        <v>2500</v>
      </c>
      <c r="D254" s="250" t="s">
        <v>201</v>
      </c>
      <c r="E254" s="275" t="s">
        <v>220</v>
      </c>
      <c r="F254" s="275">
        <v>24</v>
      </c>
      <c r="G254" s="222" t="s">
        <v>2501</v>
      </c>
      <c r="H254" s="7" t="s">
        <v>238</v>
      </c>
      <c r="I254" s="7" t="s">
        <v>206</v>
      </c>
      <c r="J254" s="7" t="s">
        <v>2502</v>
      </c>
      <c r="K254" s="7" t="s">
        <v>2503</v>
      </c>
      <c r="L254" s="222" t="s">
        <v>2504</v>
      </c>
      <c r="M254" s="7"/>
      <c r="N254" s="49">
        <v>46093</v>
      </c>
      <c r="O254" s="7" t="s">
        <v>384</v>
      </c>
      <c r="P254" s="7" t="s">
        <v>242</v>
      </c>
      <c r="Q254" s="257"/>
      <c r="U254" s="7"/>
      <c r="V254" s="350"/>
      <c r="AD254" s="280"/>
      <c r="AN254" s="250" t="s">
        <v>213</v>
      </c>
      <c r="AO254" s="282">
        <v>0</v>
      </c>
      <c r="AS254" s="335"/>
      <c r="AT254" s="337"/>
      <c r="AU254" s="337"/>
      <c r="AV254" s="335"/>
      <c r="AW254" s="337"/>
      <c r="AX254" s="335">
        <f t="shared" si="6"/>
        <v>0</v>
      </c>
      <c r="AY254" s="340" t="s">
        <v>213</v>
      </c>
      <c r="AZ254" s="282">
        <v>20.54</v>
      </c>
      <c r="BB254" s="251">
        <v>46122</v>
      </c>
      <c r="BC254" s="251">
        <v>46123</v>
      </c>
      <c r="BD254" s="335">
        <v>20.54</v>
      </c>
      <c r="BE254" s="336" t="s">
        <v>56</v>
      </c>
      <c r="BF254" s="345"/>
      <c r="BG254" s="338"/>
      <c r="BH254" s="339"/>
      <c r="BI254" s="338">
        <f t="shared" si="3"/>
        <v>0</v>
      </c>
      <c r="BJ254" s="519"/>
      <c r="BK254" s="282">
        <v>20.54</v>
      </c>
      <c r="BM254" s="251">
        <v>46152</v>
      </c>
      <c r="BN254" s="340" t="s">
        <v>683</v>
      </c>
      <c r="BO254" s="335">
        <v>20.54</v>
      </c>
      <c r="BP254" s="337" t="s">
        <v>56</v>
      </c>
      <c r="BQ254" s="345"/>
      <c r="BR254" s="338"/>
      <c r="BS254" s="345"/>
      <c r="BT254" s="338">
        <f t="shared" si="4"/>
        <v>0</v>
      </c>
      <c r="BU254" s="519"/>
    </row>
    <row r="255" customHeight="1" spans="1:73">
      <c r="A255" s="700" t="s">
        <v>2505</v>
      </c>
      <c r="B255" s="7" t="s">
        <v>2506</v>
      </c>
      <c r="C255" s="7" t="s">
        <v>2507</v>
      </c>
      <c r="D255" s="250" t="s">
        <v>201</v>
      </c>
      <c r="E255" s="275" t="s">
        <v>220</v>
      </c>
      <c r="F255" s="275">
        <v>12</v>
      </c>
      <c r="G255" s="222" t="s">
        <v>2508</v>
      </c>
      <c r="H255" s="7" t="s">
        <v>238</v>
      </c>
      <c r="I255" s="7" t="s">
        <v>220</v>
      </c>
      <c r="J255" s="7" t="s">
        <v>1016</v>
      </c>
      <c r="K255" s="7" t="s">
        <v>2509</v>
      </c>
      <c r="L255" s="222" t="s">
        <v>2510</v>
      </c>
      <c r="M255" s="7"/>
      <c r="N255" s="49">
        <v>46094</v>
      </c>
      <c r="O255" s="7" t="s">
        <v>232</v>
      </c>
      <c r="P255" s="7" t="s">
        <v>242</v>
      </c>
      <c r="Q255" s="257"/>
      <c r="U255" s="7"/>
      <c r="V255" s="350"/>
      <c r="AD255" s="280"/>
      <c r="AN255" s="250" t="s">
        <v>213</v>
      </c>
      <c r="AO255" s="282">
        <v>8.62</v>
      </c>
      <c r="AQ255" s="251">
        <v>46091</v>
      </c>
      <c r="AR255" s="251">
        <v>46094</v>
      </c>
      <c r="AS255" s="335">
        <v>8.62</v>
      </c>
      <c r="AT255" s="337" t="s">
        <v>56</v>
      </c>
      <c r="AU255" s="337"/>
      <c r="AV255" s="335"/>
      <c r="AW255" s="337"/>
      <c r="AX255" s="335">
        <f t="shared" si="6"/>
        <v>0</v>
      </c>
      <c r="AY255" s="340" t="s">
        <v>213</v>
      </c>
      <c r="AZ255" s="282">
        <v>17.25</v>
      </c>
      <c r="BB255" s="251">
        <v>46122</v>
      </c>
      <c r="BC255" s="485">
        <v>46120</v>
      </c>
      <c r="BD255" s="335">
        <v>17.25</v>
      </c>
      <c r="BE255" s="336" t="s">
        <v>56</v>
      </c>
      <c r="BF255" s="345"/>
      <c r="BG255" s="338"/>
      <c r="BH255" s="339"/>
      <c r="BI255" s="338">
        <f t="shared" si="3"/>
        <v>0</v>
      </c>
      <c r="BJ255" s="519"/>
      <c r="BK255" s="282">
        <v>17.25</v>
      </c>
      <c r="BM255" s="251">
        <v>46152</v>
      </c>
      <c r="BN255" s="519"/>
      <c r="BO255" s="338"/>
      <c r="BP255" s="345"/>
      <c r="BQ255" s="345"/>
      <c r="BR255" s="338"/>
      <c r="BS255" s="345"/>
      <c r="BT255" s="338">
        <f t="shared" si="4"/>
        <v>17.25</v>
      </c>
      <c r="BU255" s="519"/>
    </row>
    <row r="256" customHeight="1" spans="1:73">
      <c r="A256" s="700" t="s">
        <v>2511</v>
      </c>
      <c r="B256" s="7" t="s">
        <v>2512</v>
      </c>
      <c r="C256" s="7" t="s">
        <v>2513</v>
      </c>
      <c r="D256" s="250" t="s">
        <v>201</v>
      </c>
      <c r="E256" s="275" t="s">
        <v>220</v>
      </c>
      <c r="F256" s="275">
        <v>24</v>
      </c>
      <c r="G256" s="222" t="s">
        <v>2514</v>
      </c>
      <c r="H256" s="7" t="s">
        <v>238</v>
      </c>
      <c r="I256" s="7" t="s">
        <v>220</v>
      </c>
      <c r="J256" s="7" t="s">
        <v>2428</v>
      </c>
      <c r="K256" s="7" t="s">
        <v>2515</v>
      </c>
      <c r="L256" s="222" t="s">
        <v>2516</v>
      </c>
      <c r="M256" s="7"/>
      <c r="N256" s="232">
        <v>46098</v>
      </c>
      <c r="O256" s="7" t="s">
        <v>232</v>
      </c>
      <c r="P256" s="7" t="s">
        <v>242</v>
      </c>
      <c r="Q256" s="257"/>
      <c r="U256" s="7"/>
      <c r="V256" s="350"/>
      <c r="AD256" s="280"/>
      <c r="AN256" s="250" t="s">
        <v>213</v>
      </c>
      <c r="AO256" s="282">
        <v>8.62</v>
      </c>
      <c r="AQ256" s="251">
        <v>46091</v>
      </c>
      <c r="AR256" s="251">
        <v>46098</v>
      </c>
      <c r="AS256" s="335">
        <v>8.62</v>
      </c>
      <c r="AT256" s="337" t="s">
        <v>56</v>
      </c>
      <c r="AU256" s="337"/>
      <c r="AV256" s="335"/>
      <c r="AW256" s="337"/>
      <c r="AX256" s="335">
        <f t="shared" si="6"/>
        <v>0</v>
      </c>
      <c r="AY256" s="340" t="s">
        <v>213</v>
      </c>
      <c r="AZ256" s="282">
        <v>17.25</v>
      </c>
      <c r="BB256" s="251">
        <v>46122</v>
      </c>
      <c r="BC256" s="251">
        <v>46119</v>
      </c>
      <c r="BD256" s="335">
        <v>17.25</v>
      </c>
      <c r="BE256" s="336" t="s">
        <v>23</v>
      </c>
      <c r="BF256" s="345"/>
      <c r="BG256" s="338"/>
      <c r="BH256" s="339"/>
      <c r="BI256" s="338">
        <f t="shared" si="3"/>
        <v>0</v>
      </c>
      <c r="BJ256" s="519"/>
      <c r="BK256" s="282">
        <v>17.25</v>
      </c>
      <c r="BM256" s="251">
        <v>46152</v>
      </c>
      <c r="BN256" s="519"/>
      <c r="BO256" s="338"/>
      <c r="BP256" s="345"/>
      <c r="BQ256" s="345"/>
      <c r="BR256" s="338"/>
      <c r="BS256" s="345"/>
      <c r="BT256" s="338">
        <f t="shared" si="4"/>
        <v>17.25</v>
      </c>
      <c r="BU256" s="519"/>
    </row>
    <row r="257" customHeight="1" spans="1:73">
      <c r="A257" s="700" t="s">
        <v>2517</v>
      </c>
      <c r="B257" s="7" t="s">
        <v>2518</v>
      </c>
      <c r="C257" s="7" t="s">
        <v>2519</v>
      </c>
      <c r="D257" s="250" t="s">
        <v>201</v>
      </c>
      <c r="E257" s="275" t="s">
        <v>220</v>
      </c>
      <c r="F257" s="275">
        <v>12</v>
      </c>
      <c r="G257" s="222" t="s">
        <v>2520</v>
      </c>
      <c r="H257" s="7" t="s">
        <v>238</v>
      </c>
      <c r="I257" s="7" t="s">
        <v>220</v>
      </c>
      <c r="J257" s="7" t="s">
        <v>1016</v>
      </c>
      <c r="K257" s="7" t="s">
        <v>2521</v>
      </c>
      <c r="L257" s="222" t="s">
        <v>2522</v>
      </c>
      <c r="M257" s="7"/>
      <c r="N257" s="232">
        <v>46099</v>
      </c>
      <c r="O257" s="7" t="s">
        <v>384</v>
      </c>
      <c r="P257" s="7" t="s">
        <v>242</v>
      </c>
      <c r="Q257" s="282"/>
      <c r="U257" s="7"/>
      <c r="V257" s="350"/>
      <c r="AD257" s="280"/>
      <c r="AN257" s="250" t="s">
        <v>213</v>
      </c>
      <c r="AO257" s="282">
        <v>10</v>
      </c>
      <c r="AQ257" s="251">
        <v>46091</v>
      </c>
      <c r="AR257" s="251">
        <v>46099</v>
      </c>
      <c r="AS257" s="335">
        <v>10</v>
      </c>
      <c r="AT257" s="337" t="s">
        <v>56</v>
      </c>
      <c r="AU257" s="337"/>
      <c r="AV257" s="335"/>
      <c r="AW257" s="337"/>
      <c r="AX257" s="335">
        <f t="shared" si="6"/>
        <v>0</v>
      </c>
      <c r="AY257" s="340" t="s">
        <v>213</v>
      </c>
      <c r="AZ257" s="282">
        <v>20.54</v>
      </c>
      <c r="BB257" s="251">
        <v>46122</v>
      </c>
      <c r="BC257" s="251">
        <v>46127</v>
      </c>
      <c r="BD257" s="335">
        <v>20.54</v>
      </c>
      <c r="BE257" s="336" t="s">
        <v>23</v>
      </c>
      <c r="BF257" s="345"/>
      <c r="BG257" s="338"/>
      <c r="BH257" s="339"/>
      <c r="BI257" s="338">
        <f t="shared" si="3"/>
        <v>0</v>
      </c>
      <c r="BJ257" s="519"/>
      <c r="BK257" s="282">
        <v>20.54</v>
      </c>
      <c r="BM257" s="251">
        <v>46152</v>
      </c>
      <c r="BN257" s="519"/>
      <c r="BO257" s="338"/>
      <c r="BP257" s="345"/>
      <c r="BQ257" s="345"/>
      <c r="BR257" s="338"/>
      <c r="BS257" s="345"/>
      <c r="BT257" s="338">
        <f t="shared" si="4"/>
        <v>20.54</v>
      </c>
      <c r="BU257" s="519"/>
    </row>
    <row r="258" customHeight="1" spans="1:73">
      <c r="A258" s="700" t="s">
        <v>2523</v>
      </c>
      <c r="B258" s="7" t="s">
        <v>2524</v>
      </c>
      <c r="C258" s="7" t="s">
        <v>2525</v>
      </c>
      <c r="D258" s="250" t="s">
        <v>201</v>
      </c>
      <c r="E258" s="275" t="s">
        <v>220</v>
      </c>
      <c r="F258" s="275">
        <v>24</v>
      </c>
      <c r="G258" s="222" t="s">
        <v>2526</v>
      </c>
      <c r="H258" s="7" t="s">
        <v>238</v>
      </c>
      <c r="I258" s="7" t="s">
        <v>206</v>
      </c>
      <c r="J258" s="7" t="s">
        <v>2527</v>
      </c>
      <c r="K258" s="7" t="s">
        <v>2528</v>
      </c>
      <c r="L258" s="222" t="s">
        <v>2529</v>
      </c>
      <c r="M258" s="7"/>
      <c r="N258" s="232">
        <v>46099</v>
      </c>
      <c r="O258" s="7" t="s">
        <v>384</v>
      </c>
      <c r="P258" s="7" t="s">
        <v>242</v>
      </c>
      <c r="Q258" s="257"/>
      <c r="U258" s="7"/>
      <c r="V258" s="350"/>
      <c r="AD258" s="280"/>
      <c r="AN258" s="250" t="s">
        <v>213</v>
      </c>
      <c r="AO258" s="282">
        <f>5.12+40</f>
        <v>45.12</v>
      </c>
      <c r="AQ258" s="251">
        <v>46091</v>
      </c>
      <c r="AR258" s="251">
        <v>46099</v>
      </c>
      <c r="AS258" s="335">
        <f>40+5.12</f>
        <v>45.12</v>
      </c>
      <c r="AT258" s="337" t="s">
        <v>23</v>
      </c>
      <c r="AU258" s="337"/>
      <c r="AV258" s="335"/>
      <c r="AW258" s="337"/>
      <c r="AX258" s="335">
        <f t="shared" si="6"/>
        <v>0</v>
      </c>
      <c r="AY258" s="250" t="s">
        <v>2530</v>
      </c>
      <c r="AZ258" s="282">
        <v>10.27</v>
      </c>
      <c r="BB258" s="251">
        <v>46122</v>
      </c>
      <c r="BC258" s="485">
        <v>46127</v>
      </c>
      <c r="BD258" s="335">
        <v>10.27</v>
      </c>
      <c r="BE258" s="336" t="s">
        <v>23</v>
      </c>
      <c r="BF258" s="337"/>
      <c r="BG258" s="335"/>
      <c r="BH258" s="336"/>
      <c r="BI258" s="335">
        <f t="shared" si="3"/>
        <v>0</v>
      </c>
      <c r="BJ258" s="340" t="s">
        <v>2531</v>
      </c>
      <c r="BK258" s="282">
        <v>10.27</v>
      </c>
      <c r="BM258" s="251">
        <v>46152</v>
      </c>
      <c r="BN258" s="340"/>
      <c r="BO258" s="335"/>
      <c r="BP258" s="337"/>
      <c r="BQ258" s="337"/>
      <c r="BR258" s="335"/>
      <c r="BS258" s="337"/>
      <c r="BT258" s="335">
        <f t="shared" si="4"/>
        <v>10.27</v>
      </c>
      <c r="BU258" s="340"/>
    </row>
    <row r="259" customHeight="1" spans="1:73">
      <c r="A259" s="700" t="s">
        <v>2532</v>
      </c>
      <c r="B259" s="7" t="s">
        <v>2533</v>
      </c>
      <c r="C259" s="7" t="s">
        <v>2534</v>
      </c>
      <c r="D259" s="250" t="s">
        <v>201</v>
      </c>
      <c r="E259" s="275" t="s">
        <v>220</v>
      </c>
      <c r="F259" s="275">
        <v>24</v>
      </c>
      <c r="G259" s="222" t="s">
        <v>2535</v>
      </c>
      <c r="H259" s="7" t="s">
        <v>238</v>
      </c>
      <c r="I259" s="7" t="s">
        <v>220</v>
      </c>
      <c r="J259" s="7" t="s">
        <v>2536</v>
      </c>
      <c r="K259" s="7"/>
      <c r="L259" s="222" t="s">
        <v>2537</v>
      </c>
      <c r="M259" s="7"/>
      <c r="N259" s="232">
        <v>46099</v>
      </c>
      <c r="O259" s="7" t="s">
        <v>384</v>
      </c>
      <c r="P259" s="7" t="s">
        <v>242</v>
      </c>
      <c r="Q259" s="257"/>
      <c r="U259" s="7"/>
      <c r="V259" s="350"/>
      <c r="AD259" s="280"/>
      <c r="AO259" s="282">
        <v>8.25</v>
      </c>
      <c r="AS259" s="335"/>
      <c r="AT259" s="337"/>
      <c r="AU259" s="337"/>
      <c r="AV259" s="335"/>
      <c r="AW259" s="337"/>
      <c r="AX259" s="335">
        <f t="shared" si="6"/>
        <v>8.25</v>
      </c>
      <c r="AY259" s="250" t="s">
        <v>213</v>
      </c>
      <c r="AZ259" s="282">
        <v>20.54</v>
      </c>
      <c r="BB259" s="251">
        <v>46122</v>
      </c>
      <c r="BD259" s="338"/>
      <c r="BE259" s="339"/>
      <c r="BF259" s="345"/>
      <c r="BG259" s="338"/>
      <c r="BH259" s="339"/>
      <c r="BI259" s="338">
        <f t="shared" si="3"/>
        <v>28.79</v>
      </c>
      <c r="BJ259" s="519"/>
      <c r="BK259" s="282">
        <v>20.54</v>
      </c>
      <c r="BM259" s="251">
        <v>46152</v>
      </c>
      <c r="BN259" s="519"/>
      <c r="BO259" s="338"/>
      <c r="BP259" s="345"/>
      <c r="BQ259" s="345"/>
      <c r="BR259" s="338"/>
      <c r="BS259" s="345"/>
      <c r="BT259" s="338">
        <f t="shared" si="4"/>
        <v>49.33</v>
      </c>
      <c r="BU259" s="519"/>
    </row>
    <row r="260" customHeight="1" spans="1:73">
      <c r="A260" s="700" t="s">
        <v>2538</v>
      </c>
      <c r="B260" s="7" t="s">
        <v>2539</v>
      </c>
      <c r="C260" s="7" t="s">
        <v>2540</v>
      </c>
      <c r="D260" s="250" t="s">
        <v>201</v>
      </c>
      <c r="E260" s="275" t="s">
        <v>220</v>
      </c>
      <c r="F260" s="275">
        <v>24</v>
      </c>
      <c r="G260" s="222" t="s">
        <v>2541</v>
      </c>
      <c r="H260" s="7" t="s">
        <v>238</v>
      </c>
      <c r="I260" s="7" t="s">
        <v>206</v>
      </c>
      <c r="J260" s="7" t="s">
        <v>1678</v>
      </c>
      <c r="K260" s="7" t="s">
        <v>2542</v>
      </c>
      <c r="L260" s="222" t="s">
        <v>2543</v>
      </c>
      <c r="M260" s="7"/>
      <c r="N260" s="49">
        <v>46101</v>
      </c>
      <c r="O260" s="7" t="s">
        <v>384</v>
      </c>
      <c r="P260" s="7" t="s">
        <v>242</v>
      </c>
      <c r="Q260" s="257"/>
      <c r="U260" s="7"/>
      <c r="V260" s="350"/>
      <c r="AD260" s="280"/>
      <c r="AS260" s="335"/>
      <c r="AT260" s="337"/>
      <c r="AU260" s="337"/>
      <c r="AV260" s="335"/>
      <c r="AW260" s="337"/>
      <c r="AX260" s="335">
        <f t="shared" si="6"/>
        <v>0</v>
      </c>
      <c r="AY260" s="250" t="s">
        <v>213</v>
      </c>
      <c r="AZ260" s="282">
        <v>20.54</v>
      </c>
      <c r="BB260" s="251">
        <v>46122</v>
      </c>
      <c r="BC260" s="251">
        <v>46121</v>
      </c>
      <c r="BD260" s="335">
        <v>20.54</v>
      </c>
      <c r="BE260" s="336" t="s">
        <v>56</v>
      </c>
      <c r="BF260" s="345"/>
      <c r="BG260" s="338"/>
      <c r="BH260" s="339"/>
      <c r="BI260" s="338">
        <f t="shared" si="3"/>
        <v>0</v>
      </c>
      <c r="BJ260" s="519"/>
      <c r="BK260" s="282">
        <v>20.54</v>
      </c>
      <c r="BM260" s="251">
        <v>46152</v>
      </c>
      <c r="BN260" s="519"/>
      <c r="BO260" s="338"/>
      <c r="BP260" s="345"/>
      <c r="BQ260" s="345"/>
      <c r="BR260" s="338"/>
      <c r="BS260" s="345"/>
      <c r="BT260" s="338">
        <f t="shared" si="4"/>
        <v>20.54</v>
      </c>
      <c r="BU260" s="519"/>
    </row>
    <row r="261" customHeight="1" spans="1:73">
      <c r="A261" s="700" t="s">
        <v>2544</v>
      </c>
      <c r="B261" s="7" t="s">
        <v>2545</v>
      </c>
      <c r="C261" s="7" t="s">
        <v>2546</v>
      </c>
      <c r="D261" s="250" t="s">
        <v>201</v>
      </c>
      <c r="E261" s="275" t="s">
        <v>220</v>
      </c>
      <c r="F261" s="275">
        <v>24</v>
      </c>
      <c r="G261" s="222" t="s">
        <v>2547</v>
      </c>
      <c r="H261" s="7" t="s">
        <v>238</v>
      </c>
      <c r="I261" s="7" t="s">
        <v>206</v>
      </c>
      <c r="J261" s="7" t="s">
        <v>1016</v>
      </c>
      <c r="K261" s="7" t="s">
        <v>2548</v>
      </c>
      <c r="L261" s="222" t="s">
        <v>2549</v>
      </c>
      <c r="M261" s="7"/>
      <c r="N261" s="232">
        <v>46104</v>
      </c>
      <c r="O261" s="7" t="s">
        <v>464</v>
      </c>
      <c r="P261" s="7" t="s">
        <v>242</v>
      </c>
      <c r="Q261" s="257"/>
      <c r="U261" s="7"/>
      <c r="V261" s="350"/>
      <c r="AD261" s="280"/>
      <c r="AS261" s="335"/>
      <c r="AT261" s="337"/>
      <c r="AU261" s="337"/>
      <c r="AV261" s="335"/>
      <c r="AW261" s="337"/>
      <c r="AX261" s="335">
        <f t="shared" si="6"/>
        <v>0</v>
      </c>
      <c r="AY261" s="250" t="s">
        <v>213</v>
      </c>
      <c r="AZ261" s="282">
        <f>32.2+45+25</f>
        <v>102.2</v>
      </c>
      <c r="BA261" s="250">
        <v>17.1</v>
      </c>
      <c r="BB261" s="251">
        <v>46122</v>
      </c>
      <c r="BC261" s="251">
        <v>46119</v>
      </c>
      <c r="BD261" s="335">
        <v>102.2</v>
      </c>
      <c r="BE261" s="336" t="s">
        <v>56</v>
      </c>
      <c r="BF261" s="345"/>
      <c r="BG261" s="335">
        <v>17.1</v>
      </c>
      <c r="BH261" s="336" t="s">
        <v>56</v>
      </c>
      <c r="BI261" s="338">
        <f t="shared" si="3"/>
        <v>0</v>
      </c>
      <c r="BJ261" s="340" t="s">
        <v>2550</v>
      </c>
      <c r="BK261" s="282">
        <f>32.2</f>
        <v>32.2</v>
      </c>
      <c r="BL261" s="250">
        <v>17.03</v>
      </c>
      <c r="BM261" s="251">
        <v>46152</v>
      </c>
      <c r="BN261" s="340" t="s">
        <v>843</v>
      </c>
      <c r="BO261" s="335">
        <v>49.23</v>
      </c>
      <c r="BP261" s="337" t="s">
        <v>56</v>
      </c>
      <c r="BQ261" s="337"/>
      <c r="BR261" s="335"/>
      <c r="BS261" s="337"/>
      <c r="BT261" s="335">
        <f t="shared" si="4"/>
        <v>0</v>
      </c>
      <c r="BU261" s="340" t="s">
        <v>2551</v>
      </c>
    </row>
    <row r="262" customHeight="1" spans="1:73">
      <c r="A262" s="706" t="s">
        <v>2552</v>
      </c>
      <c r="B262" s="307" t="s">
        <v>2553</v>
      </c>
      <c r="C262" s="307" t="s">
        <v>2554</v>
      </c>
      <c r="D262" s="499" t="s">
        <v>201</v>
      </c>
      <c r="E262" s="466" t="s">
        <v>220</v>
      </c>
      <c r="F262" s="466">
        <v>24</v>
      </c>
      <c r="G262" s="467" t="s">
        <v>2555</v>
      </c>
      <c r="H262" s="307" t="s">
        <v>238</v>
      </c>
      <c r="I262" s="307" t="s">
        <v>220</v>
      </c>
      <c r="J262" s="307" t="s">
        <v>2556</v>
      </c>
      <c r="K262" s="307" t="s">
        <v>2557</v>
      </c>
      <c r="L262" s="467" t="s">
        <v>2558</v>
      </c>
      <c r="M262" s="307"/>
      <c r="N262" s="511">
        <v>46113</v>
      </c>
      <c r="O262" s="307" t="s">
        <v>2197</v>
      </c>
      <c r="P262" s="307" t="s">
        <v>242</v>
      </c>
      <c r="Q262" s="513"/>
      <c r="R262" s="503"/>
      <c r="S262" s="503"/>
      <c r="T262" s="503"/>
      <c r="U262" s="307"/>
      <c r="V262" s="512"/>
      <c r="W262" s="503"/>
      <c r="X262" s="503"/>
      <c r="Y262" s="503"/>
      <c r="Z262" s="503"/>
      <c r="AA262" s="503"/>
      <c r="AB262" s="503"/>
      <c r="AC262" s="503"/>
      <c r="AD262" s="723"/>
      <c r="AE262" s="503"/>
      <c r="AF262" s="503"/>
      <c r="AG262" s="503"/>
      <c r="AH262" s="503"/>
      <c r="AI262" s="503"/>
      <c r="AJ262" s="503"/>
      <c r="AK262" s="503"/>
      <c r="AL262" s="503"/>
      <c r="AM262" s="503"/>
      <c r="AN262" s="503"/>
      <c r="AO262" s="503"/>
      <c r="AP262" s="503"/>
      <c r="AQ262" s="503"/>
      <c r="AR262" s="503"/>
      <c r="AS262" s="522"/>
      <c r="AT262" s="722"/>
      <c r="AU262" s="722"/>
      <c r="AV262" s="522"/>
      <c r="AW262" s="722"/>
      <c r="AX262" s="522">
        <f t="shared" si="6"/>
        <v>0</v>
      </c>
      <c r="AY262" s="499" t="s">
        <v>213</v>
      </c>
      <c r="AZ262" s="504">
        <v>25</v>
      </c>
      <c r="BA262" s="503"/>
      <c r="BB262" s="517">
        <v>46122</v>
      </c>
      <c r="BC262" s="503"/>
      <c r="BD262" s="522">
        <v>25</v>
      </c>
      <c r="BE262" s="523" t="s">
        <v>56</v>
      </c>
      <c r="BF262" s="516"/>
      <c r="BG262" s="522"/>
      <c r="BH262" s="523"/>
      <c r="BI262" s="514">
        <f t="shared" si="3"/>
        <v>0</v>
      </c>
      <c r="BJ262" s="503"/>
      <c r="BK262" s="504">
        <v>25</v>
      </c>
      <c r="BL262" s="503"/>
      <c r="BM262" s="517">
        <v>46152</v>
      </c>
      <c r="BO262" s="338"/>
      <c r="BP262" s="339"/>
      <c r="BQ262" s="345"/>
      <c r="BR262" s="338"/>
      <c r="BS262" s="339"/>
      <c r="BT262" s="338">
        <f t="shared" si="4"/>
        <v>25</v>
      </c>
      <c r="BU262" s="519"/>
    </row>
    <row r="263" customHeight="1" spans="1:73">
      <c r="A263" s="700" t="s">
        <v>2559</v>
      </c>
      <c r="B263" s="7" t="s">
        <v>2560</v>
      </c>
      <c r="C263" s="7" t="s">
        <v>2561</v>
      </c>
      <c r="D263" s="250" t="s">
        <v>201</v>
      </c>
      <c r="E263" s="275" t="s">
        <v>220</v>
      </c>
      <c r="F263" s="275">
        <v>24</v>
      </c>
      <c r="G263" s="222" t="s">
        <v>2562</v>
      </c>
      <c r="H263" s="7" t="s">
        <v>238</v>
      </c>
      <c r="I263" s="7" t="s">
        <v>220</v>
      </c>
      <c r="J263" s="7" t="s">
        <v>848</v>
      </c>
      <c r="K263" s="7" t="s">
        <v>2563</v>
      </c>
      <c r="L263" s="222" t="s">
        <v>2564</v>
      </c>
      <c r="M263" s="7"/>
      <c r="N263" s="232">
        <v>46113</v>
      </c>
      <c r="O263" s="7" t="s">
        <v>384</v>
      </c>
      <c r="P263" s="7" t="s">
        <v>242</v>
      </c>
      <c r="Q263" s="257"/>
      <c r="U263" s="7"/>
      <c r="V263" s="350"/>
      <c r="AD263" s="280"/>
      <c r="AS263" s="335"/>
      <c r="AT263" s="337"/>
      <c r="AU263" s="337"/>
      <c r="AV263" s="335"/>
      <c r="AW263" s="337"/>
      <c r="AX263" s="335">
        <f t="shared" si="6"/>
        <v>0</v>
      </c>
      <c r="AY263" s="250" t="s">
        <v>213</v>
      </c>
      <c r="AZ263" s="282"/>
      <c r="BB263" s="251">
        <v>46122</v>
      </c>
      <c r="BD263" s="335">
        <v>20.54</v>
      </c>
      <c r="BE263" s="336" t="s">
        <v>56</v>
      </c>
      <c r="BF263" s="345"/>
      <c r="BG263" s="335"/>
      <c r="BH263" s="336"/>
      <c r="BI263" s="338">
        <f t="shared" si="3"/>
        <v>-20.54</v>
      </c>
      <c r="BK263" s="282"/>
      <c r="BM263" s="251">
        <v>46152</v>
      </c>
      <c r="BO263" s="338"/>
      <c r="BP263" s="339"/>
      <c r="BQ263" s="345"/>
      <c r="BR263" s="338"/>
      <c r="BS263" s="339"/>
      <c r="BT263" s="338">
        <f t="shared" si="4"/>
        <v>-20.54</v>
      </c>
      <c r="BU263" s="519"/>
    </row>
    <row r="264" customHeight="1" spans="1:73">
      <c r="A264" s="700" t="s">
        <v>2565</v>
      </c>
      <c r="B264" s="7" t="s">
        <v>2566</v>
      </c>
      <c r="C264" s="7" t="s">
        <v>2567</v>
      </c>
      <c r="D264" s="250" t="s">
        <v>201</v>
      </c>
      <c r="E264" s="275" t="s">
        <v>220</v>
      </c>
      <c r="F264" s="275">
        <v>24</v>
      </c>
      <c r="G264" s="222" t="s">
        <v>2568</v>
      </c>
      <c r="H264" s="7" t="s">
        <v>238</v>
      </c>
      <c r="I264" s="7" t="s">
        <v>206</v>
      </c>
      <c r="J264" s="7" t="s">
        <v>2569</v>
      </c>
      <c r="K264" s="7" t="s">
        <v>2570</v>
      </c>
      <c r="L264" s="222" t="s">
        <v>2571</v>
      </c>
      <c r="M264" s="7"/>
      <c r="N264" s="232">
        <v>46121</v>
      </c>
      <c r="O264" s="7" t="s">
        <v>2197</v>
      </c>
      <c r="P264" s="7" t="s">
        <v>242</v>
      </c>
      <c r="Q264" s="257"/>
      <c r="U264" s="7"/>
      <c r="V264" s="350"/>
      <c r="AD264" s="280"/>
      <c r="AX264" s="335">
        <f t="shared" si="6"/>
        <v>0</v>
      </c>
      <c r="AY264" s="250" t="s">
        <v>213</v>
      </c>
      <c r="AZ264" s="282">
        <v>0</v>
      </c>
      <c r="BB264" s="251" t="s">
        <v>2572</v>
      </c>
      <c r="BD264" s="335">
        <v>0</v>
      </c>
      <c r="BE264" s="336"/>
      <c r="BF264" s="345"/>
      <c r="BG264" s="335"/>
      <c r="BH264" s="336"/>
      <c r="BI264" s="338">
        <f t="shared" si="3"/>
        <v>0</v>
      </c>
      <c r="BK264" s="282">
        <v>0</v>
      </c>
      <c r="BM264" s="251" t="s">
        <v>2573</v>
      </c>
      <c r="BO264" s="338"/>
      <c r="BP264" s="339"/>
      <c r="BQ264" s="345"/>
      <c r="BR264" s="338"/>
      <c r="BS264" s="339"/>
      <c r="BT264" s="338">
        <f t="shared" si="4"/>
        <v>0</v>
      </c>
      <c r="BU264" s="519"/>
    </row>
    <row r="265" customHeight="1" spans="1:73">
      <c r="A265" s="700" t="s">
        <v>2574</v>
      </c>
      <c r="B265" s="7" t="s">
        <v>2575</v>
      </c>
      <c r="C265" s="7" t="s">
        <v>2576</v>
      </c>
      <c r="D265" s="250" t="s">
        <v>201</v>
      </c>
      <c r="E265" s="275" t="s">
        <v>220</v>
      </c>
      <c r="F265" s="275">
        <v>24</v>
      </c>
      <c r="G265" s="222" t="s">
        <v>2577</v>
      </c>
      <c r="H265" s="7" t="s">
        <v>238</v>
      </c>
      <c r="I265" s="7" t="s">
        <v>206</v>
      </c>
      <c r="J265" s="7" t="s">
        <v>674</v>
      </c>
      <c r="K265" s="7" t="s">
        <v>2578</v>
      </c>
      <c r="L265" s="222" t="s">
        <v>2579</v>
      </c>
      <c r="M265" s="7"/>
      <c r="N265" s="232">
        <v>46122</v>
      </c>
      <c r="O265" s="7" t="s">
        <v>384</v>
      </c>
      <c r="P265" s="7" t="s">
        <v>242</v>
      </c>
      <c r="Q265" s="257"/>
      <c r="U265" s="7"/>
      <c r="V265" s="350"/>
      <c r="AD265" s="280"/>
      <c r="AX265" s="335">
        <f t="shared" si="6"/>
        <v>0</v>
      </c>
      <c r="AY265" s="250" t="s">
        <v>213</v>
      </c>
      <c r="AZ265" s="282">
        <v>10.27</v>
      </c>
      <c r="BB265" s="251">
        <v>46122</v>
      </c>
      <c r="BC265" s="251">
        <v>46122</v>
      </c>
      <c r="BD265" s="335">
        <v>10</v>
      </c>
      <c r="BE265" s="336" t="s">
        <v>56</v>
      </c>
      <c r="BF265" s="345"/>
      <c r="BG265" s="335"/>
      <c r="BH265" s="336"/>
      <c r="BI265" s="338">
        <f t="shared" si="3"/>
        <v>0.27</v>
      </c>
      <c r="BK265" s="282">
        <v>10.27</v>
      </c>
      <c r="BM265" s="251">
        <v>46152</v>
      </c>
      <c r="BO265" s="338"/>
      <c r="BP265" s="339"/>
      <c r="BQ265" s="345"/>
      <c r="BR265" s="338"/>
      <c r="BS265" s="339"/>
      <c r="BT265" s="338">
        <f t="shared" si="4"/>
        <v>10.54</v>
      </c>
      <c r="BU265" s="519"/>
    </row>
    <row r="266" customHeight="1" spans="1:73">
      <c r="A266" s="700" t="s">
        <v>2580</v>
      </c>
      <c r="B266" s="7" t="s">
        <v>2581</v>
      </c>
      <c r="C266" s="7" t="s">
        <v>2582</v>
      </c>
      <c r="D266" s="250" t="s">
        <v>201</v>
      </c>
      <c r="E266" s="275" t="s">
        <v>220</v>
      </c>
      <c r="F266" s="275">
        <v>24</v>
      </c>
      <c r="G266" s="222" t="s">
        <v>2583</v>
      </c>
      <c r="H266" s="7" t="s">
        <v>238</v>
      </c>
      <c r="I266" s="7" t="s">
        <v>220</v>
      </c>
      <c r="J266" s="7" t="s">
        <v>802</v>
      </c>
      <c r="K266" s="7" t="s">
        <v>2584</v>
      </c>
      <c r="L266" s="222" t="s">
        <v>2585</v>
      </c>
      <c r="M266" s="7"/>
      <c r="N266" s="232">
        <v>46127</v>
      </c>
      <c r="O266" s="7" t="s">
        <v>384</v>
      </c>
      <c r="P266" s="7" t="s">
        <v>242</v>
      </c>
      <c r="Q266" s="257"/>
      <c r="U266" s="7"/>
      <c r="V266" s="350"/>
      <c r="AD266" s="280"/>
      <c r="AY266" s="250" t="s">
        <v>213</v>
      </c>
      <c r="AZ266" s="282">
        <v>10.27</v>
      </c>
      <c r="BB266" s="251">
        <v>46122</v>
      </c>
      <c r="BC266" s="251">
        <v>46127</v>
      </c>
      <c r="BD266" s="335">
        <v>10.27</v>
      </c>
      <c r="BE266" s="336" t="s">
        <v>56</v>
      </c>
      <c r="BF266" s="345"/>
      <c r="BG266" s="335"/>
      <c r="BH266" s="336"/>
      <c r="BI266" s="338">
        <f t="shared" si="3"/>
        <v>0</v>
      </c>
      <c r="BK266" s="282">
        <v>10.27</v>
      </c>
      <c r="BM266" s="251">
        <v>46152</v>
      </c>
      <c r="BO266" s="338"/>
      <c r="BP266" s="339"/>
      <c r="BQ266" s="345"/>
      <c r="BR266" s="338"/>
      <c r="BS266" s="339"/>
      <c r="BT266" s="338">
        <f t="shared" si="4"/>
        <v>10.27</v>
      </c>
      <c r="BU266" s="519"/>
    </row>
    <row r="267" customHeight="1" spans="1:73">
      <c r="A267" s="700" t="s">
        <v>2586</v>
      </c>
      <c r="B267" s="7" t="s">
        <v>2587</v>
      </c>
      <c r="C267" s="7" t="s">
        <v>2588</v>
      </c>
      <c r="D267" s="250" t="s">
        <v>201</v>
      </c>
      <c r="E267" s="275" t="s">
        <v>220</v>
      </c>
      <c r="F267" s="275">
        <v>24</v>
      </c>
      <c r="G267" s="222"/>
      <c r="H267" s="7" t="s">
        <v>238</v>
      </c>
      <c r="I267" s="7"/>
      <c r="J267" s="7"/>
      <c r="K267" s="7"/>
      <c r="L267" s="222"/>
      <c r="M267" s="7"/>
      <c r="N267" s="7"/>
      <c r="O267" s="7"/>
      <c r="P267" s="7"/>
      <c r="Q267" s="257"/>
      <c r="U267" s="7"/>
      <c r="V267" s="350"/>
      <c r="AD267" s="280"/>
      <c r="AY267" s="250" t="s">
        <v>213</v>
      </c>
      <c r="BB267" s="251"/>
      <c r="BC267" s="251"/>
      <c r="BD267" s="335"/>
      <c r="BE267" s="336"/>
      <c r="BF267" s="345"/>
      <c r="BG267" s="335"/>
      <c r="BH267" s="336"/>
      <c r="BI267" s="338">
        <f t="shared" si="3"/>
        <v>0</v>
      </c>
      <c r="BM267" s="251"/>
      <c r="BO267" s="338"/>
      <c r="BP267" s="339"/>
      <c r="BQ267" s="345"/>
      <c r="BR267" s="338"/>
      <c r="BS267" s="339"/>
      <c r="BT267" s="338">
        <f t="shared" si="4"/>
        <v>0</v>
      </c>
      <c r="BU267" s="519"/>
    </row>
    <row r="268" customHeight="1" spans="1:73">
      <c r="A268" s="700" t="s">
        <v>2589</v>
      </c>
      <c r="B268" s="7" t="s">
        <v>2590</v>
      </c>
      <c r="C268" s="7" t="s">
        <v>2591</v>
      </c>
      <c r="D268" s="250" t="s">
        <v>201</v>
      </c>
      <c r="E268" s="275" t="s">
        <v>220</v>
      </c>
      <c r="F268" s="275">
        <v>12</v>
      </c>
      <c r="G268" s="222" t="s">
        <v>2592</v>
      </c>
      <c r="H268" s="7" t="s">
        <v>238</v>
      </c>
      <c r="I268" s="7" t="s">
        <v>220</v>
      </c>
      <c r="J268" s="7" t="s">
        <v>1145</v>
      </c>
      <c r="K268" s="7" t="s">
        <v>2593</v>
      </c>
      <c r="L268" s="222" t="s">
        <v>2594</v>
      </c>
      <c r="M268" s="7"/>
      <c r="N268" s="232">
        <v>46131</v>
      </c>
      <c r="O268" s="7" t="s">
        <v>384</v>
      </c>
      <c r="P268" s="7" t="s">
        <v>242</v>
      </c>
      <c r="Q268" s="257"/>
      <c r="U268" s="7"/>
      <c r="V268" s="350"/>
      <c r="AD268" s="280"/>
      <c r="AY268" s="250" t="s">
        <v>213</v>
      </c>
      <c r="AZ268" s="282">
        <v>8</v>
      </c>
      <c r="BB268" s="251">
        <v>46122</v>
      </c>
      <c r="BC268" s="251">
        <v>46132</v>
      </c>
      <c r="BD268" s="335">
        <v>8</v>
      </c>
      <c r="BE268" s="336" t="s">
        <v>23</v>
      </c>
      <c r="BF268" s="345"/>
      <c r="BG268" s="335"/>
      <c r="BH268" s="336"/>
      <c r="BI268" s="338">
        <f t="shared" si="3"/>
        <v>0</v>
      </c>
      <c r="BK268" s="282">
        <v>8</v>
      </c>
      <c r="BM268" s="251">
        <v>46152</v>
      </c>
      <c r="BO268" s="338"/>
      <c r="BP268" s="339"/>
      <c r="BQ268" s="345"/>
      <c r="BR268" s="338"/>
      <c r="BS268" s="339"/>
      <c r="BT268" s="338">
        <f t="shared" si="4"/>
        <v>8</v>
      </c>
      <c r="BU268" s="519"/>
    </row>
    <row r="269" customHeight="1" spans="1:73">
      <c r="A269" s="700" t="s">
        <v>2595</v>
      </c>
      <c r="B269" s="7" t="s">
        <v>2596</v>
      </c>
      <c r="C269" s="7" t="s">
        <v>2597</v>
      </c>
      <c r="D269" s="250" t="s">
        <v>201</v>
      </c>
      <c r="E269" s="7"/>
      <c r="F269" s="275">
        <v>24</v>
      </c>
      <c r="G269" s="222"/>
      <c r="H269" s="7" t="s">
        <v>238</v>
      </c>
      <c r="I269" s="7"/>
      <c r="J269" s="7"/>
      <c r="K269" s="7"/>
      <c r="L269" s="222"/>
      <c r="M269" s="7"/>
      <c r="N269" s="7"/>
      <c r="O269" s="7"/>
      <c r="P269" s="290" t="s">
        <v>242</v>
      </c>
      <c r="Q269" s="257"/>
      <c r="U269" s="7"/>
      <c r="V269" s="350"/>
      <c r="AD269" s="280"/>
      <c r="BK269" s="282">
        <v>20.54</v>
      </c>
      <c r="BO269" s="338"/>
      <c r="BP269" s="339"/>
      <c r="BQ269" s="345"/>
      <c r="BR269" s="338"/>
      <c r="BS269" s="339"/>
      <c r="BT269" s="338">
        <f t="shared" si="4"/>
        <v>20.54</v>
      </c>
    </row>
    <row r="270" customHeight="1" spans="1:73">
      <c r="A270" s="700" t="s">
        <v>2598</v>
      </c>
      <c r="B270" s="7" t="s">
        <v>2599</v>
      </c>
      <c r="C270" s="7" t="s">
        <v>2600</v>
      </c>
      <c r="D270" s="250" t="s">
        <v>201</v>
      </c>
      <c r="E270" s="7"/>
      <c r="F270" s="7"/>
      <c r="G270" s="222"/>
      <c r="H270" s="7" t="s">
        <v>238</v>
      </c>
      <c r="I270" s="7"/>
      <c r="J270" s="7"/>
      <c r="K270" s="7"/>
      <c r="L270" s="222"/>
      <c r="M270" s="7"/>
      <c r="N270" s="7"/>
      <c r="O270" s="7" t="s">
        <v>232</v>
      </c>
      <c r="P270" s="7" t="s">
        <v>242</v>
      </c>
      <c r="Q270" s="257"/>
      <c r="U270" s="7"/>
      <c r="V270" s="350"/>
      <c r="AD270" s="280"/>
      <c r="BK270" s="282">
        <v>17.25</v>
      </c>
      <c r="BM270" s="251">
        <v>46152</v>
      </c>
      <c r="BO270" s="338"/>
      <c r="BP270" s="339"/>
      <c r="BQ270" s="345"/>
      <c r="BR270" s="338"/>
      <c r="BS270" s="339"/>
      <c r="BT270" s="338">
        <f t="shared" si="4"/>
        <v>17.25</v>
      </c>
    </row>
    <row r="271" customHeight="1" spans="1:73">
      <c r="A271" s="700" t="s">
        <v>2601</v>
      </c>
      <c r="B271" s="307" t="s">
        <v>2602</v>
      </c>
      <c r="C271" s="307"/>
      <c r="D271" s="499" t="s">
        <v>201</v>
      </c>
      <c r="E271" s="307"/>
      <c r="F271" s="307"/>
      <c r="G271" s="467"/>
      <c r="H271" s="307"/>
      <c r="I271" s="307"/>
      <c r="J271" s="307"/>
      <c r="K271" s="307"/>
      <c r="L271" s="467"/>
      <c r="M271" s="307"/>
      <c r="N271" s="307"/>
      <c r="O271" s="307"/>
      <c r="P271" s="307"/>
      <c r="Q271" s="513"/>
      <c r="R271" s="503"/>
      <c r="S271" s="503"/>
      <c r="T271" s="503"/>
      <c r="U271" s="307"/>
      <c r="V271" s="512"/>
      <c r="W271" s="503"/>
      <c r="X271" s="503"/>
      <c r="Y271" s="503"/>
      <c r="Z271" s="503"/>
      <c r="AA271" s="503"/>
      <c r="AB271" s="503"/>
      <c r="AC271" s="503"/>
      <c r="AD271" s="503"/>
      <c r="AE271" s="503"/>
      <c r="AF271" s="503"/>
      <c r="AG271" s="503"/>
      <c r="AH271" s="503"/>
      <c r="AI271" s="503"/>
      <c r="AJ271" s="503"/>
      <c r="AK271" s="503"/>
      <c r="AL271" s="503"/>
      <c r="AM271" s="503"/>
      <c r="AN271" s="503"/>
      <c r="AO271" s="503"/>
      <c r="AP271" s="503"/>
      <c r="AQ271" s="503"/>
      <c r="AR271" s="503"/>
      <c r="AS271" s="503"/>
      <c r="AT271" s="503"/>
      <c r="AU271" s="503"/>
      <c r="AV271" s="503"/>
      <c r="AW271" s="503"/>
      <c r="AX271" s="503"/>
      <c r="AY271" s="503"/>
      <c r="AZ271" s="503"/>
      <c r="BA271" s="503"/>
      <c r="BB271" s="503"/>
      <c r="BC271" s="503"/>
      <c r="BD271" s="503"/>
      <c r="BE271" s="503"/>
      <c r="BF271" s="503"/>
      <c r="BG271" s="503"/>
      <c r="BH271" s="503"/>
      <c r="BI271" s="503"/>
      <c r="BJ271" s="503"/>
      <c r="BK271" s="503"/>
      <c r="BL271" s="503"/>
      <c r="BM271" s="503"/>
      <c r="BN271" s="503"/>
      <c r="BO271" s="503"/>
      <c r="BP271" s="503"/>
      <c r="BQ271" s="503"/>
      <c r="BR271" s="503"/>
      <c r="BS271" s="503"/>
      <c r="BT271" s="503"/>
      <c r="BU271" s="503"/>
    </row>
    <row r="272" customHeight="1" spans="1:73">
      <c r="A272" s="700" t="s">
        <v>2603</v>
      </c>
      <c r="B272" s="7" t="s">
        <v>2604</v>
      </c>
      <c r="C272" s="7"/>
      <c r="D272" s="250" t="s">
        <v>201</v>
      </c>
      <c r="E272" s="7"/>
      <c r="F272" s="7"/>
      <c r="G272" s="222"/>
      <c r="H272" s="7"/>
      <c r="I272" s="7"/>
      <c r="J272" s="7"/>
      <c r="K272" s="7"/>
      <c r="L272" s="222"/>
      <c r="M272" s="7"/>
      <c r="N272" s="7"/>
      <c r="O272" s="7"/>
      <c r="P272" s="7"/>
      <c r="Q272" s="257"/>
      <c r="U272" s="7"/>
      <c r="V272" s="350"/>
      <c r="AD272" s="280"/>
    </row>
    <row r="273" customHeight="1" spans="1:30">
      <c r="A273" s="700" t="s">
        <v>2605</v>
      </c>
      <c r="B273" s="7" t="s">
        <v>2606</v>
      </c>
      <c r="C273" s="7"/>
      <c r="D273" s="250" t="s">
        <v>201</v>
      </c>
      <c r="E273" s="7"/>
      <c r="F273" s="7"/>
      <c r="G273" s="222"/>
      <c r="H273" s="7"/>
      <c r="I273" s="7"/>
      <c r="J273" s="7"/>
      <c r="K273" s="7"/>
      <c r="L273" s="222"/>
      <c r="M273" s="7"/>
      <c r="N273" s="7"/>
      <c r="O273" s="7"/>
      <c r="P273" s="7"/>
      <c r="Q273" s="257"/>
      <c r="U273" s="7"/>
      <c r="V273" s="350"/>
      <c r="AD273" s="280"/>
    </row>
    <row r="274" customHeight="1" spans="1:30">
      <c r="A274" s="222"/>
      <c r="B274" s="7"/>
      <c r="C274" s="7"/>
      <c r="E274" s="7"/>
      <c r="F274" s="7"/>
      <c r="G274" s="222"/>
      <c r="H274" s="7"/>
      <c r="I274" s="7"/>
      <c r="J274" s="7"/>
      <c r="K274" s="7"/>
      <c r="L274" s="222"/>
      <c r="M274" s="7"/>
      <c r="N274" s="7"/>
      <c r="O274" s="7"/>
      <c r="P274" s="7"/>
      <c r="Q274" s="257"/>
      <c r="U274" s="7"/>
      <c r="V274" s="350"/>
      <c r="AD274" s="280"/>
    </row>
    <row r="275" customHeight="1" spans="1:30">
      <c r="A275" s="222"/>
      <c r="B275" s="7"/>
      <c r="C275" s="7"/>
      <c r="E275" s="7"/>
      <c r="F275" s="7"/>
      <c r="G275" s="222"/>
      <c r="H275" s="7"/>
      <c r="I275" s="7"/>
      <c r="J275" s="7"/>
      <c r="K275" s="7"/>
      <c r="L275" s="222"/>
      <c r="M275" s="7"/>
      <c r="N275" s="7"/>
      <c r="O275" s="7"/>
      <c r="P275" s="7"/>
      <c r="Q275" s="257"/>
      <c r="U275" s="7"/>
      <c r="V275" s="350"/>
      <c r="AD275" s="280"/>
    </row>
    <row r="276" customHeight="1" spans="1:30">
      <c r="A276" s="222"/>
      <c r="B276" s="7"/>
      <c r="C276" s="7"/>
      <c r="E276" s="7"/>
      <c r="F276" s="7"/>
      <c r="G276" s="222"/>
      <c r="H276" s="7"/>
      <c r="I276" s="7"/>
      <c r="J276" s="7"/>
      <c r="K276" s="7"/>
      <c r="L276" s="222"/>
      <c r="M276" s="7"/>
      <c r="N276" s="7"/>
      <c r="O276" s="7"/>
      <c r="P276" s="7"/>
      <c r="Q276" s="257"/>
      <c r="U276" s="7"/>
      <c r="V276" s="350"/>
      <c r="AD276" s="280"/>
    </row>
    <row r="277" customHeight="1" spans="1:30">
      <c r="A277" s="222"/>
      <c r="B277" s="7"/>
      <c r="C277" s="7"/>
      <c r="E277" s="7"/>
      <c r="F277" s="7"/>
      <c r="G277" s="222"/>
      <c r="H277" s="7"/>
      <c r="I277" s="7"/>
      <c r="J277" s="7"/>
      <c r="K277" s="7"/>
      <c r="L277" s="222"/>
      <c r="M277" s="7"/>
      <c r="N277" s="7"/>
      <c r="O277" s="7"/>
      <c r="P277" s="7"/>
      <c r="Q277" s="257"/>
      <c r="U277" s="7"/>
      <c r="V277" s="350"/>
      <c r="AD277" s="280"/>
    </row>
    <row r="278" customHeight="1" spans="1:30">
      <c r="A278" s="222"/>
      <c r="B278" s="7"/>
      <c r="C278" s="7"/>
      <c r="E278" s="7"/>
      <c r="F278" s="7"/>
      <c r="G278" s="222"/>
      <c r="H278" s="7"/>
      <c r="I278" s="7"/>
      <c r="J278" s="7"/>
      <c r="K278" s="7"/>
      <c r="L278" s="222"/>
      <c r="M278" s="7"/>
      <c r="N278" s="7"/>
      <c r="O278" s="7"/>
      <c r="P278" s="7"/>
      <c r="Q278" s="257"/>
      <c r="U278" s="7"/>
      <c r="V278" s="350"/>
      <c r="AD278" s="280"/>
    </row>
    <row r="279" customHeight="1" spans="1:30">
      <c r="A279" s="222"/>
      <c r="B279" s="7"/>
      <c r="C279" s="7"/>
      <c r="E279" s="7"/>
      <c r="F279" s="7"/>
      <c r="G279" s="222"/>
      <c r="H279" s="7"/>
      <c r="I279" s="7"/>
      <c r="J279" s="7"/>
      <c r="K279" s="7"/>
      <c r="L279" s="222"/>
      <c r="M279" s="7"/>
      <c r="N279" s="7"/>
      <c r="O279" s="7"/>
      <c r="P279" s="7"/>
      <c r="Q279" s="257"/>
      <c r="U279" s="7"/>
      <c r="V279" s="350"/>
      <c r="AD279" s="280"/>
    </row>
    <row r="280" customHeight="1" spans="1:30">
      <c r="A280" s="222"/>
      <c r="B280" s="7"/>
      <c r="C280" s="7"/>
      <c r="E280" s="7"/>
      <c r="F280" s="7"/>
      <c r="G280" s="222"/>
      <c r="H280" s="7"/>
      <c r="I280" s="7"/>
      <c r="J280" s="7"/>
      <c r="K280" s="7"/>
      <c r="L280" s="222"/>
      <c r="M280" s="7"/>
      <c r="N280" s="7"/>
      <c r="O280" s="7"/>
      <c r="P280" s="7"/>
      <c r="Q280" s="257"/>
      <c r="U280" s="7"/>
      <c r="V280" s="350"/>
      <c r="AD280" s="280"/>
    </row>
    <row r="281" customHeight="1" spans="1:30">
      <c r="A281" s="222"/>
      <c r="B281" s="7"/>
      <c r="C281" s="7"/>
      <c r="E281" s="7"/>
      <c r="F281" s="7"/>
      <c r="G281" s="222"/>
      <c r="H281" s="7"/>
      <c r="I281" s="7"/>
      <c r="J281" s="7"/>
      <c r="K281" s="7"/>
      <c r="L281" s="222"/>
      <c r="M281" s="7"/>
      <c r="N281" s="7"/>
      <c r="O281" s="7"/>
      <c r="P281" s="7"/>
      <c r="Q281" s="257"/>
      <c r="U281" s="7"/>
      <c r="V281" s="350"/>
      <c r="AD281" s="280"/>
    </row>
    <row r="282" customHeight="1" spans="1:30">
      <c r="A282" s="222"/>
      <c r="B282" s="7"/>
      <c r="C282" s="7"/>
      <c r="E282" s="7"/>
      <c r="F282" s="7"/>
      <c r="G282" s="222"/>
      <c r="H282" s="7"/>
      <c r="I282" s="7"/>
      <c r="J282" s="7"/>
      <c r="K282" s="7"/>
      <c r="L282" s="222"/>
      <c r="M282" s="7"/>
      <c r="N282" s="7"/>
      <c r="O282" s="7"/>
      <c r="P282" s="7"/>
      <c r="Q282" s="257"/>
      <c r="U282" s="7"/>
      <c r="V282" s="350"/>
      <c r="AD282" s="280"/>
    </row>
    <row r="283" customHeight="1" spans="1:30">
      <c r="A283" s="222"/>
      <c r="B283" s="7"/>
      <c r="C283" s="7"/>
      <c r="E283" s="7"/>
      <c r="F283" s="7"/>
      <c r="G283" s="222"/>
      <c r="H283" s="7"/>
      <c r="I283" s="7"/>
      <c r="J283" s="7"/>
      <c r="K283" s="7"/>
      <c r="L283" s="222"/>
      <c r="M283" s="7"/>
      <c r="N283" s="7"/>
      <c r="O283" s="7"/>
      <c r="P283" s="7"/>
      <c r="Q283" s="257"/>
      <c r="U283" s="7"/>
      <c r="V283" s="350"/>
      <c r="AD283" s="280"/>
    </row>
    <row r="284" customHeight="1" spans="1:30">
      <c r="A284" s="222"/>
      <c r="B284" s="7"/>
      <c r="C284" s="7"/>
      <c r="E284" s="7"/>
      <c r="F284" s="7"/>
      <c r="G284" s="222"/>
      <c r="H284" s="7"/>
      <c r="I284" s="7"/>
      <c r="J284" s="7"/>
      <c r="K284" s="7"/>
      <c r="L284" s="222"/>
      <c r="M284" s="7"/>
      <c r="N284" s="7"/>
      <c r="O284" s="7"/>
      <c r="P284" s="7"/>
      <c r="Q284" s="257"/>
      <c r="U284" s="7"/>
      <c r="V284" s="350"/>
      <c r="AD284" s="280"/>
    </row>
    <row r="285" customHeight="1" spans="1:30">
      <c r="A285" s="222"/>
      <c r="B285" s="7"/>
      <c r="C285" s="7"/>
      <c r="E285" s="7"/>
      <c r="F285" s="7"/>
      <c r="G285" s="222"/>
      <c r="H285" s="7"/>
      <c r="I285" s="7"/>
      <c r="J285" s="7"/>
      <c r="K285" s="7"/>
      <c r="L285" s="222"/>
      <c r="M285" s="7"/>
      <c r="N285" s="7"/>
      <c r="O285" s="7"/>
      <c r="P285" s="7"/>
      <c r="Q285" s="257"/>
      <c r="U285" s="7"/>
      <c r="V285" s="350"/>
      <c r="AD285" s="280"/>
    </row>
    <row r="286" customHeight="1" spans="1:30">
      <c r="A286" s="222"/>
      <c r="B286" s="7"/>
      <c r="C286" s="7"/>
      <c r="E286" s="7"/>
      <c r="F286" s="7"/>
      <c r="G286" s="222"/>
      <c r="H286" s="7"/>
      <c r="I286" s="7"/>
      <c r="J286" s="7"/>
      <c r="K286" s="7"/>
      <c r="L286" s="222"/>
      <c r="M286" s="7"/>
      <c r="N286" s="7"/>
      <c r="O286" s="7"/>
      <c r="P286" s="7"/>
      <c r="Q286" s="257"/>
      <c r="U286" s="7"/>
      <c r="V286" s="350"/>
      <c r="AD286" s="280"/>
    </row>
    <row r="287" customHeight="1" spans="1:30">
      <c r="A287" s="222"/>
      <c r="B287" s="7"/>
      <c r="C287" s="7"/>
      <c r="E287" s="7"/>
      <c r="F287" s="7"/>
      <c r="G287" s="222"/>
      <c r="H287" s="7"/>
      <c r="I287" s="7"/>
      <c r="J287" s="7"/>
      <c r="K287" s="7"/>
      <c r="L287" s="222"/>
      <c r="M287" s="7"/>
      <c r="N287" s="7"/>
      <c r="O287" s="7"/>
      <c r="P287" s="7"/>
      <c r="Q287" s="257"/>
      <c r="U287" s="7"/>
      <c r="V287" s="350"/>
      <c r="AD287" s="280"/>
    </row>
    <row r="288" customHeight="1" spans="1:30">
      <c r="A288" s="222"/>
      <c r="B288" s="7"/>
      <c r="C288" s="7"/>
      <c r="E288" s="7"/>
      <c r="F288" s="7"/>
      <c r="G288" s="222"/>
      <c r="H288" s="7"/>
      <c r="I288" s="7"/>
      <c r="J288" s="7"/>
      <c r="K288" s="7"/>
      <c r="L288" s="222"/>
      <c r="M288" s="7"/>
      <c r="N288" s="7"/>
      <c r="O288" s="7"/>
      <c r="P288" s="7"/>
      <c r="Q288" s="257"/>
      <c r="U288" s="7"/>
      <c r="V288" s="350"/>
      <c r="AD288" s="280"/>
    </row>
    <row r="289" customHeight="1" spans="1:30">
      <c r="A289" s="222"/>
      <c r="B289" s="7"/>
      <c r="C289" s="7"/>
      <c r="E289" s="7"/>
      <c r="F289" s="7"/>
      <c r="G289" s="222"/>
      <c r="H289" s="7"/>
      <c r="I289" s="7"/>
      <c r="J289" s="7"/>
      <c r="K289" s="7"/>
      <c r="L289" s="222"/>
      <c r="M289" s="7"/>
      <c r="N289" s="7"/>
      <c r="O289" s="7"/>
      <c r="P289" s="7"/>
      <c r="Q289" s="257"/>
      <c r="U289" s="7"/>
      <c r="V289" s="350"/>
      <c r="AD289" s="280"/>
    </row>
    <row r="290" customHeight="1" spans="1:30">
      <c r="A290" s="222"/>
      <c r="B290" s="7"/>
      <c r="C290" s="7"/>
      <c r="E290" s="7"/>
      <c r="F290" s="7"/>
      <c r="G290" s="222"/>
      <c r="H290" s="7"/>
      <c r="I290" s="7"/>
      <c r="J290" s="7"/>
      <c r="K290" s="7"/>
      <c r="L290" s="222"/>
      <c r="M290" s="7"/>
      <c r="N290" s="7"/>
      <c r="O290" s="7"/>
      <c r="P290" s="7"/>
      <c r="Q290" s="257"/>
      <c r="U290" s="7"/>
      <c r="V290" s="350"/>
      <c r="AD290" s="280"/>
    </row>
    <row r="291" customHeight="1" spans="1:30">
      <c r="A291" s="222"/>
      <c r="B291" s="7"/>
      <c r="C291" s="7"/>
      <c r="E291" s="7"/>
      <c r="F291" s="7"/>
      <c r="G291" s="222"/>
      <c r="H291" s="7"/>
      <c r="I291" s="7"/>
      <c r="J291" s="7"/>
      <c r="K291" s="7"/>
      <c r="L291" s="222"/>
      <c r="M291" s="7"/>
      <c r="N291" s="7"/>
      <c r="O291" s="7"/>
      <c r="P291" s="7"/>
      <c r="Q291" s="257"/>
      <c r="U291" s="7"/>
      <c r="V291" s="350"/>
      <c r="AD291" s="280"/>
    </row>
    <row r="292" customHeight="1" spans="1:30">
      <c r="A292" s="222"/>
      <c r="B292" s="7"/>
      <c r="C292" s="7"/>
      <c r="E292" s="7"/>
      <c r="F292" s="7"/>
      <c r="G292" s="222"/>
      <c r="H292" s="7"/>
      <c r="I292" s="7"/>
      <c r="J292" s="7"/>
      <c r="K292" s="7"/>
      <c r="L292" s="222"/>
      <c r="M292" s="7"/>
      <c r="N292" s="7"/>
      <c r="O292" s="7"/>
      <c r="P292" s="7"/>
      <c r="Q292" s="257"/>
      <c r="U292" s="7"/>
      <c r="V292" s="350"/>
      <c r="AD292" s="280"/>
    </row>
    <row r="293" customHeight="1" spans="1:30">
      <c r="A293" s="222"/>
      <c r="B293" s="7"/>
      <c r="C293" s="7"/>
      <c r="E293" s="7"/>
      <c r="F293" s="7"/>
      <c r="G293" s="222"/>
      <c r="H293" s="7"/>
      <c r="I293" s="7"/>
      <c r="J293" s="7"/>
      <c r="K293" s="7"/>
      <c r="L293" s="222"/>
      <c r="M293" s="7"/>
      <c r="N293" s="7"/>
      <c r="O293" s="7"/>
      <c r="P293" s="7"/>
      <c r="Q293" s="257"/>
      <c r="U293" s="7"/>
      <c r="V293" s="350"/>
      <c r="AD293" s="280"/>
    </row>
    <row r="294" customHeight="1" spans="1:30">
      <c r="A294" s="222"/>
      <c r="B294" s="7"/>
      <c r="C294" s="7"/>
      <c r="E294" s="7"/>
      <c r="F294" s="7"/>
      <c r="G294" s="222"/>
      <c r="H294" s="7"/>
      <c r="I294" s="7"/>
      <c r="J294" s="7"/>
      <c r="K294" s="7"/>
      <c r="L294" s="222"/>
      <c r="M294" s="7"/>
      <c r="N294" s="7"/>
      <c r="O294" s="7"/>
      <c r="P294" s="7"/>
      <c r="Q294" s="257"/>
      <c r="U294" s="7"/>
      <c r="V294" s="350"/>
      <c r="AD294" s="280"/>
    </row>
    <row r="295" customHeight="1" spans="1:30">
      <c r="A295" s="222"/>
      <c r="B295" s="7"/>
      <c r="C295" s="7"/>
      <c r="E295" s="7"/>
      <c r="F295" s="7"/>
      <c r="G295" s="222"/>
      <c r="H295" s="7"/>
      <c r="I295" s="7"/>
      <c r="J295" s="7"/>
      <c r="K295" s="7"/>
      <c r="L295" s="222"/>
      <c r="M295" s="7"/>
      <c r="N295" s="7"/>
      <c r="O295" s="7"/>
      <c r="P295" s="7"/>
      <c r="Q295" s="257"/>
      <c r="U295" s="7"/>
      <c r="V295" s="350"/>
      <c r="AD295" s="280"/>
    </row>
    <row r="296" customHeight="1" spans="1:30">
      <c r="A296" s="222"/>
      <c r="B296" s="7"/>
      <c r="C296" s="7"/>
      <c r="E296" s="7"/>
      <c r="F296" s="7"/>
      <c r="G296" s="222"/>
      <c r="H296" s="7"/>
      <c r="I296" s="7"/>
      <c r="J296" s="7"/>
      <c r="K296" s="7"/>
      <c r="L296" s="222"/>
      <c r="M296" s="7"/>
      <c r="N296" s="7"/>
      <c r="O296" s="7"/>
      <c r="P296" s="7"/>
      <c r="Q296" s="257"/>
      <c r="U296" s="7"/>
      <c r="V296" s="350"/>
      <c r="AD296" s="280"/>
    </row>
    <row r="297" customHeight="1" spans="1:30">
      <c r="A297" s="222"/>
      <c r="B297" s="7"/>
      <c r="C297" s="7"/>
      <c r="E297" s="7"/>
      <c r="F297" s="7"/>
      <c r="G297" s="222"/>
      <c r="H297" s="7"/>
      <c r="I297" s="7"/>
      <c r="J297" s="7"/>
      <c r="K297" s="7"/>
      <c r="L297" s="222"/>
      <c r="M297" s="7"/>
      <c r="N297" s="7"/>
      <c r="O297" s="7"/>
      <c r="P297" s="7"/>
      <c r="Q297" s="257"/>
      <c r="U297" s="7"/>
      <c r="V297" s="350"/>
      <c r="AD297" s="280"/>
    </row>
    <row r="298" customHeight="1" spans="1:30">
      <c r="A298" s="222"/>
      <c r="B298" s="7"/>
      <c r="C298" s="7"/>
      <c r="E298" s="7"/>
      <c r="F298" s="7"/>
      <c r="G298" s="222"/>
      <c r="H298" s="7"/>
      <c r="I298" s="7"/>
      <c r="J298" s="7"/>
      <c r="K298" s="7"/>
      <c r="L298" s="222"/>
      <c r="M298" s="7"/>
      <c r="N298" s="7"/>
      <c r="O298" s="7"/>
      <c r="P298" s="7"/>
      <c r="Q298" s="257"/>
      <c r="U298" s="7"/>
      <c r="V298" s="350"/>
      <c r="AD298" s="280"/>
    </row>
    <row r="299" customHeight="1" spans="1:30">
      <c r="A299" s="222"/>
      <c r="B299" s="7"/>
      <c r="C299" s="7"/>
      <c r="E299" s="7"/>
      <c r="F299" s="7"/>
      <c r="G299" s="222"/>
      <c r="H299" s="7"/>
      <c r="I299" s="7"/>
      <c r="J299" s="7"/>
      <c r="K299" s="7"/>
      <c r="L299" s="222"/>
      <c r="M299" s="7"/>
      <c r="N299" s="7"/>
      <c r="O299" s="7"/>
      <c r="P299" s="7"/>
      <c r="Q299" s="257"/>
      <c r="U299" s="7"/>
      <c r="V299" s="350"/>
      <c r="AD299" s="280"/>
    </row>
    <row r="300" customHeight="1" spans="1:30">
      <c r="A300" s="222"/>
      <c r="B300" s="7"/>
      <c r="C300" s="7"/>
      <c r="E300" s="7"/>
      <c r="F300" s="7"/>
      <c r="G300" s="222"/>
      <c r="H300" s="7"/>
      <c r="I300" s="7"/>
      <c r="J300" s="7"/>
      <c r="K300" s="7"/>
      <c r="L300" s="222"/>
      <c r="M300" s="7"/>
      <c r="N300" s="7"/>
      <c r="O300" s="7"/>
      <c r="P300" s="7"/>
      <c r="Q300" s="257"/>
      <c r="U300" s="7"/>
      <c r="V300" s="350"/>
      <c r="AD300" s="280"/>
    </row>
    <row r="301" customHeight="1" spans="1:30">
      <c r="A301" s="222"/>
      <c r="B301" s="7"/>
      <c r="C301" s="7"/>
      <c r="E301" s="7"/>
      <c r="F301" s="7"/>
      <c r="G301" s="222"/>
      <c r="H301" s="7"/>
      <c r="I301" s="7"/>
      <c r="J301" s="7"/>
      <c r="K301" s="7"/>
      <c r="L301" s="222"/>
      <c r="M301" s="7"/>
      <c r="N301" s="7"/>
      <c r="O301" s="7"/>
      <c r="P301" s="7"/>
      <c r="Q301" s="257"/>
      <c r="U301" s="7"/>
      <c r="V301" s="350"/>
      <c r="AD301" s="280"/>
    </row>
    <row r="302" customHeight="1" spans="1:30">
      <c r="A302" s="222"/>
      <c r="B302" s="7"/>
      <c r="C302" s="7"/>
      <c r="E302" s="7"/>
      <c r="F302" s="7"/>
      <c r="G302" s="222"/>
      <c r="H302" s="7"/>
      <c r="I302" s="7"/>
      <c r="J302" s="7"/>
      <c r="K302" s="7"/>
      <c r="L302" s="222"/>
      <c r="M302" s="7"/>
      <c r="N302" s="7"/>
      <c r="O302" s="7"/>
      <c r="P302" s="7"/>
      <c r="Q302" s="257"/>
      <c r="U302" s="7"/>
      <c r="V302" s="350"/>
      <c r="AD302" s="280"/>
    </row>
    <row r="303" customHeight="1" spans="1:30">
      <c r="A303" s="222"/>
      <c r="B303" s="7"/>
      <c r="C303" s="7"/>
      <c r="E303" s="7"/>
      <c r="F303" s="7"/>
      <c r="G303" s="222"/>
      <c r="H303" s="7"/>
      <c r="I303" s="7"/>
      <c r="J303" s="7"/>
      <c r="K303" s="7"/>
      <c r="L303" s="222"/>
      <c r="M303" s="7"/>
      <c r="N303" s="7"/>
      <c r="O303" s="7"/>
      <c r="P303" s="7"/>
      <c r="Q303" s="257"/>
      <c r="U303" s="7"/>
      <c r="V303" s="350"/>
      <c r="AD303" s="280"/>
    </row>
    <row r="304" customHeight="1" spans="1:30">
      <c r="A304" s="222"/>
      <c r="B304" s="7"/>
      <c r="C304" s="7"/>
      <c r="E304" s="7"/>
      <c r="F304" s="7"/>
      <c r="G304" s="222"/>
      <c r="H304" s="7"/>
      <c r="I304" s="7"/>
      <c r="J304" s="7"/>
      <c r="K304" s="7"/>
      <c r="L304" s="222"/>
      <c r="M304" s="7"/>
      <c r="N304" s="7"/>
      <c r="O304" s="7"/>
      <c r="P304" s="7"/>
      <c r="Q304" s="257"/>
      <c r="U304" s="7"/>
      <c r="V304" s="350"/>
      <c r="AD304" s="280"/>
    </row>
    <row r="305" customHeight="1" spans="1:30">
      <c r="A305" s="222"/>
      <c r="B305" s="7"/>
      <c r="C305" s="7"/>
      <c r="E305" s="7"/>
      <c r="F305" s="7"/>
      <c r="G305" s="222"/>
      <c r="H305" s="7"/>
      <c r="I305" s="7"/>
      <c r="J305" s="7"/>
      <c r="K305" s="7"/>
      <c r="L305" s="222"/>
      <c r="M305" s="7"/>
      <c r="N305" s="7"/>
      <c r="O305" s="7"/>
      <c r="P305" s="7"/>
      <c r="Q305" s="257"/>
      <c r="U305" s="7"/>
      <c r="V305" s="350"/>
      <c r="AD305" s="280"/>
    </row>
    <row r="306" customHeight="1" spans="1:30">
      <c r="A306" s="222"/>
      <c r="B306" s="7"/>
      <c r="C306" s="7"/>
      <c r="E306" s="7"/>
      <c r="F306" s="7"/>
      <c r="G306" s="222"/>
      <c r="H306" s="7"/>
      <c r="I306" s="7"/>
      <c r="J306" s="7"/>
      <c r="K306" s="7"/>
      <c r="L306" s="222"/>
      <c r="M306" s="7"/>
      <c r="N306" s="7"/>
      <c r="O306" s="7"/>
      <c r="P306" s="7"/>
      <c r="Q306" s="257"/>
      <c r="U306" s="7"/>
      <c r="V306" s="350"/>
      <c r="AD306" s="280"/>
    </row>
    <row r="307" customHeight="1" spans="1:30">
      <c r="A307" s="222"/>
      <c r="B307" s="7"/>
      <c r="C307" s="7"/>
      <c r="E307" s="7"/>
      <c r="F307" s="7"/>
      <c r="G307" s="222"/>
      <c r="H307" s="7"/>
      <c r="I307" s="7"/>
      <c r="J307" s="7"/>
      <c r="K307" s="7"/>
      <c r="L307" s="222"/>
      <c r="M307" s="7"/>
      <c r="N307" s="7"/>
      <c r="O307" s="7"/>
      <c r="P307" s="7"/>
      <c r="Q307" s="257"/>
      <c r="U307" s="7"/>
      <c r="V307" s="350"/>
      <c r="AD307" s="280"/>
    </row>
    <row r="308" customHeight="1" spans="1:30">
      <c r="A308" s="222"/>
      <c r="B308" s="7"/>
      <c r="C308" s="7"/>
      <c r="E308" s="7"/>
      <c r="F308" s="7"/>
      <c r="G308" s="222"/>
      <c r="H308" s="7"/>
      <c r="I308" s="7"/>
      <c r="J308" s="7"/>
      <c r="K308" s="7"/>
      <c r="L308" s="222"/>
      <c r="M308" s="7"/>
      <c r="N308" s="7"/>
      <c r="O308" s="7"/>
      <c r="P308" s="7"/>
      <c r="Q308" s="257"/>
      <c r="U308" s="7"/>
      <c r="V308" s="350"/>
      <c r="AD308" s="280"/>
    </row>
    <row r="309" customHeight="1" spans="1:30">
      <c r="A309" s="222"/>
      <c r="B309" s="7"/>
      <c r="C309" s="7"/>
      <c r="E309" s="7"/>
      <c r="F309" s="7"/>
      <c r="G309" s="222"/>
      <c r="H309" s="7"/>
      <c r="I309" s="7"/>
      <c r="J309" s="7"/>
      <c r="K309" s="7"/>
      <c r="L309" s="222"/>
      <c r="M309" s="7"/>
      <c r="N309" s="7"/>
      <c r="O309" s="7"/>
      <c r="P309" s="7"/>
      <c r="Q309" s="257"/>
      <c r="U309" s="7"/>
      <c r="V309" s="350"/>
      <c r="AD309" s="280"/>
    </row>
    <row r="310" customHeight="1" spans="1:30">
      <c r="A310" s="222"/>
      <c r="B310" s="7"/>
      <c r="C310" s="7"/>
      <c r="E310" s="7"/>
      <c r="F310" s="7"/>
      <c r="G310" s="222"/>
      <c r="H310" s="7"/>
      <c r="I310" s="7"/>
      <c r="J310" s="7"/>
      <c r="K310" s="7"/>
      <c r="L310" s="222"/>
      <c r="M310" s="7"/>
      <c r="N310" s="7"/>
      <c r="O310" s="7"/>
      <c r="P310" s="7"/>
      <c r="Q310" s="257"/>
      <c r="U310" s="7"/>
      <c r="V310" s="350"/>
      <c r="AD310" s="280"/>
    </row>
    <row r="311" customHeight="1" spans="1:30">
      <c r="A311" s="222"/>
      <c r="B311" s="7"/>
      <c r="C311" s="7"/>
      <c r="E311" s="7"/>
      <c r="F311" s="7"/>
      <c r="G311" s="222"/>
      <c r="H311" s="7"/>
      <c r="I311" s="7"/>
      <c r="J311" s="7"/>
      <c r="K311" s="7"/>
      <c r="L311" s="222"/>
      <c r="M311" s="7"/>
      <c r="N311" s="7"/>
      <c r="O311" s="7"/>
      <c r="P311" s="7"/>
      <c r="Q311" s="257"/>
      <c r="U311" s="7"/>
      <c r="V311" s="350"/>
      <c r="AD311" s="280"/>
    </row>
    <row r="312" customHeight="1" spans="1:30">
      <c r="A312" s="222"/>
      <c r="B312" s="7"/>
      <c r="C312" s="7"/>
      <c r="E312" s="7"/>
      <c r="F312" s="7"/>
      <c r="G312" s="222"/>
      <c r="H312" s="7"/>
      <c r="I312" s="7"/>
      <c r="J312" s="7"/>
      <c r="K312" s="7"/>
      <c r="L312" s="222"/>
      <c r="M312" s="7"/>
      <c r="N312" s="7"/>
      <c r="O312" s="7"/>
      <c r="P312" s="7"/>
      <c r="Q312" s="257"/>
      <c r="U312" s="7"/>
      <c r="V312" s="350"/>
      <c r="AD312" s="280"/>
    </row>
    <row r="313" customHeight="1" spans="1:30">
      <c r="A313" s="222"/>
      <c r="B313" s="7"/>
      <c r="C313" s="7"/>
      <c r="E313" s="7"/>
      <c r="F313" s="7"/>
      <c r="G313" s="222"/>
      <c r="H313" s="7"/>
      <c r="I313" s="7"/>
      <c r="J313" s="7"/>
      <c r="K313" s="7"/>
      <c r="L313" s="222"/>
      <c r="M313" s="7"/>
      <c r="N313" s="7"/>
      <c r="O313" s="7"/>
      <c r="P313" s="7"/>
      <c r="Q313" s="257"/>
      <c r="U313" s="7"/>
      <c r="V313" s="350"/>
      <c r="AD313" s="280"/>
    </row>
    <row r="314" customHeight="1" spans="1:30">
      <c r="A314" s="222"/>
      <c r="B314" s="7"/>
      <c r="C314" s="7"/>
      <c r="E314" s="7"/>
      <c r="F314" s="7"/>
      <c r="G314" s="222"/>
      <c r="H314" s="7"/>
      <c r="I314" s="7"/>
      <c r="J314" s="7"/>
      <c r="K314" s="7"/>
      <c r="L314" s="222"/>
      <c r="M314" s="7"/>
      <c r="N314" s="7"/>
      <c r="O314" s="7"/>
      <c r="P314" s="7"/>
      <c r="Q314" s="257"/>
      <c r="U314" s="7"/>
      <c r="V314" s="350"/>
      <c r="AD314" s="280"/>
    </row>
    <row r="315" customHeight="1" spans="1:30">
      <c r="A315" s="222"/>
      <c r="B315" s="7"/>
      <c r="C315" s="7"/>
      <c r="E315" s="7"/>
      <c r="F315" s="7"/>
      <c r="G315" s="222"/>
      <c r="H315" s="7"/>
      <c r="I315" s="7"/>
      <c r="J315" s="7"/>
      <c r="K315" s="7"/>
      <c r="L315" s="222"/>
      <c r="M315" s="7"/>
      <c r="N315" s="7"/>
      <c r="O315" s="7"/>
      <c r="P315" s="7"/>
      <c r="Q315" s="257"/>
      <c r="U315" s="7"/>
      <c r="V315" s="350"/>
      <c r="AD315" s="280"/>
    </row>
    <row r="316" customHeight="1" spans="1:30">
      <c r="A316" s="222"/>
      <c r="B316" s="7"/>
      <c r="C316" s="7"/>
      <c r="E316" s="7"/>
      <c r="F316" s="7"/>
      <c r="G316" s="222"/>
      <c r="H316" s="7"/>
      <c r="I316" s="7"/>
      <c r="J316" s="7"/>
      <c r="K316" s="7"/>
      <c r="L316" s="222"/>
      <c r="M316" s="7"/>
      <c r="N316" s="7"/>
      <c r="O316" s="7"/>
      <c r="P316" s="7"/>
      <c r="Q316" s="257"/>
      <c r="U316" s="7"/>
      <c r="V316" s="350"/>
      <c r="AD316" s="280"/>
    </row>
    <row r="317" customHeight="1" spans="1:30">
      <c r="A317" s="222"/>
      <c r="B317" s="7"/>
      <c r="C317" s="7"/>
      <c r="E317" s="7"/>
      <c r="F317" s="7"/>
      <c r="G317" s="222"/>
      <c r="H317" s="7"/>
      <c r="I317" s="7"/>
      <c r="J317" s="7"/>
      <c r="K317" s="7"/>
      <c r="L317" s="222"/>
      <c r="M317" s="7"/>
      <c r="N317" s="7"/>
      <c r="O317" s="7"/>
      <c r="P317" s="7"/>
      <c r="Q317" s="257"/>
      <c r="U317" s="7"/>
      <c r="V317" s="350"/>
      <c r="AD317" s="280"/>
    </row>
    <row r="318" customHeight="1" spans="1:30">
      <c r="A318" s="222"/>
      <c r="B318" s="7"/>
      <c r="C318" s="7"/>
      <c r="E318" s="7"/>
      <c r="F318" s="7"/>
      <c r="G318" s="222"/>
      <c r="H318" s="7"/>
      <c r="I318" s="7"/>
      <c r="J318" s="7"/>
      <c r="K318" s="7"/>
      <c r="L318" s="222"/>
      <c r="M318" s="7"/>
      <c r="N318" s="7"/>
      <c r="O318" s="7"/>
      <c r="P318" s="7"/>
      <c r="Q318" s="257"/>
      <c r="U318" s="7"/>
      <c r="V318" s="350"/>
      <c r="AD318" s="280"/>
    </row>
    <row r="319" customHeight="1" spans="1:30">
      <c r="A319" s="222"/>
      <c r="B319" s="7"/>
      <c r="C319" s="7"/>
      <c r="E319" s="7"/>
      <c r="F319" s="7"/>
      <c r="G319" s="222"/>
      <c r="H319" s="7"/>
      <c r="I319" s="7"/>
      <c r="J319" s="7"/>
      <c r="K319" s="7"/>
      <c r="L319" s="222"/>
      <c r="M319" s="7"/>
      <c r="N319" s="7"/>
      <c r="O319" s="7"/>
      <c r="P319" s="7"/>
      <c r="Q319" s="257"/>
      <c r="U319" s="7"/>
      <c r="V319" s="350"/>
      <c r="AD319" s="280"/>
    </row>
    <row r="320" customHeight="1" spans="1:30">
      <c r="A320" s="222"/>
      <c r="B320" s="7"/>
      <c r="C320" s="7"/>
      <c r="E320" s="7"/>
      <c r="F320" s="7"/>
      <c r="G320" s="222"/>
      <c r="H320" s="7"/>
      <c r="I320" s="7"/>
      <c r="J320" s="7"/>
      <c r="K320" s="7"/>
      <c r="L320" s="222"/>
      <c r="M320" s="7"/>
      <c r="N320" s="7"/>
      <c r="O320" s="7"/>
      <c r="P320" s="7"/>
      <c r="Q320" s="257"/>
      <c r="U320" s="7"/>
      <c r="V320" s="350"/>
      <c r="AD320" s="280"/>
    </row>
    <row r="321" customHeight="1" spans="1:30">
      <c r="A321" s="222"/>
      <c r="B321" s="7"/>
      <c r="C321" s="7"/>
      <c r="E321" s="7"/>
      <c r="F321" s="7"/>
      <c r="G321" s="222"/>
      <c r="H321" s="7"/>
      <c r="I321" s="7"/>
      <c r="J321" s="7"/>
      <c r="K321" s="7"/>
      <c r="L321" s="222"/>
      <c r="M321" s="7"/>
      <c r="N321" s="7"/>
      <c r="O321" s="7"/>
      <c r="P321" s="7"/>
      <c r="Q321" s="257"/>
      <c r="U321" s="7"/>
      <c r="V321" s="350"/>
      <c r="AD321" s="280"/>
    </row>
    <row r="322" customHeight="1" spans="1:30">
      <c r="A322" s="222"/>
      <c r="B322" s="7"/>
      <c r="C322" s="7"/>
      <c r="E322" s="7"/>
      <c r="F322" s="7"/>
      <c r="G322" s="222"/>
      <c r="H322" s="7"/>
      <c r="I322" s="7"/>
      <c r="J322" s="7"/>
      <c r="K322" s="7"/>
      <c r="L322" s="222"/>
      <c r="M322" s="7"/>
      <c r="N322" s="7"/>
      <c r="O322" s="7"/>
      <c r="P322" s="7"/>
      <c r="Q322" s="257"/>
      <c r="U322" s="7"/>
      <c r="V322" s="350"/>
      <c r="AD322" s="280"/>
    </row>
    <row r="323" customHeight="1" spans="1:30">
      <c r="A323" s="222"/>
      <c r="B323" s="7"/>
      <c r="C323" s="7"/>
      <c r="E323" s="7"/>
      <c r="F323" s="7"/>
      <c r="G323" s="222"/>
      <c r="H323" s="7"/>
      <c r="I323" s="7"/>
      <c r="J323" s="7"/>
      <c r="K323" s="7"/>
      <c r="L323" s="222"/>
      <c r="M323" s="7"/>
      <c r="N323" s="7"/>
      <c r="O323" s="7"/>
      <c r="P323" s="7"/>
      <c r="Q323" s="257"/>
      <c r="U323" s="7"/>
      <c r="V323" s="350"/>
      <c r="AD323" s="280"/>
    </row>
    <row r="324" customHeight="1" spans="1:30">
      <c r="A324" s="222"/>
      <c r="B324" s="7"/>
      <c r="C324" s="7"/>
      <c r="E324" s="7"/>
      <c r="F324" s="7"/>
      <c r="G324" s="222"/>
      <c r="H324" s="7"/>
      <c r="I324" s="7"/>
      <c r="J324" s="7"/>
      <c r="K324" s="7"/>
      <c r="L324" s="222"/>
      <c r="M324" s="7"/>
      <c r="N324" s="7"/>
      <c r="O324" s="7"/>
      <c r="P324" s="7"/>
      <c r="Q324" s="257"/>
      <c r="U324" s="7"/>
      <c r="V324" s="350"/>
      <c r="AD324" s="280"/>
    </row>
    <row r="325" customHeight="1" spans="1:30">
      <c r="A325" s="222"/>
      <c r="B325" s="7"/>
      <c r="C325" s="7"/>
      <c r="E325" s="7"/>
      <c r="F325" s="7"/>
      <c r="G325" s="222"/>
      <c r="H325" s="7"/>
      <c r="I325" s="7"/>
      <c r="J325" s="7"/>
      <c r="K325" s="7"/>
      <c r="L325" s="222"/>
      <c r="M325" s="7"/>
      <c r="N325" s="7"/>
      <c r="O325" s="7"/>
      <c r="P325" s="7"/>
      <c r="Q325" s="257"/>
      <c r="U325" s="7"/>
      <c r="V325" s="350"/>
      <c r="AD325" s="280"/>
    </row>
    <row r="326" customHeight="1" spans="1:30">
      <c r="A326" s="222"/>
      <c r="B326" s="7"/>
      <c r="C326" s="7"/>
      <c r="E326" s="7"/>
      <c r="F326" s="7"/>
      <c r="G326" s="222"/>
      <c r="H326" s="7"/>
      <c r="I326" s="7"/>
      <c r="J326" s="7"/>
      <c r="K326" s="7"/>
      <c r="L326" s="222"/>
      <c r="M326" s="7"/>
      <c r="N326" s="7"/>
      <c r="O326" s="7"/>
      <c r="P326" s="7"/>
      <c r="Q326" s="257"/>
      <c r="U326" s="7"/>
      <c r="V326" s="350"/>
      <c r="AD326" s="280"/>
    </row>
    <row r="327" customHeight="1" spans="1:30">
      <c r="A327" s="222"/>
      <c r="B327" s="7"/>
      <c r="C327" s="7"/>
      <c r="E327" s="7"/>
      <c r="F327" s="7"/>
      <c r="G327" s="222"/>
      <c r="H327" s="7"/>
      <c r="I327" s="7"/>
      <c r="J327" s="7"/>
      <c r="K327" s="7"/>
      <c r="L327" s="222"/>
      <c r="M327" s="7"/>
      <c r="N327" s="7"/>
      <c r="O327" s="7"/>
      <c r="P327" s="7"/>
      <c r="Q327" s="257"/>
      <c r="U327" s="7"/>
      <c r="V327" s="350"/>
      <c r="AD327" s="280"/>
    </row>
    <row r="328" customHeight="1" spans="1:30">
      <c r="A328" s="222"/>
      <c r="B328" s="7"/>
      <c r="C328" s="7"/>
      <c r="E328" s="7"/>
      <c r="F328" s="7"/>
      <c r="G328" s="222"/>
      <c r="H328" s="7"/>
      <c r="I328" s="7"/>
      <c r="J328" s="7"/>
      <c r="K328" s="7"/>
      <c r="L328" s="222"/>
      <c r="M328" s="7"/>
      <c r="N328" s="7"/>
      <c r="O328" s="7"/>
      <c r="P328" s="7"/>
      <c r="Q328" s="257"/>
      <c r="U328" s="7"/>
      <c r="V328" s="350"/>
      <c r="AD328" s="280"/>
    </row>
    <row r="329" customHeight="1" spans="1:30">
      <c r="A329" s="222"/>
      <c r="B329" s="7"/>
      <c r="C329" s="7"/>
      <c r="E329" s="7"/>
      <c r="F329" s="7"/>
      <c r="G329" s="222"/>
      <c r="H329" s="7"/>
      <c r="I329" s="7"/>
      <c r="J329" s="7"/>
      <c r="K329" s="7"/>
      <c r="L329" s="222"/>
      <c r="M329" s="7"/>
      <c r="N329" s="7"/>
      <c r="O329" s="7"/>
      <c r="P329" s="7"/>
      <c r="Q329" s="257"/>
      <c r="U329" s="7"/>
      <c r="V329" s="350"/>
      <c r="AD329" s="280"/>
    </row>
    <row r="330" customHeight="1" spans="1:30">
      <c r="A330" s="222"/>
      <c r="B330" s="7"/>
      <c r="C330" s="7"/>
      <c r="E330" s="7"/>
      <c r="F330" s="7"/>
      <c r="G330" s="222"/>
      <c r="H330" s="7"/>
      <c r="I330" s="7"/>
      <c r="J330" s="7"/>
      <c r="K330" s="7"/>
      <c r="L330" s="222"/>
      <c r="M330" s="7"/>
      <c r="N330" s="7"/>
      <c r="O330" s="7"/>
      <c r="P330" s="7"/>
      <c r="Q330" s="257"/>
      <c r="U330" s="7"/>
      <c r="V330" s="350"/>
      <c r="AD330" s="280"/>
    </row>
    <row r="331" customHeight="1" spans="1:30">
      <c r="A331" s="222"/>
      <c r="B331" s="7"/>
      <c r="C331" s="7"/>
      <c r="E331" s="7"/>
      <c r="F331" s="7"/>
      <c r="G331" s="222"/>
      <c r="H331" s="7"/>
      <c r="I331" s="7"/>
      <c r="J331" s="7"/>
      <c r="K331" s="7"/>
      <c r="L331" s="222"/>
      <c r="M331" s="7"/>
      <c r="N331" s="7"/>
      <c r="O331" s="7"/>
      <c r="P331" s="7"/>
      <c r="Q331" s="257"/>
      <c r="U331" s="7"/>
      <c r="V331" s="350"/>
      <c r="AD331" s="280"/>
    </row>
    <row r="332" customHeight="1" spans="1:30">
      <c r="A332" s="222"/>
      <c r="B332" s="7"/>
      <c r="C332" s="7"/>
      <c r="E332" s="7"/>
      <c r="F332" s="7"/>
      <c r="G332" s="222"/>
      <c r="H332" s="7"/>
      <c r="I332" s="7"/>
      <c r="J332" s="7"/>
      <c r="K332" s="7"/>
      <c r="L332" s="222"/>
      <c r="M332" s="7"/>
      <c r="N332" s="7"/>
      <c r="O332" s="7"/>
      <c r="P332" s="7"/>
      <c r="Q332" s="257"/>
      <c r="U332" s="7"/>
      <c r="V332" s="350"/>
      <c r="AD332" s="280"/>
    </row>
    <row r="333" customHeight="1" spans="1:30">
      <c r="A333" s="222"/>
      <c r="B333" s="7"/>
      <c r="C333" s="7"/>
      <c r="E333" s="7"/>
      <c r="F333" s="7"/>
      <c r="G333" s="222"/>
      <c r="H333" s="7"/>
      <c r="I333" s="7"/>
      <c r="J333" s="7"/>
      <c r="K333" s="7"/>
      <c r="L333" s="222"/>
      <c r="M333" s="7"/>
      <c r="N333" s="7"/>
      <c r="O333" s="7"/>
      <c r="P333" s="7"/>
      <c r="Q333" s="257"/>
      <c r="U333" s="7"/>
      <c r="V333" s="350"/>
      <c r="AD333" s="280"/>
    </row>
    <row r="334" customHeight="1" spans="1:30">
      <c r="A334" s="222"/>
      <c r="B334" s="7"/>
      <c r="C334" s="7"/>
      <c r="E334" s="7"/>
      <c r="F334" s="7"/>
      <c r="G334" s="222"/>
      <c r="H334" s="7"/>
      <c r="I334" s="7"/>
      <c r="J334" s="7"/>
      <c r="K334" s="7"/>
      <c r="L334" s="222"/>
      <c r="M334" s="7"/>
      <c r="N334" s="7"/>
      <c r="O334" s="7"/>
      <c r="P334" s="7"/>
      <c r="Q334" s="257"/>
      <c r="U334" s="7"/>
      <c r="V334" s="350"/>
      <c r="AD334" s="280"/>
    </row>
    <row r="335" customHeight="1" spans="1:30">
      <c r="A335" s="222"/>
      <c r="B335" s="7"/>
      <c r="C335" s="7"/>
      <c r="E335" s="7"/>
      <c r="F335" s="7"/>
      <c r="G335" s="222"/>
      <c r="H335" s="7"/>
      <c r="I335" s="7"/>
      <c r="J335" s="7"/>
      <c r="K335" s="7"/>
      <c r="L335" s="222"/>
      <c r="M335" s="7"/>
      <c r="N335" s="7"/>
      <c r="O335" s="7"/>
      <c r="P335" s="7"/>
      <c r="Q335" s="257"/>
      <c r="U335" s="7"/>
      <c r="V335" s="350"/>
      <c r="AD335" s="280"/>
    </row>
    <row r="336" customHeight="1" spans="1:30">
      <c r="A336" s="222"/>
      <c r="B336" s="7"/>
      <c r="C336" s="7"/>
      <c r="E336" s="7"/>
      <c r="F336" s="7"/>
      <c r="G336" s="222"/>
      <c r="H336" s="7"/>
      <c r="I336" s="7"/>
      <c r="J336" s="7"/>
      <c r="K336" s="7"/>
      <c r="L336" s="222"/>
      <c r="M336" s="7"/>
      <c r="N336" s="7"/>
      <c r="O336" s="7"/>
      <c r="P336" s="7"/>
      <c r="Q336" s="257"/>
      <c r="U336" s="7"/>
      <c r="V336" s="350"/>
      <c r="AD336" s="280"/>
    </row>
    <row r="337" customHeight="1" spans="1:30">
      <c r="A337" s="222"/>
      <c r="B337" s="7"/>
      <c r="C337" s="7"/>
      <c r="E337" s="7"/>
      <c r="F337" s="7"/>
      <c r="G337" s="222"/>
      <c r="H337" s="7"/>
      <c r="I337" s="7"/>
      <c r="J337" s="7"/>
      <c r="K337" s="7"/>
      <c r="L337" s="222"/>
      <c r="M337" s="7"/>
      <c r="N337" s="7"/>
      <c r="O337" s="7"/>
      <c r="P337" s="7"/>
      <c r="Q337" s="257"/>
      <c r="U337" s="7"/>
      <c r="V337" s="350"/>
      <c r="AD337" s="280"/>
    </row>
    <row r="338" customHeight="1" spans="1:30">
      <c r="A338" s="222"/>
      <c r="B338" s="7"/>
      <c r="C338" s="7"/>
      <c r="E338" s="7"/>
      <c r="F338" s="7"/>
      <c r="G338" s="222"/>
      <c r="H338" s="7"/>
      <c r="I338" s="7"/>
      <c r="J338" s="7"/>
      <c r="K338" s="7"/>
      <c r="L338" s="222"/>
      <c r="M338" s="7"/>
      <c r="N338" s="7"/>
      <c r="O338" s="7"/>
      <c r="P338" s="7"/>
      <c r="Q338" s="257"/>
      <c r="U338" s="7"/>
      <c r="V338" s="350"/>
      <c r="AD338" s="280"/>
    </row>
    <row r="339" customHeight="1" spans="1:30">
      <c r="A339" s="222"/>
      <c r="B339" s="7"/>
      <c r="C339" s="7"/>
      <c r="E339" s="7"/>
      <c r="F339" s="7"/>
      <c r="G339" s="222"/>
      <c r="H339" s="7"/>
      <c r="I339" s="7"/>
      <c r="J339" s="7"/>
      <c r="K339" s="7"/>
      <c r="L339" s="222"/>
      <c r="M339" s="7"/>
      <c r="N339" s="7"/>
      <c r="O339" s="7"/>
      <c r="P339" s="7"/>
      <c r="Q339" s="257"/>
      <c r="U339" s="7"/>
      <c r="V339" s="350"/>
      <c r="AD339" s="280"/>
    </row>
    <row r="340" customHeight="1" spans="1:30">
      <c r="A340" s="222"/>
      <c r="B340" s="7"/>
      <c r="C340" s="7"/>
      <c r="E340" s="7"/>
      <c r="F340" s="7"/>
      <c r="G340" s="222"/>
      <c r="H340" s="7"/>
      <c r="I340" s="7"/>
      <c r="J340" s="7"/>
      <c r="K340" s="7"/>
      <c r="L340" s="222"/>
      <c r="M340" s="7"/>
      <c r="N340" s="7"/>
      <c r="O340" s="7"/>
      <c r="P340" s="7"/>
      <c r="Q340" s="257"/>
      <c r="U340" s="7"/>
      <c r="V340" s="350"/>
      <c r="AD340" s="280"/>
    </row>
    <row r="341" customHeight="1" spans="1:30">
      <c r="A341" s="222"/>
      <c r="B341" s="7"/>
      <c r="C341" s="7"/>
      <c r="E341" s="7"/>
      <c r="F341" s="7"/>
      <c r="G341" s="222"/>
      <c r="H341" s="7"/>
      <c r="I341" s="7"/>
      <c r="J341" s="7"/>
      <c r="K341" s="7"/>
      <c r="L341" s="222"/>
      <c r="M341" s="7"/>
      <c r="N341" s="7"/>
      <c r="O341" s="7"/>
      <c r="P341" s="7"/>
      <c r="Q341" s="257"/>
      <c r="U341" s="7"/>
      <c r="V341" s="350"/>
      <c r="AD341" s="280"/>
    </row>
    <row r="342" customHeight="1" spans="1:30">
      <c r="A342" s="222"/>
      <c r="B342" s="7"/>
      <c r="C342" s="7"/>
      <c r="E342" s="7"/>
      <c r="F342" s="7"/>
      <c r="G342" s="222"/>
      <c r="H342" s="7"/>
      <c r="I342" s="7"/>
      <c r="J342" s="7"/>
      <c r="K342" s="7"/>
      <c r="L342" s="222"/>
      <c r="M342" s="7"/>
      <c r="N342" s="7"/>
      <c r="O342" s="7"/>
      <c r="P342" s="7"/>
      <c r="Q342" s="257"/>
      <c r="U342" s="7"/>
      <c r="V342" s="350"/>
      <c r="AD342" s="280"/>
    </row>
    <row r="343" customHeight="1" spans="1:30">
      <c r="A343" s="222"/>
      <c r="B343" s="7"/>
      <c r="C343" s="7"/>
      <c r="E343" s="7"/>
      <c r="F343" s="7"/>
      <c r="G343" s="222"/>
      <c r="H343" s="7"/>
      <c r="I343" s="7"/>
      <c r="J343" s="7"/>
      <c r="K343" s="7"/>
      <c r="L343" s="222"/>
      <c r="M343" s="7"/>
      <c r="N343" s="7"/>
      <c r="O343" s="7"/>
      <c r="P343" s="7"/>
      <c r="Q343" s="257"/>
      <c r="U343" s="7"/>
      <c r="V343" s="350"/>
      <c r="AD343" s="280"/>
    </row>
    <row r="344" customHeight="1" spans="1:30">
      <c r="A344" s="222"/>
      <c r="B344" s="7"/>
      <c r="C344" s="7"/>
      <c r="E344" s="7"/>
      <c r="F344" s="7"/>
      <c r="G344" s="222"/>
      <c r="H344" s="7"/>
      <c r="I344" s="7"/>
      <c r="J344" s="7"/>
      <c r="K344" s="7"/>
      <c r="L344" s="222"/>
      <c r="M344" s="7"/>
      <c r="N344" s="7"/>
      <c r="O344" s="7"/>
      <c r="P344" s="7"/>
      <c r="Q344" s="257"/>
      <c r="U344" s="7"/>
      <c r="V344" s="350"/>
      <c r="AD344" s="280"/>
    </row>
    <row r="345" customHeight="1" spans="1:30">
      <c r="A345" s="222"/>
      <c r="B345" s="7"/>
      <c r="C345" s="7"/>
      <c r="E345" s="7"/>
      <c r="F345" s="7"/>
      <c r="G345" s="222"/>
      <c r="H345" s="7"/>
      <c r="I345" s="7"/>
      <c r="J345" s="7"/>
      <c r="K345" s="7"/>
      <c r="L345" s="222"/>
      <c r="M345" s="7"/>
      <c r="N345" s="7"/>
      <c r="O345" s="7"/>
      <c r="P345" s="7"/>
      <c r="Q345" s="257"/>
      <c r="U345" s="7"/>
      <c r="V345" s="350"/>
      <c r="AD345" s="280"/>
    </row>
    <row r="346" customHeight="1" spans="1:30">
      <c r="A346" s="222"/>
      <c r="B346" s="7"/>
      <c r="C346" s="7"/>
      <c r="E346" s="7"/>
      <c r="F346" s="7"/>
      <c r="G346" s="222"/>
      <c r="H346" s="7"/>
      <c r="I346" s="7"/>
      <c r="J346" s="7"/>
      <c r="K346" s="7"/>
      <c r="L346" s="222"/>
      <c r="M346" s="7"/>
      <c r="N346" s="7"/>
      <c r="O346" s="7"/>
      <c r="P346" s="7"/>
      <c r="Q346" s="257"/>
      <c r="U346" s="7"/>
      <c r="V346" s="350"/>
      <c r="AD346" s="280"/>
    </row>
    <row r="347" customHeight="1" spans="1:30">
      <c r="A347" s="222"/>
      <c r="B347" s="7"/>
      <c r="C347" s="7"/>
      <c r="E347" s="7"/>
      <c r="F347" s="7"/>
      <c r="G347" s="222"/>
      <c r="H347" s="7"/>
      <c r="I347" s="7"/>
      <c r="J347" s="7"/>
      <c r="K347" s="7"/>
      <c r="L347" s="222"/>
      <c r="M347" s="7"/>
      <c r="N347" s="7"/>
      <c r="O347" s="7"/>
      <c r="P347" s="7"/>
      <c r="Q347" s="257"/>
      <c r="U347" s="7"/>
      <c r="V347" s="350"/>
      <c r="AD347" s="280"/>
    </row>
    <row r="348" customHeight="1" spans="1:30">
      <c r="A348" s="222"/>
      <c r="B348" s="7"/>
      <c r="C348" s="7"/>
      <c r="E348" s="7"/>
      <c r="F348" s="7"/>
      <c r="G348" s="222"/>
      <c r="H348" s="7"/>
      <c r="I348" s="7"/>
      <c r="J348" s="7"/>
      <c r="K348" s="7"/>
      <c r="L348" s="222"/>
      <c r="M348" s="7"/>
      <c r="N348" s="7"/>
      <c r="O348" s="7"/>
      <c r="P348" s="7"/>
      <c r="Q348" s="257"/>
      <c r="U348" s="7"/>
      <c r="V348" s="350"/>
      <c r="AD348" s="280"/>
    </row>
    <row r="349" customHeight="1" spans="1:30">
      <c r="A349" s="222"/>
      <c r="B349" s="7"/>
      <c r="C349" s="7"/>
      <c r="E349" s="7"/>
      <c r="F349" s="7"/>
      <c r="G349" s="222"/>
      <c r="H349" s="7"/>
      <c r="I349" s="7"/>
      <c r="J349" s="7"/>
      <c r="K349" s="7"/>
      <c r="L349" s="222"/>
      <c r="M349" s="7"/>
      <c r="N349" s="7"/>
      <c r="O349" s="7"/>
      <c r="P349" s="7"/>
      <c r="Q349" s="257"/>
      <c r="U349" s="7"/>
      <c r="V349" s="350"/>
      <c r="AD349" s="280"/>
    </row>
    <row r="350" customHeight="1" spans="1:30">
      <c r="A350" s="222"/>
      <c r="B350" s="7"/>
      <c r="C350" s="7"/>
      <c r="E350" s="7"/>
      <c r="F350" s="7"/>
      <c r="G350" s="222"/>
      <c r="H350" s="7"/>
      <c r="I350" s="7"/>
      <c r="J350" s="7"/>
      <c r="K350" s="7"/>
      <c r="L350" s="222"/>
      <c r="M350" s="7"/>
      <c r="N350" s="7"/>
      <c r="O350" s="7"/>
      <c r="P350" s="7"/>
      <c r="Q350" s="257"/>
      <c r="U350" s="7"/>
      <c r="V350" s="350"/>
      <c r="AD350" s="280"/>
    </row>
    <row r="351" customHeight="1" spans="1:30">
      <c r="A351" s="222"/>
      <c r="B351" s="7"/>
      <c r="C351" s="7"/>
      <c r="E351" s="7"/>
      <c r="F351" s="7"/>
      <c r="G351" s="222"/>
      <c r="H351" s="7"/>
      <c r="I351" s="7"/>
      <c r="J351" s="7"/>
      <c r="K351" s="7"/>
      <c r="L351" s="222"/>
      <c r="M351" s="7"/>
      <c r="N351" s="7"/>
      <c r="O351" s="7"/>
      <c r="P351" s="7"/>
      <c r="Q351" s="257"/>
      <c r="U351" s="7"/>
      <c r="V351" s="350"/>
      <c r="AD351" s="280"/>
    </row>
    <row r="352" customHeight="1" spans="1:30">
      <c r="A352" s="222"/>
      <c r="B352" s="7"/>
      <c r="C352" s="7"/>
      <c r="E352" s="7"/>
      <c r="F352" s="7"/>
      <c r="G352" s="222"/>
      <c r="H352" s="7"/>
      <c r="I352" s="7"/>
      <c r="J352" s="7"/>
      <c r="K352" s="7"/>
      <c r="L352" s="222"/>
      <c r="M352" s="7"/>
      <c r="N352" s="7"/>
      <c r="O352" s="7"/>
      <c r="P352" s="7"/>
      <c r="Q352" s="257"/>
      <c r="U352" s="7"/>
      <c r="V352" s="350"/>
      <c r="AD352" s="280"/>
    </row>
    <row r="353" customHeight="1" spans="1:30">
      <c r="A353" s="222"/>
      <c r="B353" s="7"/>
      <c r="C353" s="7"/>
      <c r="E353" s="7"/>
      <c r="F353" s="7"/>
      <c r="G353" s="222"/>
      <c r="H353" s="7"/>
      <c r="I353" s="7"/>
      <c r="J353" s="7"/>
      <c r="K353" s="7"/>
      <c r="L353" s="222"/>
      <c r="M353" s="7"/>
      <c r="N353" s="7"/>
      <c r="O353" s="7"/>
      <c r="P353" s="7"/>
      <c r="Q353" s="257"/>
      <c r="U353" s="7"/>
      <c r="V353" s="350"/>
      <c r="AD353" s="280"/>
    </row>
    <row r="354" customHeight="1" spans="1:30">
      <c r="A354" s="222"/>
      <c r="B354" s="7"/>
      <c r="C354" s="7"/>
      <c r="E354" s="7"/>
      <c r="F354" s="7"/>
      <c r="G354" s="222"/>
      <c r="H354" s="7"/>
      <c r="I354" s="7"/>
      <c r="J354" s="7"/>
      <c r="K354" s="7"/>
      <c r="L354" s="222"/>
      <c r="M354" s="7"/>
      <c r="N354" s="7"/>
      <c r="O354" s="7"/>
      <c r="P354" s="7"/>
      <c r="Q354" s="257"/>
      <c r="U354" s="7"/>
      <c r="V354" s="350"/>
      <c r="AD354" s="280"/>
    </row>
    <row r="355" customHeight="1" spans="1:30">
      <c r="A355" s="222"/>
      <c r="B355" s="7"/>
      <c r="C355" s="7"/>
      <c r="E355" s="7"/>
      <c r="F355" s="7"/>
      <c r="G355" s="222"/>
      <c r="H355" s="7"/>
      <c r="I355" s="7"/>
      <c r="J355" s="7"/>
      <c r="K355" s="7"/>
      <c r="L355" s="222"/>
      <c r="M355" s="7"/>
      <c r="N355" s="7"/>
      <c r="O355" s="7"/>
      <c r="P355" s="7"/>
      <c r="Q355" s="257"/>
      <c r="U355" s="7"/>
      <c r="V355" s="350"/>
      <c r="AD355" s="280"/>
    </row>
    <row r="356" customHeight="1" spans="1:30">
      <c r="A356" s="222"/>
      <c r="B356" s="7"/>
      <c r="C356" s="7"/>
      <c r="E356" s="7"/>
      <c r="F356" s="7"/>
      <c r="G356" s="222"/>
      <c r="H356" s="7"/>
      <c r="I356" s="7"/>
      <c r="J356" s="7"/>
      <c r="K356" s="7"/>
      <c r="L356" s="222"/>
      <c r="M356" s="7"/>
      <c r="N356" s="7"/>
      <c r="O356" s="7"/>
      <c r="P356" s="7"/>
      <c r="Q356" s="257"/>
      <c r="U356" s="7"/>
      <c r="V356" s="350"/>
      <c r="AD356" s="280"/>
    </row>
    <row r="357" customHeight="1" spans="1:30">
      <c r="A357" s="222"/>
      <c r="B357" s="7"/>
      <c r="C357" s="7"/>
      <c r="E357" s="7"/>
      <c r="F357" s="7"/>
      <c r="G357" s="222"/>
      <c r="H357" s="7"/>
      <c r="I357" s="7"/>
      <c r="J357" s="7"/>
      <c r="K357" s="7"/>
      <c r="L357" s="222"/>
      <c r="M357" s="7"/>
      <c r="N357" s="7"/>
      <c r="O357" s="7"/>
      <c r="P357" s="7"/>
      <c r="Q357" s="257"/>
      <c r="U357" s="7"/>
      <c r="V357" s="350"/>
      <c r="AD357" s="280"/>
    </row>
    <row r="358" customHeight="1" spans="1:30">
      <c r="A358" s="222"/>
      <c r="B358" s="7"/>
      <c r="C358" s="7"/>
      <c r="E358" s="7"/>
      <c r="F358" s="7"/>
      <c r="G358" s="222"/>
      <c r="H358" s="7"/>
      <c r="I358" s="7"/>
      <c r="J358" s="7"/>
      <c r="K358" s="7"/>
      <c r="L358" s="222"/>
      <c r="M358" s="7"/>
      <c r="N358" s="7"/>
      <c r="O358" s="7"/>
      <c r="P358" s="7"/>
      <c r="Q358" s="257"/>
      <c r="U358" s="7"/>
      <c r="V358" s="350"/>
      <c r="AD358" s="280"/>
    </row>
    <row r="359" customHeight="1" spans="1:30">
      <c r="A359" s="222"/>
      <c r="B359" s="7"/>
      <c r="C359" s="7"/>
      <c r="E359" s="7"/>
      <c r="F359" s="7"/>
      <c r="G359" s="222"/>
      <c r="H359" s="7"/>
      <c r="I359" s="7"/>
      <c r="J359" s="7"/>
      <c r="K359" s="7"/>
      <c r="L359" s="222"/>
      <c r="M359" s="7"/>
      <c r="N359" s="7"/>
      <c r="O359" s="7"/>
      <c r="P359" s="7"/>
      <c r="Q359" s="257"/>
      <c r="U359" s="7"/>
      <c r="V359" s="350"/>
      <c r="AD359" s="280"/>
    </row>
    <row r="360" customHeight="1" spans="1:30">
      <c r="A360" s="222"/>
      <c r="B360" s="7"/>
      <c r="C360" s="7"/>
      <c r="E360" s="7"/>
      <c r="F360" s="7"/>
      <c r="G360" s="222"/>
      <c r="H360" s="7"/>
      <c r="I360" s="7"/>
      <c r="J360" s="7"/>
      <c r="K360" s="7"/>
      <c r="L360" s="222"/>
      <c r="M360" s="7"/>
      <c r="N360" s="7"/>
      <c r="O360" s="7"/>
      <c r="P360" s="7"/>
      <c r="Q360" s="257"/>
      <c r="U360" s="7"/>
      <c r="V360" s="350"/>
      <c r="AD360" s="280"/>
    </row>
    <row r="361" customHeight="1" spans="1:30">
      <c r="A361" s="222"/>
      <c r="B361" s="7"/>
      <c r="C361" s="7"/>
      <c r="E361" s="7"/>
      <c r="F361" s="7"/>
      <c r="G361" s="222"/>
      <c r="H361" s="7"/>
      <c r="I361" s="7"/>
      <c r="J361" s="7"/>
      <c r="K361" s="7"/>
      <c r="L361" s="222"/>
      <c r="M361" s="7"/>
      <c r="N361" s="7"/>
      <c r="O361" s="7"/>
      <c r="P361" s="7"/>
      <c r="Q361" s="257"/>
      <c r="U361" s="7"/>
      <c r="V361" s="350"/>
      <c r="AD361" s="280"/>
    </row>
    <row r="362" customHeight="1" spans="1:30">
      <c r="A362" s="222"/>
      <c r="B362" s="7"/>
      <c r="C362" s="7"/>
      <c r="E362" s="7"/>
      <c r="F362" s="7"/>
      <c r="G362" s="222"/>
      <c r="H362" s="7"/>
      <c r="I362" s="7"/>
      <c r="J362" s="7"/>
      <c r="K362" s="7"/>
      <c r="L362" s="222"/>
      <c r="M362" s="7"/>
      <c r="N362" s="7"/>
      <c r="O362" s="7"/>
      <c r="P362" s="7"/>
      <c r="Q362" s="257"/>
      <c r="U362" s="7"/>
      <c r="V362" s="350"/>
      <c r="AD362" s="280"/>
    </row>
    <row r="363" customHeight="1" spans="1:30">
      <c r="A363" s="222"/>
      <c r="B363" s="7"/>
      <c r="C363" s="7"/>
      <c r="E363" s="7"/>
      <c r="F363" s="7"/>
      <c r="G363" s="222"/>
      <c r="H363" s="7"/>
      <c r="I363" s="7"/>
      <c r="J363" s="7"/>
      <c r="K363" s="7"/>
      <c r="L363" s="222"/>
      <c r="M363" s="7"/>
      <c r="N363" s="7"/>
      <c r="O363" s="7"/>
      <c r="P363" s="7"/>
      <c r="Q363" s="257"/>
      <c r="U363" s="7"/>
      <c r="V363" s="350"/>
      <c r="AD363" s="280"/>
    </row>
    <row r="364" customHeight="1" spans="1:30">
      <c r="A364" s="222"/>
      <c r="B364" s="7"/>
      <c r="C364" s="7"/>
      <c r="E364" s="7"/>
      <c r="F364" s="7"/>
      <c r="G364" s="222"/>
      <c r="H364" s="7"/>
      <c r="I364" s="7"/>
      <c r="J364" s="7"/>
      <c r="K364" s="7"/>
      <c r="L364" s="222"/>
      <c r="M364" s="7"/>
      <c r="N364" s="7"/>
      <c r="O364" s="7"/>
      <c r="P364" s="7"/>
      <c r="Q364" s="257"/>
      <c r="U364" s="7"/>
      <c r="V364" s="350"/>
      <c r="AD364" s="280"/>
    </row>
    <row r="365" customHeight="1" spans="1:30">
      <c r="A365" s="222"/>
      <c r="B365" s="7"/>
      <c r="C365" s="7"/>
      <c r="E365" s="7"/>
      <c r="F365" s="7"/>
      <c r="G365" s="222"/>
      <c r="H365" s="7"/>
      <c r="I365" s="7"/>
      <c r="J365" s="7"/>
      <c r="K365" s="7"/>
      <c r="L365" s="222"/>
      <c r="M365" s="7"/>
      <c r="N365" s="7"/>
      <c r="O365" s="7"/>
      <c r="P365" s="7"/>
      <c r="Q365" s="257"/>
      <c r="U365" s="7"/>
      <c r="V365" s="350"/>
      <c r="AD365" s="280"/>
    </row>
    <row r="366" customHeight="1" spans="1:30">
      <c r="A366" s="222"/>
      <c r="B366" s="7"/>
      <c r="C366" s="7"/>
      <c r="E366" s="7"/>
      <c r="F366" s="7"/>
      <c r="G366" s="222"/>
      <c r="H366" s="7"/>
      <c r="I366" s="7"/>
      <c r="J366" s="7"/>
      <c r="K366" s="7"/>
      <c r="L366" s="222"/>
      <c r="M366" s="7"/>
      <c r="N366" s="7"/>
      <c r="O366" s="7"/>
      <c r="P366" s="7"/>
      <c r="Q366" s="257"/>
      <c r="U366" s="7"/>
      <c r="V366" s="350"/>
      <c r="AD366" s="280"/>
    </row>
    <row r="367" customHeight="1" spans="1:30">
      <c r="A367" s="222"/>
      <c r="B367" s="7"/>
      <c r="C367" s="7"/>
      <c r="E367" s="7"/>
      <c r="F367" s="7"/>
      <c r="G367" s="222"/>
      <c r="H367" s="7"/>
      <c r="I367" s="7"/>
      <c r="J367" s="7"/>
      <c r="K367" s="7"/>
      <c r="L367" s="222"/>
      <c r="M367" s="7"/>
      <c r="N367" s="7"/>
      <c r="O367" s="7"/>
      <c r="P367" s="7"/>
      <c r="Q367" s="257"/>
      <c r="U367" s="7"/>
      <c r="V367" s="350"/>
      <c r="AD367" s="280"/>
    </row>
    <row r="368" customHeight="1" spans="1:30">
      <c r="A368" s="222"/>
      <c r="B368" s="7"/>
      <c r="C368" s="7"/>
      <c r="E368" s="7"/>
      <c r="F368" s="7"/>
      <c r="G368" s="222"/>
      <c r="H368" s="7"/>
      <c r="I368" s="7"/>
      <c r="J368" s="7"/>
      <c r="K368" s="7"/>
      <c r="L368" s="222"/>
      <c r="M368" s="7"/>
      <c r="N368" s="7"/>
      <c r="O368" s="7"/>
      <c r="P368" s="7"/>
      <c r="Q368" s="257"/>
      <c r="U368" s="7"/>
      <c r="V368" s="350"/>
      <c r="AD368" s="280"/>
    </row>
    <row r="369" customHeight="1" spans="1:30">
      <c r="A369" s="222"/>
      <c r="B369" s="7"/>
      <c r="C369" s="7"/>
      <c r="E369" s="7"/>
      <c r="F369" s="7"/>
      <c r="G369" s="222"/>
      <c r="H369" s="7"/>
      <c r="I369" s="7"/>
      <c r="J369" s="7"/>
      <c r="K369" s="7"/>
      <c r="L369" s="222"/>
      <c r="M369" s="7"/>
      <c r="N369" s="7"/>
      <c r="O369" s="7"/>
      <c r="P369" s="7"/>
      <c r="Q369" s="257"/>
      <c r="U369" s="7"/>
      <c r="V369" s="350"/>
      <c r="AD369" s="280"/>
    </row>
    <row r="370" customHeight="1" spans="1:30">
      <c r="A370" s="222"/>
      <c r="B370" s="7"/>
      <c r="C370" s="7"/>
      <c r="E370" s="7"/>
      <c r="F370" s="7"/>
      <c r="G370" s="222"/>
      <c r="H370" s="7"/>
      <c r="I370" s="7"/>
      <c r="J370" s="7"/>
      <c r="K370" s="7"/>
      <c r="L370" s="222"/>
      <c r="M370" s="7"/>
      <c r="N370" s="7"/>
      <c r="O370" s="7"/>
      <c r="P370" s="7"/>
      <c r="Q370" s="257"/>
      <c r="U370" s="7"/>
      <c r="V370" s="350"/>
      <c r="AD370" s="280"/>
    </row>
    <row r="371" customHeight="1" spans="1:30">
      <c r="A371" s="222"/>
      <c r="B371" s="7"/>
      <c r="C371" s="7"/>
      <c r="E371" s="7"/>
      <c r="F371" s="7"/>
      <c r="G371" s="222"/>
      <c r="H371" s="7"/>
      <c r="I371" s="7"/>
      <c r="J371" s="7"/>
      <c r="K371" s="7"/>
      <c r="L371" s="222"/>
      <c r="M371" s="7"/>
      <c r="N371" s="7"/>
      <c r="O371" s="7"/>
      <c r="P371" s="7"/>
      <c r="Q371" s="257"/>
      <c r="U371" s="7"/>
      <c r="V371" s="350"/>
      <c r="AD371" s="280"/>
    </row>
    <row r="372" customHeight="1" spans="1:30">
      <c r="A372" s="222"/>
      <c r="B372" s="7"/>
      <c r="C372" s="7"/>
      <c r="E372" s="7"/>
      <c r="F372" s="7"/>
      <c r="G372" s="222"/>
      <c r="H372" s="7"/>
      <c r="I372" s="7"/>
      <c r="J372" s="7"/>
      <c r="K372" s="7"/>
      <c r="L372" s="222"/>
      <c r="M372" s="7"/>
      <c r="N372" s="7"/>
      <c r="O372" s="7"/>
      <c r="P372" s="7"/>
      <c r="Q372" s="257"/>
      <c r="U372" s="7"/>
      <c r="V372" s="350"/>
      <c r="AD372" s="280"/>
    </row>
    <row r="373" customHeight="1" spans="1:30">
      <c r="A373" s="222"/>
      <c r="B373" s="7"/>
      <c r="C373" s="7"/>
      <c r="E373" s="7"/>
      <c r="F373" s="7"/>
      <c r="G373" s="222"/>
      <c r="H373" s="7"/>
      <c r="I373" s="7"/>
      <c r="J373" s="7"/>
      <c r="K373" s="7"/>
      <c r="L373" s="222"/>
      <c r="M373" s="7"/>
      <c r="N373" s="7"/>
      <c r="O373" s="7"/>
      <c r="P373" s="7"/>
      <c r="Q373" s="257"/>
      <c r="U373" s="7"/>
      <c r="V373" s="350"/>
      <c r="AD373" s="280"/>
    </row>
    <row r="374" customHeight="1" spans="1:30">
      <c r="A374" s="222"/>
      <c r="B374" s="7"/>
      <c r="C374" s="7"/>
      <c r="E374" s="7"/>
      <c r="F374" s="7"/>
      <c r="G374" s="222"/>
      <c r="H374" s="7"/>
      <c r="I374" s="7"/>
      <c r="J374" s="7"/>
      <c r="K374" s="7"/>
      <c r="L374" s="222"/>
      <c r="M374" s="7"/>
      <c r="N374" s="7"/>
      <c r="O374" s="7"/>
      <c r="P374" s="7"/>
      <c r="Q374" s="257"/>
      <c r="U374" s="7"/>
      <c r="V374" s="350"/>
      <c r="AD374" s="280"/>
    </row>
    <row r="375" customHeight="1" spans="1:30">
      <c r="A375" s="222"/>
      <c r="B375" s="7"/>
      <c r="C375" s="7"/>
      <c r="E375" s="7"/>
      <c r="F375" s="7"/>
      <c r="G375" s="222"/>
      <c r="H375" s="7"/>
      <c r="I375" s="7"/>
      <c r="J375" s="7"/>
      <c r="K375" s="7"/>
      <c r="L375" s="222"/>
      <c r="M375" s="7"/>
      <c r="N375" s="7"/>
      <c r="O375" s="7"/>
      <c r="P375" s="7"/>
      <c r="Q375" s="257"/>
      <c r="U375" s="7"/>
      <c r="V375" s="350"/>
      <c r="AD375" s="280"/>
    </row>
    <row r="376" customHeight="1" spans="1:30">
      <c r="A376" s="222"/>
      <c r="B376" s="7"/>
      <c r="C376" s="7"/>
      <c r="E376" s="7"/>
      <c r="F376" s="7"/>
      <c r="G376" s="222"/>
      <c r="H376" s="7"/>
      <c r="I376" s="7"/>
      <c r="J376" s="7"/>
      <c r="K376" s="7"/>
      <c r="L376" s="222"/>
      <c r="M376" s="7"/>
      <c r="N376" s="7"/>
      <c r="O376" s="7"/>
      <c r="P376" s="7"/>
      <c r="Q376" s="257"/>
      <c r="U376" s="7"/>
      <c r="V376" s="350"/>
      <c r="AD376" s="280"/>
    </row>
    <row r="377" customHeight="1" spans="1:30">
      <c r="A377" s="222"/>
      <c r="B377" s="7"/>
      <c r="C377" s="7"/>
      <c r="E377" s="7"/>
      <c r="F377" s="7"/>
      <c r="G377" s="222"/>
      <c r="H377" s="7"/>
      <c r="I377" s="7"/>
      <c r="J377" s="7"/>
      <c r="K377" s="7"/>
      <c r="L377" s="222"/>
      <c r="M377" s="7"/>
      <c r="N377" s="7"/>
      <c r="O377" s="7"/>
      <c r="P377" s="7"/>
      <c r="Q377" s="257"/>
      <c r="U377" s="7"/>
      <c r="V377" s="350"/>
      <c r="AD377" s="280"/>
    </row>
    <row r="378" customHeight="1" spans="1:30">
      <c r="A378" s="222"/>
      <c r="B378" s="7"/>
      <c r="C378" s="7"/>
      <c r="E378" s="7"/>
      <c r="F378" s="7"/>
      <c r="G378" s="222"/>
      <c r="H378" s="7"/>
      <c r="I378" s="7"/>
      <c r="J378" s="7"/>
      <c r="K378" s="7"/>
      <c r="L378" s="222"/>
      <c r="M378" s="7"/>
      <c r="N378" s="7"/>
      <c r="O378" s="7"/>
      <c r="P378" s="7"/>
      <c r="Q378" s="257"/>
      <c r="U378" s="7"/>
      <c r="V378" s="350"/>
      <c r="AD378" s="280"/>
    </row>
    <row r="379" customHeight="1" spans="1:30">
      <c r="A379" s="222"/>
      <c r="B379" s="7"/>
      <c r="C379" s="7"/>
      <c r="E379" s="7"/>
      <c r="F379" s="7"/>
      <c r="G379" s="222"/>
      <c r="H379" s="7"/>
      <c r="I379" s="7"/>
      <c r="J379" s="7"/>
      <c r="K379" s="7"/>
      <c r="L379" s="222"/>
      <c r="M379" s="7"/>
      <c r="N379" s="7"/>
      <c r="O379" s="7"/>
      <c r="P379" s="7"/>
      <c r="Q379" s="257"/>
      <c r="U379" s="7"/>
      <c r="V379" s="350"/>
      <c r="AD379" s="280"/>
    </row>
    <row r="380" customHeight="1" spans="1:30">
      <c r="A380" s="222"/>
      <c r="B380" s="7"/>
      <c r="C380" s="7"/>
      <c r="E380" s="7"/>
      <c r="F380" s="7"/>
      <c r="G380" s="222"/>
      <c r="H380" s="7"/>
      <c r="I380" s="7"/>
      <c r="J380" s="7"/>
      <c r="K380" s="7"/>
      <c r="L380" s="222"/>
      <c r="M380" s="7"/>
      <c r="N380" s="7"/>
      <c r="O380" s="7"/>
      <c r="P380" s="7"/>
      <c r="Q380" s="257"/>
      <c r="U380" s="7"/>
      <c r="V380" s="350"/>
      <c r="AD380" s="280"/>
    </row>
    <row r="381" customHeight="1" spans="1:30">
      <c r="A381" s="222"/>
      <c r="B381" s="7"/>
      <c r="C381" s="7"/>
      <c r="E381" s="7"/>
      <c r="F381" s="7"/>
      <c r="G381" s="222"/>
      <c r="H381" s="7"/>
      <c r="I381" s="7"/>
      <c r="J381" s="7"/>
      <c r="K381" s="7"/>
      <c r="L381" s="222"/>
      <c r="M381" s="7"/>
      <c r="N381" s="7"/>
      <c r="O381" s="7"/>
      <c r="P381" s="7"/>
      <c r="Q381" s="257"/>
      <c r="U381" s="7"/>
      <c r="V381" s="350"/>
      <c r="AD381" s="280"/>
    </row>
    <row r="382" customHeight="1" spans="1:30">
      <c r="A382" s="222"/>
      <c r="B382" s="7"/>
      <c r="C382" s="7"/>
      <c r="E382" s="7"/>
      <c r="F382" s="7"/>
      <c r="G382" s="222"/>
      <c r="H382" s="7"/>
      <c r="I382" s="7"/>
      <c r="J382" s="7"/>
      <c r="K382" s="7"/>
      <c r="L382" s="222"/>
      <c r="M382" s="7"/>
      <c r="N382" s="7"/>
      <c r="O382" s="7"/>
      <c r="P382" s="7"/>
      <c r="Q382" s="257"/>
      <c r="U382" s="7"/>
      <c r="V382" s="350"/>
      <c r="AD382" s="280"/>
    </row>
    <row r="383" customHeight="1" spans="1:30">
      <c r="A383" s="222"/>
      <c r="B383" s="7"/>
      <c r="C383" s="7"/>
      <c r="E383" s="7"/>
      <c r="F383" s="7"/>
      <c r="G383" s="222"/>
      <c r="H383" s="7"/>
      <c r="I383" s="7"/>
      <c r="J383" s="7"/>
      <c r="K383" s="7"/>
      <c r="L383" s="222"/>
      <c r="M383" s="7"/>
      <c r="N383" s="7"/>
      <c r="O383" s="7"/>
      <c r="P383" s="7"/>
      <c r="Q383" s="257"/>
      <c r="U383" s="7"/>
      <c r="V383" s="350"/>
      <c r="AD383" s="280"/>
    </row>
    <row r="384" customHeight="1" spans="1:30">
      <c r="A384" s="222"/>
      <c r="B384" s="7"/>
      <c r="C384" s="7"/>
      <c r="E384" s="7"/>
      <c r="F384" s="7"/>
      <c r="G384" s="222"/>
      <c r="H384" s="7"/>
      <c r="I384" s="7"/>
      <c r="J384" s="7"/>
      <c r="K384" s="7"/>
      <c r="L384" s="222"/>
      <c r="M384" s="7"/>
      <c r="N384" s="7"/>
      <c r="O384" s="7"/>
      <c r="P384" s="7"/>
      <c r="Q384" s="257"/>
      <c r="U384" s="7"/>
      <c r="V384" s="350"/>
      <c r="AD384" s="280"/>
    </row>
    <row r="385" customHeight="1" spans="1:30">
      <c r="A385" s="222"/>
      <c r="B385" s="7"/>
      <c r="C385" s="7"/>
      <c r="E385" s="7"/>
      <c r="F385" s="7"/>
      <c r="G385" s="222"/>
      <c r="H385" s="7"/>
      <c r="I385" s="7"/>
      <c r="J385" s="7"/>
      <c r="K385" s="7"/>
      <c r="L385" s="222"/>
      <c r="M385" s="7"/>
      <c r="N385" s="7"/>
      <c r="O385" s="7"/>
      <c r="P385" s="7"/>
      <c r="Q385" s="257"/>
      <c r="U385" s="7"/>
      <c r="V385" s="350"/>
      <c r="AD385" s="280"/>
    </row>
    <row r="386" customHeight="1" spans="1:30">
      <c r="A386" s="222"/>
      <c r="B386" s="7"/>
      <c r="C386" s="7"/>
      <c r="E386" s="7"/>
      <c r="F386" s="7"/>
      <c r="G386" s="222"/>
      <c r="H386" s="7"/>
      <c r="I386" s="7"/>
      <c r="J386" s="7"/>
      <c r="K386" s="7"/>
      <c r="L386" s="222"/>
      <c r="M386" s="7"/>
      <c r="N386" s="7"/>
      <c r="O386" s="7"/>
      <c r="P386" s="7"/>
      <c r="Q386" s="257"/>
      <c r="U386" s="7"/>
      <c r="V386" s="350"/>
      <c r="AD386" s="280"/>
    </row>
    <row r="387" customHeight="1" spans="1:30">
      <c r="A387" s="222"/>
      <c r="B387" s="7"/>
      <c r="C387" s="7"/>
      <c r="E387" s="7"/>
      <c r="F387" s="7"/>
      <c r="G387" s="222"/>
      <c r="H387" s="7"/>
      <c r="I387" s="7"/>
      <c r="J387" s="7"/>
      <c r="K387" s="7"/>
      <c r="L387" s="222"/>
      <c r="M387" s="7"/>
      <c r="N387" s="7"/>
      <c r="O387" s="7"/>
      <c r="P387" s="7"/>
      <c r="Q387" s="257"/>
      <c r="U387" s="7"/>
      <c r="V387" s="350"/>
      <c r="AD387" s="280"/>
    </row>
    <row r="388" customHeight="1" spans="1:30">
      <c r="A388" s="222"/>
      <c r="B388" s="7"/>
      <c r="C388" s="7"/>
      <c r="E388" s="7"/>
      <c r="F388" s="7"/>
      <c r="G388" s="222"/>
      <c r="H388" s="7"/>
      <c r="I388" s="7"/>
      <c r="J388" s="7"/>
      <c r="K388" s="7"/>
      <c r="L388" s="222"/>
      <c r="M388" s="7"/>
      <c r="N388" s="7"/>
      <c r="O388" s="7"/>
      <c r="P388" s="7"/>
      <c r="Q388" s="257"/>
      <c r="U388" s="7"/>
      <c r="V388" s="350"/>
      <c r="AD388" s="280"/>
    </row>
    <row r="389" customHeight="1" spans="1:30">
      <c r="A389" s="222"/>
      <c r="B389" s="7"/>
      <c r="C389" s="7"/>
      <c r="E389" s="7"/>
      <c r="F389" s="7"/>
      <c r="G389" s="222"/>
      <c r="H389" s="7"/>
      <c r="I389" s="7"/>
      <c r="J389" s="7"/>
      <c r="K389" s="7"/>
      <c r="L389" s="222"/>
      <c r="M389" s="7"/>
      <c r="N389" s="7"/>
      <c r="O389" s="7"/>
      <c r="P389" s="7"/>
      <c r="Q389" s="257"/>
      <c r="U389" s="7"/>
      <c r="V389" s="350"/>
      <c r="AD389" s="280"/>
    </row>
    <row r="390" customHeight="1" spans="1:30">
      <c r="A390" s="222"/>
      <c r="B390" s="7"/>
      <c r="C390" s="7"/>
      <c r="E390" s="7"/>
      <c r="F390" s="7"/>
      <c r="G390" s="222"/>
      <c r="H390" s="7"/>
      <c r="I390" s="7"/>
      <c r="J390" s="7"/>
      <c r="K390" s="7"/>
      <c r="L390" s="222"/>
      <c r="M390" s="7"/>
      <c r="N390" s="7"/>
      <c r="O390" s="7"/>
      <c r="P390" s="7"/>
      <c r="Q390" s="257"/>
      <c r="U390" s="7"/>
      <c r="V390" s="350"/>
      <c r="AD390" s="280"/>
    </row>
    <row r="391" customHeight="1" spans="1:30">
      <c r="A391" s="222"/>
      <c r="B391" s="7"/>
      <c r="C391" s="7"/>
      <c r="E391" s="7"/>
      <c r="F391" s="7"/>
      <c r="G391" s="222"/>
      <c r="H391" s="7"/>
      <c r="I391" s="7"/>
      <c r="J391" s="7"/>
      <c r="K391" s="7"/>
      <c r="L391" s="222"/>
      <c r="M391" s="7"/>
      <c r="N391" s="7"/>
      <c r="O391" s="7"/>
      <c r="P391" s="7"/>
      <c r="Q391" s="257"/>
      <c r="U391" s="7"/>
      <c r="V391" s="350"/>
      <c r="AD391" s="280"/>
    </row>
    <row r="392" customHeight="1" spans="1:30">
      <c r="A392" s="222"/>
      <c r="B392" s="7"/>
      <c r="C392" s="7"/>
      <c r="E392" s="7"/>
      <c r="F392" s="7"/>
      <c r="G392" s="222"/>
      <c r="H392" s="7"/>
      <c r="I392" s="7"/>
      <c r="J392" s="7"/>
      <c r="K392" s="7"/>
      <c r="L392" s="222"/>
      <c r="M392" s="7"/>
      <c r="N392" s="7"/>
      <c r="O392" s="7"/>
      <c r="P392" s="7"/>
      <c r="Q392" s="257"/>
      <c r="U392" s="7"/>
      <c r="V392" s="350"/>
      <c r="AD392" s="280"/>
    </row>
    <row r="393" customHeight="1" spans="1:30">
      <c r="A393" s="222"/>
      <c r="B393" s="7"/>
      <c r="C393" s="7"/>
      <c r="E393" s="7"/>
      <c r="F393" s="7"/>
      <c r="G393" s="222"/>
      <c r="H393" s="7"/>
      <c r="I393" s="7"/>
      <c r="J393" s="7"/>
      <c r="K393" s="7"/>
      <c r="L393" s="222"/>
      <c r="M393" s="7"/>
      <c r="N393" s="7"/>
      <c r="O393" s="7"/>
      <c r="P393" s="7"/>
      <c r="Q393" s="257"/>
      <c r="U393" s="7"/>
      <c r="V393" s="350"/>
      <c r="AD393" s="280"/>
    </row>
    <row r="394" customHeight="1" spans="1:30">
      <c r="A394" s="222"/>
      <c r="B394" s="7"/>
      <c r="C394" s="7"/>
      <c r="E394" s="7"/>
      <c r="F394" s="7"/>
      <c r="G394" s="222"/>
      <c r="H394" s="7"/>
      <c r="I394" s="7"/>
      <c r="J394" s="7"/>
      <c r="K394" s="7"/>
      <c r="L394" s="222"/>
      <c r="M394" s="7"/>
      <c r="N394" s="7"/>
      <c r="O394" s="7"/>
      <c r="P394" s="7"/>
      <c r="Q394" s="257"/>
      <c r="U394" s="7"/>
      <c r="V394" s="350"/>
      <c r="AD394" s="280"/>
    </row>
    <row r="395" customHeight="1" spans="1:30">
      <c r="A395" s="222"/>
      <c r="B395" s="7"/>
      <c r="C395" s="7"/>
      <c r="E395" s="7"/>
      <c r="F395" s="7"/>
      <c r="G395" s="222"/>
      <c r="H395" s="7"/>
      <c r="I395" s="7"/>
      <c r="J395" s="7"/>
      <c r="K395" s="7"/>
      <c r="L395" s="222"/>
      <c r="M395" s="7"/>
      <c r="N395" s="7"/>
      <c r="O395" s="7"/>
      <c r="P395" s="7"/>
      <c r="Q395" s="257"/>
      <c r="U395" s="7"/>
      <c r="V395" s="350"/>
      <c r="AD395" s="280"/>
    </row>
    <row r="396" customHeight="1" spans="1:30">
      <c r="A396" s="222"/>
      <c r="B396" s="7"/>
      <c r="C396" s="7"/>
      <c r="E396" s="7"/>
      <c r="F396" s="7"/>
      <c r="G396" s="222"/>
      <c r="H396" s="7"/>
      <c r="I396" s="7"/>
      <c r="J396" s="7"/>
      <c r="K396" s="7"/>
      <c r="L396" s="222"/>
      <c r="M396" s="7"/>
      <c r="N396" s="7"/>
      <c r="O396" s="7"/>
      <c r="P396" s="7"/>
      <c r="Q396" s="257"/>
      <c r="U396" s="7"/>
      <c r="V396" s="350"/>
      <c r="AD396" s="280"/>
    </row>
    <row r="397" customHeight="1" spans="1:30">
      <c r="A397" s="222"/>
      <c r="B397" s="7"/>
      <c r="C397" s="7"/>
      <c r="E397" s="7"/>
      <c r="F397" s="7"/>
      <c r="G397" s="222"/>
      <c r="H397" s="7"/>
      <c r="I397" s="7"/>
      <c r="J397" s="7"/>
      <c r="K397" s="7"/>
      <c r="L397" s="222"/>
      <c r="M397" s="7"/>
      <c r="N397" s="7"/>
      <c r="O397" s="7"/>
      <c r="P397" s="7"/>
      <c r="Q397" s="257"/>
      <c r="U397" s="7"/>
      <c r="V397" s="350"/>
      <c r="AD397" s="280"/>
    </row>
    <row r="398" customHeight="1" spans="1:30">
      <c r="A398" s="222"/>
      <c r="B398" s="7"/>
      <c r="C398" s="7"/>
      <c r="E398" s="7"/>
      <c r="F398" s="7"/>
      <c r="G398" s="222"/>
      <c r="H398" s="7"/>
      <c r="I398" s="7"/>
      <c r="J398" s="7"/>
      <c r="K398" s="7"/>
      <c r="L398" s="222"/>
      <c r="M398" s="7"/>
      <c r="N398" s="7"/>
      <c r="O398" s="7"/>
      <c r="P398" s="7"/>
      <c r="Q398" s="257"/>
      <c r="U398" s="7"/>
      <c r="V398" s="350"/>
      <c r="AD398" s="280"/>
    </row>
    <row r="399" customHeight="1" spans="1:30">
      <c r="A399" s="222"/>
      <c r="B399" s="7"/>
      <c r="C399" s="7"/>
      <c r="E399" s="7"/>
      <c r="F399" s="7"/>
      <c r="G399" s="222"/>
      <c r="H399" s="7"/>
      <c r="I399" s="7"/>
      <c r="J399" s="7"/>
      <c r="K399" s="7"/>
      <c r="L399" s="222"/>
      <c r="M399" s="7"/>
      <c r="N399" s="7"/>
      <c r="O399" s="7"/>
      <c r="P399" s="7"/>
      <c r="Q399" s="257"/>
      <c r="U399" s="7"/>
      <c r="V399" s="350"/>
      <c r="AD399" s="280"/>
    </row>
    <row r="400" customHeight="1" spans="1:30">
      <c r="A400" s="222"/>
      <c r="B400" s="7"/>
      <c r="C400" s="7"/>
      <c r="E400" s="7"/>
      <c r="F400" s="7"/>
      <c r="G400" s="222"/>
      <c r="H400" s="7"/>
      <c r="I400" s="7"/>
      <c r="J400" s="7"/>
      <c r="K400" s="7"/>
      <c r="L400" s="222"/>
      <c r="M400" s="7"/>
      <c r="N400" s="7"/>
      <c r="O400" s="7"/>
      <c r="P400" s="7"/>
      <c r="Q400" s="257"/>
      <c r="U400" s="7"/>
      <c r="V400" s="350"/>
      <c r="AD400" s="280"/>
    </row>
    <row r="401" customHeight="1" spans="1:30">
      <c r="A401" s="222"/>
      <c r="B401" s="7"/>
      <c r="C401" s="7"/>
      <c r="E401" s="7"/>
      <c r="F401" s="7"/>
      <c r="G401" s="222"/>
      <c r="H401" s="7"/>
      <c r="I401" s="7"/>
      <c r="J401" s="7"/>
      <c r="K401" s="7"/>
      <c r="L401" s="222"/>
      <c r="M401" s="7"/>
      <c r="N401" s="7"/>
      <c r="O401" s="7"/>
      <c r="P401" s="7"/>
      <c r="Q401" s="257"/>
      <c r="U401" s="7"/>
      <c r="V401" s="350"/>
      <c r="AD401" s="280"/>
    </row>
    <row r="402" customHeight="1" spans="1:30">
      <c r="A402" s="222"/>
      <c r="B402" s="7"/>
      <c r="C402" s="7"/>
      <c r="E402" s="7"/>
      <c r="F402" s="7"/>
      <c r="G402" s="222"/>
      <c r="H402" s="7"/>
      <c r="I402" s="7"/>
      <c r="J402" s="7"/>
      <c r="K402" s="7"/>
      <c r="L402" s="222"/>
      <c r="M402" s="7"/>
      <c r="N402" s="7"/>
      <c r="O402" s="7"/>
      <c r="P402" s="7"/>
      <c r="Q402" s="257"/>
      <c r="U402" s="7"/>
      <c r="V402" s="350"/>
      <c r="AD402" s="280"/>
    </row>
    <row r="403" customHeight="1" spans="1:30">
      <c r="A403" s="222"/>
      <c r="B403" s="7"/>
      <c r="C403" s="7"/>
      <c r="E403" s="7"/>
      <c r="F403" s="7"/>
      <c r="G403" s="222"/>
      <c r="H403" s="7"/>
      <c r="I403" s="7"/>
      <c r="J403" s="7"/>
      <c r="K403" s="7"/>
      <c r="L403" s="222"/>
      <c r="M403" s="7"/>
      <c r="N403" s="7"/>
      <c r="O403" s="7"/>
      <c r="P403" s="7"/>
      <c r="Q403" s="257"/>
      <c r="U403" s="7"/>
      <c r="V403" s="350"/>
      <c r="AD403" s="280"/>
    </row>
    <row r="404" customHeight="1" spans="1:30">
      <c r="A404" s="222"/>
      <c r="B404" s="7"/>
      <c r="C404" s="7"/>
      <c r="E404" s="7"/>
      <c r="F404" s="7"/>
      <c r="G404" s="222"/>
      <c r="H404" s="7"/>
      <c r="I404" s="7"/>
      <c r="J404" s="7"/>
      <c r="K404" s="7"/>
      <c r="L404" s="222"/>
      <c r="M404" s="7"/>
      <c r="N404" s="7"/>
      <c r="O404" s="7"/>
      <c r="P404" s="7"/>
      <c r="Q404" s="257"/>
      <c r="U404" s="7"/>
      <c r="V404" s="350"/>
      <c r="AD404" s="280"/>
    </row>
    <row r="405" customHeight="1" spans="1:30">
      <c r="A405" s="222"/>
      <c r="B405" s="7"/>
      <c r="C405" s="7"/>
      <c r="E405" s="7"/>
      <c r="F405" s="7"/>
      <c r="G405" s="222"/>
      <c r="H405" s="7"/>
      <c r="I405" s="7"/>
      <c r="J405" s="7"/>
      <c r="K405" s="7"/>
      <c r="L405" s="222"/>
      <c r="M405" s="7"/>
      <c r="N405" s="7"/>
      <c r="O405" s="7"/>
      <c r="P405" s="7"/>
      <c r="Q405" s="257"/>
      <c r="U405" s="7"/>
      <c r="V405" s="350"/>
      <c r="AD405" s="280"/>
    </row>
    <row r="406" customHeight="1" spans="1:30">
      <c r="A406" s="222"/>
      <c r="B406" s="7"/>
      <c r="C406" s="7"/>
      <c r="E406" s="7"/>
      <c r="F406" s="7"/>
      <c r="G406" s="222"/>
      <c r="H406" s="7"/>
      <c r="I406" s="7"/>
      <c r="J406" s="7"/>
      <c r="K406" s="7"/>
      <c r="L406" s="222"/>
      <c r="M406" s="7"/>
      <c r="N406" s="7"/>
      <c r="O406" s="7"/>
      <c r="P406" s="7"/>
      <c r="Q406" s="257"/>
      <c r="U406" s="7"/>
      <c r="V406" s="350"/>
      <c r="AD406" s="280"/>
    </row>
    <row r="407" customHeight="1" spans="1:30">
      <c r="A407" s="222"/>
      <c r="B407" s="7"/>
      <c r="C407" s="7"/>
      <c r="E407" s="7"/>
      <c r="F407" s="7"/>
      <c r="G407" s="222"/>
      <c r="H407" s="7"/>
      <c r="I407" s="7"/>
      <c r="J407" s="7"/>
      <c r="K407" s="7"/>
      <c r="L407" s="222"/>
      <c r="M407" s="7"/>
      <c r="N407" s="7"/>
      <c r="O407" s="7"/>
      <c r="P407" s="7"/>
      <c r="Q407" s="257"/>
      <c r="U407" s="7"/>
      <c r="V407" s="350"/>
      <c r="AD407" s="280"/>
    </row>
    <row r="408" customHeight="1" spans="1:30">
      <c r="A408" s="222"/>
      <c r="B408" s="7"/>
      <c r="C408" s="7"/>
      <c r="E408" s="7"/>
      <c r="F408" s="7"/>
      <c r="G408" s="222"/>
      <c r="H408" s="7"/>
      <c r="I408" s="7"/>
      <c r="J408" s="7"/>
      <c r="K408" s="7"/>
      <c r="L408" s="222"/>
      <c r="M408" s="7"/>
      <c r="N408" s="7"/>
      <c r="O408" s="7"/>
      <c r="P408" s="7"/>
      <c r="Q408" s="257"/>
      <c r="U408" s="7"/>
      <c r="V408" s="350"/>
      <c r="AD408" s="280"/>
    </row>
    <row r="409" customHeight="1" spans="1:30">
      <c r="A409" s="222"/>
      <c r="B409" s="7"/>
      <c r="C409" s="7"/>
      <c r="E409" s="7"/>
      <c r="F409" s="7"/>
      <c r="G409" s="222"/>
      <c r="H409" s="7"/>
      <c r="I409" s="7"/>
      <c r="J409" s="7"/>
      <c r="K409" s="7"/>
      <c r="L409" s="222"/>
      <c r="M409" s="7"/>
      <c r="N409" s="7"/>
      <c r="O409" s="7"/>
      <c r="P409" s="7"/>
      <c r="Q409" s="257"/>
      <c r="U409" s="7"/>
      <c r="V409" s="350"/>
      <c r="AD409" s="280"/>
    </row>
    <row r="410" customHeight="1" spans="1:30">
      <c r="A410" s="222"/>
      <c r="B410" s="7"/>
      <c r="C410" s="7"/>
      <c r="E410" s="7"/>
      <c r="F410" s="7"/>
      <c r="G410" s="222"/>
      <c r="H410" s="7"/>
      <c r="I410" s="7"/>
      <c r="J410" s="7"/>
      <c r="K410" s="7"/>
      <c r="L410" s="222"/>
      <c r="M410" s="7"/>
      <c r="N410" s="7"/>
      <c r="O410" s="7"/>
      <c r="P410" s="7"/>
      <c r="Q410" s="257"/>
      <c r="U410" s="7"/>
      <c r="V410" s="350"/>
      <c r="AD410" s="280"/>
    </row>
    <row r="411" customHeight="1" spans="1:30">
      <c r="A411" s="222"/>
      <c r="B411" s="7"/>
      <c r="C411" s="7"/>
      <c r="E411" s="7"/>
      <c r="F411" s="7"/>
      <c r="G411" s="222"/>
      <c r="H411" s="7"/>
      <c r="I411" s="7"/>
      <c r="J411" s="7"/>
      <c r="K411" s="7"/>
      <c r="L411" s="222"/>
      <c r="M411" s="7"/>
      <c r="N411" s="7"/>
      <c r="O411" s="7"/>
      <c r="P411" s="7"/>
      <c r="Q411" s="257"/>
      <c r="U411" s="7"/>
      <c r="V411" s="350"/>
      <c r="AD411" s="280"/>
    </row>
    <row r="412" customHeight="1" spans="1:30">
      <c r="A412" s="222"/>
      <c r="B412" s="7"/>
      <c r="C412" s="7"/>
      <c r="E412" s="7"/>
      <c r="F412" s="7"/>
      <c r="G412" s="222"/>
      <c r="H412" s="7"/>
      <c r="I412" s="7"/>
      <c r="J412" s="7"/>
      <c r="K412" s="7"/>
      <c r="L412" s="222"/>
      <c r="M412" s="7"/>
      <c r="N412" s="7"/>
      <c r="O412" s="7"/>
      <c r="P412" s="7"/>
      <c r="Q412" s="257"/>
      <c r="U412" s="7"/>
      <c r="V412" s="350"/>
      <c r="AD412" s="280"/>
    </row>
    <row r="413" customHeight="1" spans="1:30">
      <c r="A413" s="222"/>
      <c r="B413" s="7"/>
      <c r="C413" s="7"/>
      <c r="E413" s="7"/>
      <c r="F413" s="7"/>
      <c r="G413" s="222"/>
      <c r="H413" s="7"/>
      <c r="I413" s="7"/>
      <c r="J413" s="7"/>
      <c r="K413" s="7"/>
      <c r="L413" s="222"/>
      <c r="M413" s="7"/>
      <c r="N413" s="7"/>
      <c r="O413" s="7"/>
      <c r="P413" s="7"/>
      <c r="Q413" s="257"/>
      <c r="U413" s="7"/>
      <c r="V413" s="350"/>
      <c r="AD413" s="280"/>
    </row>
    <row r="414" customHeight="1" spans="1:30">
      <c r="A414" s="222"/>
      <c r="B414" s="7"/>
      <c r="C414" s="7"/>
      <c r="E414" s="7"/>
      <c r="F414" s="7"/>
      <c r="G414" s="222"/>
      <c r="H414" s="7"/>
      <c r="I414" s="7"/>
      <c r="J414" s="7"/>
      <c r="K414" s="7"/>
      <c r="L414" s="222"/>
      <c r="M414" s="7"/>
      <c r="N414" s="7"/>
      <c r="O414" s="7"/>
      <c r="P414" s="7"/>
      <c r="Q414" s="257"/>
      <c r="U414" s="7"/>
      <c r="V414" s="350"/>
      <c r="AD414" s="280"/>
    </row>
    <row r="415" customHeight="1" spans="1:30">
      <c r="A415" s="222"/>
      <c r="B415" s="7"/>
      <c r="C415" s="7"/>
      <c r="E415" s="7"/>
      <c r="F415" s="7"/>
      <c r="G415" s="222"/>
      <c r="H415" s="7"/>
      <c r="I415" s="7"/>
      <c r="J415" s="7"/>
      <c r="K415" s="7"/>
      <c r="L415" s="222"/>
      <c r="M415" s="7"/>
      <c r="N415" s="7"/>
      <c r="O415" s="7"/>
      <c r="P415" s="7"/>
      <c r="Q415" s="257"/>
      <c r="U415" s="7"/>
      <c r="V415" s="350"/>
      <c r="AD415" s="280"/>
    </row>
    <row r="416" customHeight="1" spans="1:30">
      <c r="A416" s="222"/>
      <c r="B416" s="7"/>
      <c r="C416" s="7"/>
      <c r="E416" s="7"/>
      <c r="F416" s="7"/>
      <c r="G416" s="222"/>
      <c r="H416" s="7"/>
      <c r="I416" s="7"/>
      <c r="J416" s="7"/>
      <c r="K416" s="7"/>
      <c r="L416" s="222"/>
      <c r="M416" s="7"/>
      <c r="N416" s="7"/>
      <c r="O416" s="7"/>
      <c r="P416" s="7"/>
      <c r="Q416" s="257"/>
      <c r="U416" s="7"/>
      <c r="V416" s="350"/>
      <c r="AD416" s="280"/>
    </row>
    <row r="417" customHeight="1" spans="1:30">
      <c r="A417" s="222"/>
      <c r="B417" s="7"/>
      <c r="C417" s="7"/>
      <c r="E417" s="7"/>
      <c r="F417" s="7"/>
      <c r="G417" s="222"/>
      <c r="H417" s="7"/>
      <c r="I417" s="7"/>
      <c r="J417" s="7"/>
      <c r="K417" s="7"/>
      <c r="L417" s="222"/>
      <c r="M417" s="7"/>
      <c r="N417" s="7"/>
      <c r="O417" s="7"/>
      <c r="P417" s="7"/>
      <c r="Q417" s="257"/>
      <c r="U417" s="7"/>
      <c r="V417" s="350"/>
      <c r="AD417" s="280"/>
    </row>
    <row r="418" customHeight="1" spans="1:30">
      <c r="A418" s="222"/>
      <c r="B418" s="7"/>
      <c r="C418" s="7"/>
      <c r="E418" s="7"/>
      <c r="F418" s="7"/>
      <c r="G418" s="222"/>
      <c r="H418" s="7"/>
      <c r="I418" s="7"/>
      <c r="J418" s="7"/>
      <c r="K418" s="7"/>
      <c r="L418" s="222"/>
      <c r="M418" s="7"/>
      <c r="N418" s="7"/>
      <c r="O418" s="7"/>
      <c r="P418" s="7"/>
      <c r="Q418" s="257"/>
      <c r="U418" s="7"/>
      <c r="V418" s="350"/>
      <c r="AD418" s="280"/>
    </row>
    <row r="419" customHeight="1" spans="1:30">
      <c r="A419" s="222"/>
      <c r="B419" s="7"/>
      <c r="C419" s="7"/>
      <c r="E419" s="7"/>
      <c r="F419" s="7"/>
      <c r="G419" s="222"/>
      <c r="H419" s="7"/>
      <c r="I419" s="7"/>
      <c r="J419" s="7"/>
      <c r="K419" s="7"/>
      <c r="L419" s="222"/>
      <c r="M419" s="7"/>
      <c r="N419" s="7"/>
      <c r="O419" s="7"/>
      <c r="P419" s="7"/>
      <c r="Q419" s="257"/>
      <c r="U419" s="7"/>
      <c r="V419" s="350"/>
      <c r="AD419" s="280"/>
    </row>
    <row r="420" customHeight="1" spans="1:30">
      <c r="A420" s="222"/>
      <c r="B420" s="7"/>
      <c r="C420" s="7"/>
      <c r="E420" s="7"/>
      <c r="F420" s="7"/>
      <c r="G420" s="222"/>
      <c r="H420" s="7"/>
      <c r="I420" s="7"/>
      <c r="J420" s="7"/>
      <c r="K420" s="7"/>
      <c r="L420" s="222"/>
      <c r="M420" s="7"/>
      <c r="N420" s="7"/>
      <c r="O420" s="7"/>
      <c r="P420" s="7"/>
      <c r="Q420" s="257"/>
      <c r="U420" s="7"/>
      <c r="V420" s="350"/>
      <c r="AD420" s="280"/>
    </row>
    <row r="421" customHeight="1" spans="1:30">
      <c r="A421" s="222"/>
      <c r="B421" s="7"/>
      <c r="C421" s="7"/>
      <c r="E421" s="7"/>
      <c r="F421" s="7"/>
      <c r="G421" s="222"/>
      <c r="H421" s="7"/>
      <c r="I421" s="7"/>
      <c r="J421" s="7"/>
      <c r="K421" s="7"/>
      <c r="L421" s="222"/>
      <c r="M421" s="7"/>
      <c r="N421" s="7"/>
      <c r="O421" s="7"/>
      <c r="P421" s="7"/>
      <c r="Q421" s="257"/>
      <c r="U421" s="7"/>
      <c r="V421" s="350"/>
      <c r="AD421" s="280"/>
    </row>
    <row r="422" customHeight="1" spans="1:30">
      <c r="A422" s="222"/>
      <c r="B422" s="7"/>
      <c r="C422" s="7"/>
      <c r="E422" s="7"/>
      <c r="F422" s="7"/>
      <c r="G422" s="222"/>
      <c r="H422" s="7"/>
      <c r="I422" s="7"/>
      <c r="J422" s="7"/>
      <c r="K422" s="7"/>
      <c r="L422" s="222"/>
      <c r="M422" s="7"/>
      <c r="N422" s="7"/>
      <c r="O422" s="7"/>
      <c r="P422" s="7"/>
      <c r="Q422" s="257"/>
      <c r="U422" s="7"/>
      <c r="V422" s="350"/>
      <c r="AD422" s="280"/>
    </row>
    <row r="423" customHeight="1" spans="1:30">
      <c r="A423" s="222"/>
      <c r="B423" s="7"/>
      <c r="C423" s="7"/>
      <c r="E423" s="7"/>
      <c r="F423" s="7"/>
      <c r="G423" s="222"/>
      <c r="H423" s="7"/>
      <c r="I423" s="7"/>
      <c r="J423" s="7"/>
      <c r="K423" s="7"/>
      <c r="L423" s="222"/>
      <c r="M423" s="7"/>
      <c r="N423" s="7"/>
      <c r="O423" s="7"/>
      <c r="P423" s="7"/>
      <c r="Q423" s="257"/>
      <c r="U423" s="7"/>
      <c r="V423" s="350"/>
      <c r="AD423" s="280"/>
    </row>
    <row r="424" customHeight="1" spans="1:30">
      <c r="A424" s="222"/>
      <c r="B424" s="7"/>
      <c r="C424" s="7"/>
      <c r="E424" s="7"/>
      <c r="F424" s="7"/>
      <c r="G424" s="222"/>
      <c r="H424" s="7"/>
      <c r="I424" s="7"/>
      <c r="J424" s="7"/>
      <c r="K424" s="7"/>
      <c r="L424" s="222"/>
      <c r="M424" s="7"/>
      <c r="N424" s="7"/>
      <c r="O424" s="7"/>
      <c r="P424" s="7"/>
      <c r="Q424" s="257"/>
      <c r="U424" s="7"/>
      <c r="V424" s="350"/>
      <c r="AD424" s="280"/>
    </row>
    <row r="425" customHeight="1" spans="1:30">
      <c r="A425" s="222"/>
      <c r="B425" s="7"/>
      <c r="C425" s="7"/>
      <c r="E425" s="7"/>
      <c r="F425" s="7"/>
      <c r="G425" s="222"/>
      <c r="H425" s="7"/>
      <c r="I425" s="7"/>
      <c r="J425" s="7"/>
      <c r="K425" s="7"/>
      <c r="L425" s="222"/>
      <c r="M425" s="7"/>
      <c r="N425" s="7"/>
      <c r="O425" s="7"/>
      <c r="P425" s="7"/>
      <c r="Q425" s="257"/>
      <c r="U425" s="7"/>
      <c r="V425" s="350"/>
      <c r="AD425" s="280"/>
    </row>
    <row r="426" customHeight="1" spans="1:30">
      <c r="A426" s="222"/>
      <c r="B426" s="7"/>
      <c r="C426" s="7"/>
      <c r="E426" s="7"/>
      <c r="F426" s="7"/>
      <c r="G426" s="222"/>
      <c r="H426" s="7"/>
      <c r="I426" s="7"/>
      <c r="J426" s="7"/>
      <c r="K426" s="7"/>
      <c r="L426" s="222"/>
      <c r="M426" s="7"/>
      <c r="N426" s="7"/>
      <c r="O426" s="7"/>
      <c r="P426" s="7"/>
      <c r="Q426" s="257"/>
      <c r="U426" s="7"/>
      <c r="V426" s="350"/>
      <c r="AD426" s="280"/>
    </row>
    <row r="427" customHeight="1" spans="1:30">
      <c r="A427" s="222"/>
      <c r="B427" s="7"/>
      <c r="C427" s="7"/>
      <c r="E427" s="7"/>
      <c r="F427" s="7"/>
      <c r="G427" s="222"/>
      <c r="H427" s="7"/>
      <c r="I427" s="7"/>
      <c r="J427" s="7"/>
      <c r="K427" s="7"/>
      <c r="L427" s="222"/>
      <c r="M427" s="7"/>
      <c r="N427" s="7"/>
      <c r="O427" s="7"/>
      <c r="P427" s="7"/>
      <c r="Q427" s="257"/>
      <c r="U427" s="7"/>
      <c r="V427" s="350"/>
      <c r="AD427" s="280"/>
    </row>
    <row r="428" customHeight="1" spans="1:30">
      <c r="A428" s="222"/>
      <c r="B428" s="7"/>
      <c r="C428" s="7"/>
      <c r="E428" s="7"/>
      <c r="F428" s="7"/>
      <c r="G428" s="222"/>
      <c r="H428" s="7"/>
      <c r="I428" s="7"/>
      <c r="J428" s="7"/>
      <c r="K428" s="7"/>
      <c r="L428" s="222"/>
      <c r="M428" s="7"/>
      <c r="N428" s="7"/>
      <c r="O428" s="7"/>
      <c r="P428" s="7"/>
      <c r="Q428" s="257"/>
      <c r="U428" s="7"/>
      <c r="V428" s="350"/>
      <c r="AD428" s="280"/>
    </row>
    <row r="429" customHeight="1" spans="1:30">
      <c r="A429" s="222"/>
      <c r="B429" s="7"/>
      <c r="C429" s="7"/>
      <c r="E429" s="7"/>
      <c r="F429" s="7"/>
      <c r="G429" s="222"/>
      <c r="H429" s="7"/>
      <c r="I429" s="7"/>
      <c r="J429" s="7"/>
      <c r="K429" s="7"/>
      <c r="L429" s="222"/>
      <c r="M429" s="7"/>
      <c r="N429" s="7"/>
      <c r="O429" s="7"/>
      <c r="P429" s="7"/>
      <c r="Q429" s="257"/>
      <c r="U429" s="7"/>
      <c r="V429" s="350"/>
      <c r="AD429" s="280"/>
    </row>
    <row r="430" customHeight="1" spans="1:30">
      <c r="A430" s="222"/>
      <c r="B430" s="7"/>
      <c r="C430" s="7"/>
      <c r="E430" s="7"/>
      <c r="F430" s="7"/>
      <c r="G430" s="222"/>
      <c r="H430" s="7"/>
      <c r="I430" s="7"/>
      <c r="J430" s="7"/>
      <c r="K430" s="7"/>
      <c r="L430" s="222"/>
      <c r="M430" s="7"/>
      <c r="N430" s="7"/>
      <c r="O430" s="7"/>
      <c r="P430" s="7"/>
      <c r="Q430" s="257"/>
      <c r="U430" s="7"/>
      <c r="V430" s="350"/>
      <c r="AD430" s="280"/>
    </row>
    <row r="431" customHeight="1" spans="1:30">
      <c r="A431" s="222"/>
      <c r="B431" s="7"/>
      <c r="C431" s="7"/>
      <c r="E431" s="7"/>
      <c r="F431" s="7"/>
      <c r="G431" s="222"/>
      <c r="H431" s="7"/>
      <c r="I431" s="7"/>
      <c r="J431" s="7"/>
      <c r="K431" s="7"/>
      <c r="L431" s="222"/>
      <c r="M431" s="7"/>
      <c r="N431" s="7"/>
      <c r="O431" s="7"/>
      <c r="P431" s="7"/>
      <c r="Q431" s="257"/>
      <c r="U431" s="7"/>
      <c r="V431" s="350"/>
      <c r="AD431" s="280"/>
    </row>
    <row r="432" customHeight="1" spans="1:30">
      <c r="A432" s="222"/>
      <c r="B432" s="7"/>
      <c r="C432" s="7"/>
      <c r="E432" s="7"/>
      <c r="F432" s="7"/>
      <c r="G432" s="222"/>
      <c r="H432" s="7"/>
      <c r="I432" s="7"/>
      <c r="J432" s="7"/>
      <c r="K432" s="7"/>
      <c r="L432" s="222"/>
      <c r="M432" s="7"/>
      <c r="N432" s="7"/>
      <c r="O432" s="7"/>
      <c r="P432" s="7"/>
      <c r="Q432" s="257"/>
      <c r="U432" s="7"/>
      <c r="V432" s="350"/>
      <c r="AD432" s="280"/>
    </row>
    <row r="433" customHeight="1" spans="1:30">
      <c r="A433" s="222"/>
      <c r="B433" s="7"/>
      <c r="C433" s="7"/>
      <c r="E433" s="7"/>
      <c r="F433" s="7"/>
      <c r="G433" s="222"/>
      <c r="H433" s="7"/>
      <c r="I433" s="7"/>
      <c r="J433" s="7"/>
      <c r="K433" s="7"/>
      <c r="L433" s="222"/>
      <c r="M433" s="7"/>
      <c r="N433" s="7"/>
      <c r="O433" s="7"/>
      <c r="P433" s="7"/>
      <c r="Q433" s="257"/>
      <c r="U433" s="7"/>
      <c r="V433" s="350"/>
      <c r="AD433" s="280"/>
    </row>
    <row r="434" customHeight="1" spans="1:30">
      <c r="A434" s="222"/>
      <c r="B434" s="7"/>
      <c r="C434" s="7"/>
      <c r="E434" s="7"/>
      <c r="F434" s="7"/>
      <c r="G434" s="222"/>
      <c r="H434" s="7"/>
      <c r="I434" s="7"/>
      <c r="J434" s="7"/>
      <c r="K434" s="7"/>
      <c r="L434" s="222"/>
      <c r="M434" s="7"/>
      <c r="N434" s="7"/>
      <c r="O434" s="7"/>
      <c r="P434" s="7"/>
      <c r="Q434" s="257"/>
      <c r="U434" s="7"/>
      <c r="V434" s="350"/>
      <c r="AD434" s="280"/>
    </row>
    <row r="435" customHeight="1" spans="1:30">
      <c r="A435" s="222"/>
      <c r="B435" s="7"/>
      <c r="C435" s="7"/>
      <c r="E435" s="7"/>
      <c r="F435" s="7"/>
      <c r="G435" s="222"/>
      <c r="H435" s="7"/>
      <c r="I435" s="7"/>
      <c r="J435" s="7"/>
      <c r="K435" s="7"/>
      <c r="L435" s="222"/>
      <c r="M435" s="7"/>
      <c r="N435" s="7"/>
      <c r="O435" s="7"/>
      <c r="P435" s="7"/>
      <c r="Q435" s="257"/>
      <c r="U435" s="7"/>
      <c r="V435" s="350"/>
      <c r="AD435" s="280"/>
    </row>
    <row r="436" customHeight="1" spans="1:30">
      <c r="A436" s="222"/>
      <c r="B436" s="7"/>
      <c r="C436" s="7"/>
      <c r="E436" s="7"/>
      <c r="F436" s="7"/>
      <c r="G436" s="222"/>
      <c r="H436" s="7"/>
      <c r="I436" s="7"/>
      <c r="J436" s="7"/>
      <c r="K436" s="7"/>
      <c r="L436" s="222"/>
      <c r="M436" s="7"/>
      <c r="N436" s="7"/>
      <c r="O436" s="7"/>
      <c r="P436" s="7"/>
      <c r="Q436" s="257"/>
      <c r="U436" s="7"/>
      <c r="V436" s="350"/>
      <c r="AD436" s="280"/>
    </row>
    <row r="437" customHeight="1" spans="1:30">
      <c r="A437" s="222"/>
      <c r="B437" s="7"/>
      <c r="C437" s="7"/>
      <c r="E437" s="7"/>
      <c r="F437" s="7"/>
      <c r="G437" s="222"/>
      <c r="H437" s="7"/>
      <c r="I437" s="7"/>
      <c r="J437" s="7"/>
      <c r="K437" s="7"/>
      <c r="L437" s="222"/>
      <c r="M437" s="7"/>
      <c r="N437" s="7"/>
      <c r="O437" s="7"/>
      <c r="P437" s="7"/>
      <c r="Q437" s="257"/>
      <c r="U437" s="7"/>
      <c r="V437" s="350"/>
      <c r="AD437" s="280"/>
    </row>
    <row r="438" customHeight="1" spans="1:30">
      <c r="A438" s="222"/>
      <c r="B438" s="7"/>
      <c r="C438" s="7"/>
      <c r="E438" s="7"/>
      <c r="F438" s="7"/>
      <c r="G438" s="222"/>
      <c r="H438" s="7"/>
      <c r="I438" s="7"/>
      <c r="J438" s="7"/>
      <c r="K438" s="7"/>
      <c r="L438" s="222"/>
      <c r="M438" s="7"/>
      <c r="N438" s="7"/>
      <c r="O438" s="7"/>
      <c r="P438" s="7"/>
      <c r="Q438" s="257"/>
      <c r="U438" s="7"/>
      <c r="V438" s="350"/>
      <c r="AD438" s="280"/>
    </row>
    <row r="439" customHeight="1" spans="1:30">
      <c r="A439" s="222"/>
      <c r="B439" s="7"/>
      <c r="C439" s="7"/>
      <c r="E439" s="7"/>
      <c r="F439" s="7"/>
      <c r="G439" s="222"/>
      <c r="H439" s="7"/>
      <c r="I439" s="7"/>
      <c r="J439" s="7"/>
      <c r="K439" s="7"/>
      <c r="L439" s="222"/>
      <c r="M439" s="7"/>
      <c r="N439" s="7"/>
      <c r="O439" s="7"/>
      <c r="P439" s="7"/>
      <c r="Q439" s="257"/>
      <c r="U439" s="7"/>
      <c r="V439" s="350"/>
      <c r="AD439" s="280"/>
    </row>
    <row r="440" customHeight="1" spans="1:30">
      <c r="A440" s="222"/>
      <c r="B440" s="7"/>
      <c r="C440" s="7"/>
      <c r="E440" s="7"/>
      <c r="F440" s="7"/>
      <c r="G440" s="222"/>
      <c r="H440" s="7"/>
      <c r="I440" s="7"/>
      <c r="J440" s="7"/>
      <c r="K440" s="7"/>
      <c r="L440" s="222"/>
      <c r="M440" s="7"/>
      <c r="N440" s="7"/>
      <c r="O440" s="7"/>
      <c r="P440" s="7"/>
      <c r="Q440" s="257"/>
      <c r="U440" s="7"/>
      <c r="V440" s="350"/>
      <c r="AD440" s="280"/>
    </row>
    <row r="441" customHeight="1" spans="1:30">
      <c r="A441" s="222"/>
      <c r="B441" s="7"/>
      <c r="C441" s="7"/>
      <c r="E441" s="7"/>
      <c r="F441" s="7"/>
      <c r="G441" s="222"/>
      <c r="H441" s="7"/>
      <c r="I441" s="7"/>
      <c r="J441" s="7"/>
      <c r="K441" s="7"/>
      <c r="L441" s="222"/>
      <c r="M441" s="7"/>
      <c r="N441" s="7"/>
      <c r="O441" s="7"/>
      <c r="P441" s="7"/>
      <c r="Q441" s="257"/>
      <c r="U441" s="7"/>
      <c r="V441" s="350"/>
      <c r="AD441" s="280"/>
    </row>
    <row r="442" customHeight="1" spans="1:30">
      <c r="A442" s="222"/>
      <c r="B442" s="7"/>
      <c r="C442" s="7"/>
      <c r="E442" s="7"/>
      <c r="F442" s="7"/>
      <c r="G442" s="222"/>
      <c r="H442" s="7"/>
      <c r="I442" s="7"/>
      <c r="J442" s="7"/>
      <c r="K442" s="7"/>
      <c r="L442" s="222"/>
      <c r="M442" s="7"/>
      <c r="N442" s="7"/>
      <c r="O442" s="7"/>
      <c r="P442" s="7"/>
      <c r="Q442" s="257"/>
      <c r="U442" s="7"/>
      <c r="V442" s="350"/>
      <c r="AD442" s="280"/>
    </row>
    <row r="443" customHeight="1" spans="1:30">
      <c r="A443" s="222"/>
      <c r="B443" s="7"/>
      <c r="C443" s="7"/>
      <c r="E443" s="7"/>
      <c r="F443" s="7"/>
      <c r="G443" s="222"/>
      <c r="H443" s="7"/>
      <c r="I443" s="7"/>
      <c r="J443" s="7"/>
      <c r="K443" s="7"/>
      <c r="L443" s="222"/>
      <c r="M443" s="7"/>
      <c r="N443" s="7"/>
      <c r="O443" s="7"/>
      <c r="P443" s="7"/>
      <c r="Q443" s="257"/>
      <c r="U443" s="7"/>
      <c r="V443" s="350"/>
      <c r="AD443" s="280"/>
    </row>
    <row r="444" customHeight="1" spans="1:30">
      <c r="A444" s="222"/>
      <c r="B444" s="7"/>
      <c r="C444" s="7"/>
      <c r="E444" s="7"/>
      <c r="F444" s="7"/>
      <c r="G444" s="222"/>
      <c r="H444" s="7"/>
      <c r="I444" s="7"/>
      <c r="J444" s="7"/>
      <c r="K444" s="7"/>
      <c r="L444" s="222"/>
      <c r="M444" s="7"/>
      <c r="N444" s="7"/>
      <c r="O444" s="7"/>
      <c r="P444" s="7"/>
      <c r="Q444" s="257"/>
      <c r="U444" s="7"/>
      <c r="V444" s="350"/>
      <c r="AD444" s="280"/>
    </row>
    <row r="445" customHeight="1" spans="1:30">
      <c r="A445" s="222"/>
      <c r="B445" s="7"/>
      <c r="C445" s="7"/>
      <c r="E445" s="7"/>
      <c r="F445" s="7"/>
      <c r="G445" s="222"/>
      <c r="H445" s="7"/>
      <c r="I445" s="7"/>
      <c r="J445" s="7"/>
      <c r="K445" s="7"/>
      <c r="L445" s="222"/>
      <c r="M445" s="7"/>
      <c r="N445" s="7"/>
      <c r="O445" s="7"/>
      <c r="P445" s="7"/>
      <c r="Q445" s="257"/>
      <c r="U445" s="7"/>
      <c r="V445" s="350"/>
      <c r="AD445" s="280"/>
    </row>
    <row r="446" customHeight="1" spans="1:30">
      <c r="A446" s="222"/>
      <c r="B446" s="7"/>
      <c r="C446" s="7"/>
      <c r="E446" s="7"/>
      <c r="F446" s="7"/>
      <c r="G446" s="222"/>
      <c r="H446" s="7"/>
      <c r="I446" s="7"/>
      <c r="J446" s="7"/>
      <c r="K446" s="7"/>
      <c r="L446" s="222"/>
      <c r="M446" s="7"/>
      <c r="N446" s="7"/>
      <c r="O446" s="7"/>
      <c r="P446" s="7"/>
      <c r="Q446" s="257"/>
      <c r="U446" s="7"/>
      <c r="V446" s="350"/>
      <c r="AD446" s="280"/>
    </row>
    <row r="447" customHeight="1" spans="1:30">
      <c r="A447" s="222"/>
      <c r="B447" s="7"/>
      <c r="C447" s="7"/>
      <c r="E447" s="7"/>
      <c r="F447" s="7"/>
      <c r="G447" s="222"/>
      <c r="H447" s="7"/>
      <c r="I447" s="7"/>
      <c r="J447" s="7"/>
      <c r="K447" s="7"/>
      <c r="L447" s="222"/>
      <c r="M447" s="7"/>
      <c r="N447" s="7"/>
      <c r="O447" s="7"/>
      <c r="P447" s="7"/>
      <c r="Q447" s="257"/>
      <c r="U447" s="7"/>
      <c r="V447" s="350"/>
      <c r="AD447" s="280"/>
    </row>
    <row r="448" customHeight="1" spans="1:30">
      <c r="A448" s="222"/>
      <c r="B448" s="7"/>
      <c r="C448" s="7"/>
      <c r="E448" s="7"/>
      <c r="F448" s="7"/>
      <c r="G448" s="222"/>
      <c r="H448" s="7"/>
      <c r="I448" s="7"/>
      <c r="J448" s="7"/>
      <c r="K448" s="7"/>
      <c r="L448" s="222"/>
      <c r="M448" s="7"/>
      <c r="N448" s="7"/>
      <c r="O448" s="7"/>
      <c r="P448" s="7"/>
      <c r="Q448" s="257"/>
      <c r="U448" s="7"/>
      <c r="V448" s="350"/>
      <c r="AD448" s="280"/>
    </row>
    <row r="449" customHeight="1" spans="1:30">
      <c r="A449" s="222"/>
      <c r="B449" s="7"/>
      <c r="C449" s="7"/>
      <c r="E449" s="7"/>
      <c r="F449" s="7"/>
      <c r="G449" s="222"/>
      <c r="H449" s="7"/>
      <c r="I449" s="7"/>
      <c r="J449" s="7"/>
      <c r="K449" s="7"/>
      <c r="L449" s="222"/>
      <c r="M449" s="7"/>
      <c r="N449" s="7"/>
      <c r="O449" s="7"/>
      <c r="P449" s="7"/>
      <c r="Q449" s="257"/>
      <c r="U449" s="7"/>
      <c r="V449" s="350"/>
      <c r="AD449" s="280"/>
    </row>
    <row r="450" customHeight="1" spans="1:30">
      <c r="A450" s="222"/>
      <c r="B450" s="7"/>
      <c r="C450" s="7"/>
      <c r="E450" s="7"/>
      <c r="F450" s="7"/>
      <c r="G450" s="222"/>
      <c r="H450" s="7"/>
      <c r="I450" s="7"/>
      <c r="J450" s="7"/>
      <c r="K450" s="7"/>
      <c r="L450" s="222"/>
      <c r="M450" s="7"/>
      <c r="N450" s="7"/>
      <c r="O450" s="7"/>
      <c r="P450" s="7"/>
      <c r="Q450" s="257"/>
      <c r="U450" s="7"/>
      <c r="V450" s="350"/>
      <c r="AD450" s="280"/>
    </row>
    <row r="451" customHeight="1" spans="1:30">
      <c r="A451" s="222"/>
      <c r="B451" s="7"/>
      <c r="C451" s="7"/>
      <c r="E451" s="7"/>
      <c r="F451" s="7"/>
      <c r="G451" s="222"/>
      <c r="H451" s="7"/>
      <c r="I451" s="7"/>
      <c r="J451" s="7"/>
      <c r="K451" s="7"/>
      <c r="L451" s="222"/>
      <c r="M451" s="7"/>
      <c r="N451" s="7"/>
      <c r="O451" s="7"/>
      <c r="P451" s="7"/>
      <c r="Q451" s="257"/>
      <c r="U451" s="7"/>
      <c r="V451" s="350"/>
      <c r="AD451" s="280"/>
    </row>
    <row r="452" customHeight="1" spans="1:30">
      <c r="A452" s="222"/>
      <c r="B452" s="7"/>
      <c r="C452" s="7"/>
      <c r="E452" s="7"/>
      <c r="F452" s="7"/>
      <c r="G452" s="222"/>
      <c r="H452" s="7"/>
      <c r="I452" s="7"/>
      <c r="J452" s="7"/>
      <c r="K452" s="7"/>
      <c r="L452" s="222"/>
      <c r="M452" s="7"/>
      <c r="N452" s="7"/>
      <c r="O452" s="7"/>
      <c r="P452" s="7"/>
      <c r="Q452" s="257"/>
      <c r="U452" s="7"/>
      <c r="V452" s="350"/>
      <c r="AD452" s="280"/>
    </row>
    <row r="453" customHeight="1" spans="1:30">
      <c r="A453" s="222"/>
      <c r="B453" s="7"/>
      <c r="C453" s="7"/>
      <c r="E453" s="7"/>
      <c r="F453" s="7"/>
      <c r="G453" s="222"/>
      <c r="H453" s="7"/>
      <c r="I453" s="7"/>
      <c r="J453" s="7"/>
      <c r="K453" s="7"/>
      <c r="L453" s="222"/>
      <c r="M453" s="7"/>
      <c r="N453" s="7"/>
      <c r="O453" s="7"/>
      <c r="P453" s="7"/>
      <c r="Q453" s="257"/>
      <c r="U453" s="7"/>
      <c r="V453" s="350"/>
      <c r="AD453" s="280"/>
    </row>
    <row r="454" customHeight="1" spans="1:30">
      <c r="A454" s="222"/>
      <c r="B454" s="7"/>
      <c r="C454" s="7"/>
      <c r="E454" s="7"/>
      <c r="F454" s="7"/>
      <c r="G454" s="222"/>
      <c r="H454" s="7"/>
      <c r="I454" s="7"/>
      <c r="J454" s="7"/>
      <c r="K454" s="7"/>
      <c r="L454" s="222"/>
      <c r="M454" s="7"/>
      <c r="N454" s="7"/>
      <c r="O454" s="7"/>
      <c r="P454" s="7"/>
      <c r="Q454" s="257"/>
      <c r="U454" s="7"/>
      <c r="V454" s="350"/>
      <c r="AD454" s="280"/>
    </row>
    <row r="455" customHeight="1" spans="1:30">
      <c r="A455" s="222"/>
      <c r="B455" s="7"/>
      <c r="C455" s="7"/>
      <c r="E455" s="7"/>
      <c r="F455" s="7"/>
      <c r="G455" s="222"/>
      <c r="H455" s="7"/>
      <c r="I455" s="7"/>
      <c r="J455" s="7"/>
      <c r="K455" s="7"/>
      <c r="L455" s="222"/>
      <c r="M455" s="7"/>
      <c r="N455" s="7"/>
      <c r="O455" s="7"/>
      <c r="P455" s="7"/>
      <c r="Q455" s="257"/>
      <c r="U455" s="7"/>
      <c r="V455" s="350"/>
      <c r="AD455" s="280"/>
    </row>
    <row r="456" customHeight="1" spans="1:30">
      <c r="A456" s="222"/>
      <c r="B456" s="7"/>
      <c r="C456" s="7"/>
      <c r="E456" s="7"/>
      <c r="F456" s="7"/>
      <c r="G456" s="222"/>
      <c r="H456" s="7"/>
      <c r="I456" s="7"/>
      <c r="J456" s="7"/>
      <c r="K456" s="7"/>
      <c r="L456" s="222"/>
      <c r="M456" s="7"/>
      <c r="N456" s="7"/>
      <c r="O456" s="7"/>
      <c r="P456" s="7"/>
      <c r="Q456" s="257"/>
      <c r="U456" s="7"/>
      <c r="V456" s="350"/>
      <c r="AD456" s="280"/>
    </row>
    <row r="457" customHeight="1" spans="1:30">
      <c r="A457" s="222"/>
      <c r="B457" s="7"/>
      <c r="C457" s="7"/>
      <c r="E457" s="7"/>
      <c r="F457" s="7"/>
      <c r="G457" s="222"/>
      <c r="H457" s="7"/>
      <c r="I457" s="7"/>
      <c r="J457" s="7"/>
      <c r="K457" s="7"/>
      <c r="L457" s="222"/>
      <c r="M457" s="7"/>
      <c r="N457" s="7"/>
      <c r="O457" s="7"/>
      <c r="P457" s="7"/>
      <c r="Q457" s="257"/>
      <c r="U457" s="7"/>
      <c r="V457" s="350"/>
      <c r="AD457" s="280"/>
    </row>
    <row r="458" customHeight="1" spans="1:30">
      <c r="A458" s="222"/>
      <c r="B458" s="7"/>
      <c r="C458" s="7"/>
      <c r="E458" s="7"/>
      <c r="F458" s="7"/>
      <c r="G458" s="222"/>
      <c r="H458" s="7"/>
      <c r="I458" s="7"/>
      <c r="J458" s="7"/>
      <c r="K458" s="7"/>
      <c r="L458" s="222"/>
      <c r="M458" s="7"/>
      <c r="N458" s="7"/>
      <c r="O458" s="7"/>
      <c r="P458" s="7"/>
      <c r="Q458" s="257"/>
      <c r="U458" s="7"/>
      <c r="V458" s="350"/>
      <c r="AD458" s="280"/>
    </row>
    <row r="459" customHeight="1" spans="1:30">
      <c r="A459" s="222"/>
      <c r="B459" s="7"/>
      <c r="C459" s="7"/>
      <c r="E459" s="7"/>
      <c r="F459" s="7"/>
      <c r="G459" s="222"/>
      <c r="H459" s="7"/>
      <c r="I459" s="7"/>
      <c r="J459" s="7"/>
      <c r="K459" s="7"/>
      <c r="L459" s="222"/>
      <c r="M459" s="7"/>
      <c r="N459" s="7"/>
      <c r="O459" s="7"/>
      <c r="P459" s="7"/>
      <c r="Q459" s="257"/>
      <c r="U459" s="7"/>
      <c r="V459" s="350"/>
      <c r="AD459" s="280"/>
    </row>
    <row r="460" customHeight="1" spans="1:30">
      <c r="A460" s="222"/>
      <c r="B460" s="7"/>
      <c r="C460" s="7"/>
      <c r="E460" s="7"/>
      <c r="F460" s="7"/>
      <c r="G460" s="222"/>
      <c r="H460" s="7"/>
      <c r="I460" s="7"/>
      <c r="J460" s="7"/>
      <c r="K460" s="7"/>
      <c r="L460" s="222"/>
      <c r="M460" s="7"/>
      <c r="N460" s="7"/>
      <c r="O460" s="7"/>
      <c r="P460" s="7"/>
      <c r="Q460" s="257"/>
      <c r="U460" s="7"/>
      <c r="V460" s="350"/>
      <c r="AD460" s="280"/>
    </row>
    <row r="461" customHeight="1" spans="1:30">
      <c r="A461" s="222"/>
      <c r="B461" s="7"/>
      <c r="C461" s="7"/>
      <c r="E461" s="7"/>
      <c r="F461" s="7"/>
      <c r="G461" s="222"/>
      <c r="H461" s="7"/>
      <c r="I461" s="7"/>
      <c r="J461" s="7"/>
      <c r="K461" s="7"/>
      <c r="L461" s="222"/>
      <c r="M461" s="7"/>
      <c r="N461" s="7"/>
      <c r="O461" s="7"/>
      <c r="P461" s="7"/>
      <c r="Q461" s="257"/>
      <c r="U461" s="7"/>
      <c r="V461" s="350"/>
      <c r="AD461" s="280"/>
    </row>
    <row r="462" customHeight="1" spans="1:30">
      <c r="A462" s="222"/>
      <c r="B462" s="7"/>
      <c r="C462" s="7"/>
      <c r="E462" s="7"/>
      <c r="F462" s="7"/>
      <c r="G462" s="222"/>
      <c r="H462" s="7"/>
      <c r="I462" s="7"/>
      <c r="J462" s="7"/>
      <c r="K462" s="7"/>
      <c r="L462" s="222"/>
      <c r="M462" s="7"/>
      <c r="N462" s="7"/>
      <c r="O462" s="7"/>
      <c r="P462" s="7"/>
      <c r="Q462" s="257"/>
      <c r="U462" s="7"/>
      <c r="V462" s="350"/>
      <c r="AD462" s="280"/>
    </row>
    <row r="463" customHeight="1" spans="1:30">
      <c r="A463" s="222"/>
      <c r="B463" s="7"/>
      <c r="C463" s="7"/>
      <c r="E463" s="7"/>
      <c r="F463" s="7"/>
      <c r="G463" s="222"/>
      <c r="H463" s="7"/>
      <c r="I463" s="7"/>
      <c r="J463" s="7"/>
      <c r="K463" s="7"/>
      <c r="L463" s="222"/>
      <c r="M463" s="7"/>
      <c r="N463" s="7"/>
      <c r="O463" s="7"/>
      <c r="P463" s="7"/>
      <c r="Q463" s="257"/>
      <c r="U463" s="7"/>
      <c r="V463" s="350"/>
      <c r="AD463" s="280"/>
    </row>
    <row r="464" customHeight="1" spans="1:30">
      <c r="A464" s="222"/>
      <c r="B464" s="7"/>
      <c r="C464" s="7"/>
      <c r="E464" s="7"/>
      <c r="F464" s="7"/>
      <c r="G464" s="222"/>
      <c r="H464" s="7"/>
      <c r="I464" s="7"/>
      <c r="J464" s="7"/>
      <c r="K464" s="7"/>
      <c r="L464" s="222"/>
      <c r="M464" s="7"/>
      <c r="N464" s="7"/>
      <c r="O464" s="7"/>
      <c r="P464" s="7"/>
      <c r="Q464" s="257"/>
      <c r="U464" s="7"/>
      <c r="V464" s="350"/>
      <c r="AD464" s="280"/>
    </row>
    <row r="465" customHeight="1" spans="1:30">
      <c r="A465" s="222"/>
      <c r="B465" s="7"/>
      <c r="C465" s="7"/>
      <c r="E465" s="7"/>
      <c r="F465" s="7"/>
      <c r="G465" s="222"/>
      <c r="H465" s="7"/>
      <c r="I465" s="7"/>
      <c r="J465" s="7"/>
      <c r="K465" s="7"/>
      <c r="L465" s="222"/>
      <c r="M465" s="7"/>
      <c r="N465" s="7"/>
      <c r="O465" s="7"/>
      <c r="P465" s="7"/>
      <c r="Q465" s="257"/>
      <c r="U465" s="7"/>
      <c r="V465" s="350"/>
      <c r="AD465" s="280"/>
    </row>
    <row r="466" customHeight="1" spans="1:30">
      <c r="A466" s="222"/>
      <c r="B466" s="7"/>
      <c r="C466" s="7"/>
      <c r="E466" s="7"/>
      <c r="F466" s="7"/>
      <c r="G466" s="222"/>
      <c r="H466" s="7"/>
      <c r="I466" s="7"/>
      <c r="J466" s="7"/>
      <c r="K466" s="7"/>
      <c r="L466" s="222"/>
      <c r="M466" s="7"/>
      <c r="N466" s="7"/>
      <c r="O466" s="7"/>
      <c r="P466" s="7"/>
      <c r="Q466" s="257"/>
      <c r="U466" s="7"/>
      <c r="V466" s="350"/>
      <c r="AD466" s="280"/>
    </row>
    <row r="467" customHeight="1" spans="1:30">
      <c r="A467" s="222"/>
      <c r="B467" s="7"/>
      <c r="C467" s="7"/>
      <c r="E467" s="7"/>
      <c r="F467" s="7"/>
      <c r="G467" s="222"/>
      <c r="H467" s="7"/>
      <c r="I467" s="7"/>
      <c r="J467" s="7"/>
      <c r="K467" s="7"/>
      <c r="L467" s="222"/>
      <c r="M467" s="7"/>
      <c r="N467" s="7"/>
      <c r="O467" s="7"/>
      <c r="P467" s="7"/>
      <c r="Q467" s="257"/>
      <c r="U467" s="7"/>
      <c r="V467" s="350"/>
      <c r="AD467" s="280"/>
    </row>
    <row r="468" customHeight="1" spans="1:30">
      <c r="A468" s="222"/>
      <c r="B468" s="7"/>
      <c r="C468" s="7"/>
      <c r="E468" s="7"/>
      <c r="F468" s="7"/>
      <c r="G468" s="222"/>
      <c r="H468" s="7"/>
      <c r="I468" s="7"/>
      <c r="J468" s="7"/>
      <c r="K468" s="7"/>
      <c r="L468" s="222"/>
      <c r="M468" s="7"/>
      <c r="N468" s="7"/>
      <c r="O468" s="7"/>
      <c r="P468" s="7"/>
      <c r="Q468" s="257"/>
      <c r="U468" s="7"/>
      <c r="V468" s="350"/>
      <c r="AD468" s="280"/>
    </row>
    <row r="469" customHeight="1" spans="1:30">
      <c r="A469" s="222"/>
      <c r="B469" s="7"/>
      <c r="C469" s="7"/>
      <c r="E469" s="7"/>
      <c r="F469" s="7"/>
      <c r="G469" s="222"/>
      <c r="H469" s="7"/>
      <c r="I469" s="7"/>
      <c r="J469" s="7"/>
      <c r="K469" s="7"/>
      <c r="L469" s="222"/>
      <c r="M469" s="7"/>
      <c r="N469" s="7"/>
      <c r="O469" s="7"/>
      <c r="P469" s="7"/>
      <c r="Q469" s="257"/>
      <c r="U469" s="7"/>
      <c r="V469" s="350"/>
      <c r="AD469" s="280"/>
    </row>
    <row r="470" customHeight="1" spans="1:30">
      <c r="A470" s="222"/>
      <c r="B470" s="7"/>
      <c r="C470" s="7"/>
      <c r="E470" s="7"/>
      <c r="F470" s="7"/>
      <c r="G470" s="222"/>
      <c r="H470" s="7"/>
      <c r="I470" s="7"/>
      <c r="J470" s="7"/>
      <c r="K470" s="7"/>
      <c r="L470" s="222"/>
      <c r="M470" s="7"/>
      <c r="N470" s="7"/>
      <c r="O470" s="7"/>
      <c r="P470" s="7"/>
      <c r="Q470" s="257"/>
      <c r="U470" s="7"/>
      <c r="V470" s="350"/>
      <c r="AD470" s="280"/>
    </row>
    <row r="471" customHeight="1" spans="1:30">
      <c r="A471" s="222"/>
      <c r="B471" s="7"/>
      <c r="C471" s="7"/>
      <c r="E471" s="7"/>
      <c r="F471" s="7"/>
      <c r="G471" s="222"/>
      <c r="H471" s="7"/>
      <c r="I471" s="7"/>
      <c r="J471" s="7"/>
      <c r="K471" s="7"/>
      <c r="L471" s="222"/>
      <c r="M471" s="7"/>
      <c r="N471" s="7"/>
      <c r="O471" s="7"/>
      <c r="P471" s="7"/>
      <c r="Q471" s="257"/>
      <c r="U471" s="7"/>
      <c r="V471" s="350"/>
      <c r="AD471" s="280"/>
    </row>
    <row r="472" customHeight="1" spans="1:30">
      <c r="A472" s="222"/>
      <c r="B472" s="7"/>
      <c r="C472" s="7"/>
      <c r="E472" s="7"/>
      <c r="F472" s="7"/>
      <c r="G472" s="222"/>
      <c r="H472" s="7"/>
      <c r="I472" s="7"/>
      <c r="J472" s="7"/>
      <c r="K472" s="7"/>
      <c r="L472" s="222"/>
      <c r="M472" s="7"/>
      <c r="N472" s="7"/>
      <c r="O472" s="7"/>
      <c r="P472" s="7"/>
      <c r="Q472" s="257"/>
      <c r="U472" s="7"/>
      <c r="V472" s="350"/>
      <c r="AD472" s="280"/>
    </row>
    <row r="473" customHeight="1" spans="1:30">
      <c r="A473" s="222"/>
      <c r="B473" s="7"/>
      <c r="C473" s="7"/>
      <c r="E473" s="7"/>
      <c r="F473" s="7"/>
      <c r="G473" s="222"/>
      <c r="H473" s="7"/>
      <c r="I473" s="7"/>
      <c r="J473" s="7"/>
      <c r="K473" s="7"/>
      <c r="L473" s="222"/>
      <c r="M473" s="7"/>
      <c r="N473" s="7"/>
      <c r="O473" s="7"/>
      <c r="P473" s="7"/>
      <c r="Q473" s="257"/>
      <c r="U473" s="7"/>
      <c r="V473" s="350"/>
      <c r="AD473" s="280"/>
    </row>
    <row r="474" customHeight="1" spans="1:30">
      <c r="A474" s="222"/>
      <c r="B474" s="7"/>
      <c r="C474" s="7"/>
      <c r="E474" s="7"/>
      <c r="F474" s="7"/>
      <c r="G474" s="222"/>
      <c r="H474" s="7"/>
      <c r="I474" s="7"/>
      <c r="J474" s="7"/>
      <c r="K474" s="7"/>
      <c r="L474" s="222"/>
      <c r="M474" s="7"/>
      <c r="N474" s="7"/>
      <c r="O474" s="7"/>
      <c r="P474" s="7"/>
      <c r="Q474" s="257"/>
      <c r="U474" s="7"/>
      <c r="V474" s="350"/>
      <c r="AD474" s="280"/>
    </row>
    <row r="475" customHeight="1" spans="1:30">
      <c r="A475" s="222"/>
      <c r="B475" s="7"/>
      <c r="C475" s="7"/>
      <c r="E475" s="7"/>
      <c r="F475" s="7"/>
      <c r="G475" s="222"/>
      <c r="H475" s="7"/>
      <c r="I475" s="7"/>
      <c r="J475" s="7"/>
      <c r="K475" s="7"/>
      <c r="L475" s="222"/>
      <c r="M475" s="7"/>
      <c r="N475" s="7"/>
      <c r="O475" s="7"/>
      <c r="P475" s="7"/>
      <c r="Q475" s="257"/>
      <c r="U475" s="7"/>
      <c r="V475" s="350"/>
      <c r="AD475" s="280"/>
    </row>
    <row r="476" customHeight="1" spans="1:30">
      <c r="A476" s="222"/>
      <c r="B476" s="7"/>
      <c r="C476" s="7"/>
      <c r="E476" s="7"/>
      <c r="F476" s="7"/>
      <c r="G476" s="222"/>
      <c r="H476" s="7"/>
      <c r="I476" s="7"/>
      <c r="J476" s="7"/>
      <c r="K476" s="7"/>
      <c r="L476" s="222"/>
      <c r="M476" s="7"/>
      <c r="N476" s="7"/>
      <c r="O476" s="7"/>
      <c r="P476" s="7"/>
      <c r="Q476" s="257"/>
      <c r="U476" s="7"/>
      <c r="V476" s="350"/>
      <c r="AD476" s="280"/>
    </row>
    <row r="477" customHeight="1" spans="1:30">
      <c r="A477" s="222"/>
      <c r="B477" s="7"/>
      <c r="C477" s="7"/>
      <c r="E477" s="7"/>
      <c r="F477" s="7"/>
      <c r="G477" s="222"/>
      <c r="H477" s="7"/>
      <c r="I477" s="7"/>
      <c r="J477" s="7"/>
      <c r="K477" s="7"/>
      <c r="L477" s="222"/>
      <c r="M477" s="7"/>
      <c r="N477" s="7"/>
      <c r="O477" s="7"/>
      <c r="P477" s="7"/>
      <c r="Q477" s="257"/>
      <c r="U477" s="7"/>
      <c r="V477" s="350"/>
      <c r="AD477" s="280"/>
    </row>
    <row r="478" customHeight="1" spans="1:30">
      <c r="A478" s="222"/>
      <c r="B478" s="7"/>
      <c r="C478" s="7"/>
      <c r="E478" s="7"/>
      <c r="F478" s="7"/>
      <c r="G478" s="222"/>
      <c r="H478" s="7"/>
      <c r="I478" s="7"/>
      <c r="J478" s="7"/>
      <c r="K478" s="7"/>
      <c r="L478" s="222"/>
      <c r="M478" s="7"/>
      <c r="N478" s="7"/>
      <c r="O478" s="7"/>
      <c r="P478" s="7"/>
      <c r="Q478" s="257"/>
      <c r="U478" s="7"/>
      <c r="V478" s="350"/>
      <c r="AD478" s="280"/>
    </row>
    <row r="479" customHeight="1" spans="1:30">
      <c r="A479" s="222"/>
      <c r="B479" s="7"/>
      <c r="C479" s="7"/>
      <c r="E479" s="7"/>
      <c r="F479" s="7"/>
      <c r="G479" s="222"/>
      <c r="H479" s="7"/>
      <c r="I479" s="7"/>
      <c r="J479" s="7"/>
      <c r="K479" s="7"/>
      <c r="L479" s="222"/>
      <c r="M479" s="7"/>
      <c r="N479" s="7"/>
      <c r="O479" s="7"/>
      <c r="P479" s="7"/>
      <c r="Q479" s="257"/>
      <c r="U479" s="7"/>
      <c r="V479" s="350"/>
      <c r="AD479" s="280"/>
    </row>
    <row r="480" customHeight="1" spans="1:30">
      <c r="A480" s="222"/>
      <c r="B480" s="7"/>
      <c r="C480" s="7"/>
      <c r="E480" s="7"/>
      <c r="F480" s="7"/>
      <c r="G480" s="222"/>
      <c r="H480" s="7"/>
      <c r="I480" s="7"/>
      <c r="J480" s="7"/>
      <c r="K480" s="7"/>
      <c r="L480" s="222"/>
      <c r="M480" s="7"/>
      <c r="N480" s="7"/>
      <c r="O480" s="7"/>
      <c r="P480" s="7"/>
      <c r="Q480" s="257"/>
      <c r="U480" s="7"/>
      <c r="V480" s="350"/>
      <c r="AD480" s="280"/>
    </row>
    <row r="481" customHeight="1" spans="1:30">
      <c r="A481" s="222"/>
      <c r="B481" s="7"/>
      <c r="C481" s="7"/>
      <c r="E481" s="7"/>
      <c r="F481" s="7"/>
      <c r="G481" s="222"/>
      <c r="H481" s="7"/>
      <c r="I481" s="7"/>
      <c r="J481" s="7"/>
      <c r="K481" s="7"/>
      <c r="L481" s="222"/>
      <c r="M481" s="7"/>
      <c r="N481" s="7"/>
      <c r="O481" s="7"/>
      <c r="P481" s="7"/>
      <c r="Q481" s="257"/>
      <c r="U481" s="7"/>
      <c r="V481" s="350"/>
      <c r="AD481" s="280"/>
    </row>
    <row r="482" customHeight="1" spans="1:30">
      <c r="A482" s="222"/>
      <c r="B482" s="7"/>
      <c r="C482" s="7"/>
      <c r="E482" s="7"/>
      <c r="F482" s="7"/>
      <c r="G482" s="222"/>
      <c r="H482" s="7"/>
      <c r="I482" s="7"/>
      <c r="J482" s="7"/>
      <c r="K482" s="7"/>
      <c r="L482" s="222"/>
      <c r="M482" s="7"/>
      <c r="N482" s="7"/>
      <c r="O482" s="7"/>
      <c r="P482" s="7"/>
      <c r="Q482" s="257"/>
      <c r="U482" s="7"/>
      <c r="V482" s="350"/>
      <c r="AD482" s="280"/>
    </row>
    <row r="483" customHeight="1" spans="1:30">
      <c r="A483" s="222"/>
      <c r="B483" s="7"/>
      <c r="C483" s="7"/>
      <c r="E483" s="7"/>
      <c r="F483" s="7"/>
      <c r="G483" s="222"/>
      <c r="H483" s="7"/>
      <c r="I483" s="7"/>
      <c r="J483" s="7"/>
      <c r="K483" s="7"/>
      <c r="L483" s="222"/>
      <c r="M483" s="7"/>
      <c r="N483" s="7"/>
      <c r="O483" s="7"/>
      <c r="P483" s="7"/>
      <c r="Q483" s="257"/>
      <c r="U483" s="7"/>
      <c r="V483" s="350"/>
      <c r="AD483" s="280"/>
    </row>
    <row r="484" customHeight="1" spans="1:30">
      <c r="A484" s="222"/>
      <c r="B484" s="7"/>
      <c r="C484" s="7"/>
      <c r="E484" s="7"/>
      <c r="F484" s="7"/>
      <c r="G484" s="222"/>
      <c r="H484" s="7"/>
      <c r="I484" s="7"/>
      <c r="J484" s="7"/>
      <c r="K484" s="7"/>
      <c r="L484" s="222"/>
      <c r="M484" s="7"/>
      <c r="N484" s="7"/>
      <c r="O484" s="7"/>
      <c r="P484" s="7"/>
      <c r="Q484" s="257"/>
      <c r="U484" s="7"/>
      <c r="V484" s="350"/>
      <c r="AD484" s="280"/>
    </row>
    <row r="485" customHeight="1" spans="1:30">
      <c r="A485" s="222"/>
      <c r="B485" s="7"/>
      <c r="C485" s="7"/>
      <c r="E485" s="7"/>
      <c r="F485" s="7"/>
      <c r="G485" s="222"/>
      <c r="H485" s="7"/>
      <c r="I485" s="7"/>
      <c r="J485" s="7"/>
      <c r="K485" s="7"/>
      <c r="L485" s="222"/>
      <c r="M485" s="7"/>
      <c r="N485" s="7"/>
      <c r="O485" s="7"/>
      <c r="P485" s="7"/>
      <c r="Q485" s="257"/>
      <c r="U485" s="7"/>
      <c r="V485" s="350"/>
      <c r="AD485" s="280"/>
    </row>
    <row r="486" customHeight="1" spans="1:30">
      <c r="A486" s="222"/>
      <c r="B486" s="7"/>
      <c r="C486" s="7"/>
      <c r="E486" s="7"/>
      <c r="F486" s="7"/>
      <c r="G486" s="222"/>
      <c r="H486" s="7"/>
      <c r="I486" s="7"/>
      <c r="J486" s="7"/>
      <c r="K486" s="7"/>
      <c r="L486" s="222"/>
      <c r="M486" s="7"/>
      <c r="N486" s="7"/>
      <c r="O486" s="7"/>
      <c r="P486" s="7"/>
      <c r="Q486" s="257"/>
      <c r="U486" s="7"/>
      <c r="V486" s="350"/>
      <c r="AD486" s="280"/>
    </row>
    <row r="487" customHeight="1" spans="1:30">
      <c r="A487" s="222"/>
      <c r="B487" s="7"/>
      <c r="C487" s="7"/>
      <c r="E487" s="7"/>
      <c r="F487" s="7"/>
      <c r="G487" s="222"/>
      <c r="H487" s="7"/>
      <c r="I487" s="7"/>
      <c r="J487" s="7"/>
      <c r="K487" s="7"/>
      <c r="L487" s="222"/>
      <c r="M487" s="7"/>
      <c r="N487" s="7"/>
      <c r="O487" s="7"/>
      <c r="P487" s="7"/>
      <c r="Q487" s="257"/>
      <c r="U487" s="7"/>
      <c r="V487" s="350"/>
      <c r="AD487" s="280"/>
    </row>
    <row r="488" customHeight="1" spans="1:30">
      <c r="A488" s="222"/>
      <c r="B488" s="7"/>
      <c r="C488" s="7"/>
      <c r="E488" s="7"/>
      <c r="F488" s="7"/>
      <c r="G488" s="222"/>
      <c r="H488" s="7"/>
      <c r="I488" s="7"/>
      <c r="J488" s="7"/>
      <c r="K488" s="7"/>
      <c r="L488" s="222"/>
      <c r="M488" s="7"/>
      <c r="N488" s="7"/>
      <c r="O488" s="7"/>
      <c r="P488" s="7"/>
      <c r="Q488" s="257"/>
      <c r="U488" s="7"/>
      <c r="V488" s="350"/>
      <c r="AD488" s="280"/>
    </row>
    <row r="489" customHeight="1" spans="1:30">
      <c r="A489" s="222"/>
      <c r="B489" s="7"/>
      <c r="C489" s="7"/>
      <c r="E489" s="7"/>
      <c r="F489" s="7"/>
      <c r="G489" s="222"/>
      <c r="H489" s="7"/>
      <c r="I489" s="7"/>
      <c r="J489" s="7"/>
      <c r="K489" s="7"/>
      <c r="L489" s="222"/>
      <c r="M489" s="7"/>
      <c r="N489" s="7"/>
      <c r="O489" s="7"/>
      <c r="P489" s="7"/>
      <c r="Q489" s="257"/>
      <c r="U489" s="7"/>
      <c r="V489" s="350"/>
      <c r="AD489" s="280"/>
    </row>
    <row r="490" customHeight="1" spans="1:30">
      <c r="A490" s="222"/>
      <c r="B490" s="7"/>
      <c r="C490" s="7"/>
      <c r="E490" s="7"/>
      <c r="F490" s="7"/>
      <c r="G490" s="222"/>
      <c r="H490" s="7"/>
      <c r="I490" s="7"/>
      <c r="J490" s="7"/>
      <c r="K490" s="7"/>
      <c r="L490" s="222"/>
      <c r="M490" s="7"/>
      <c r="N490" s="7"/>
      <c r="O490" s="7"/>
      <c r="P490" s="7"/>
      <c r="Q490" s="257"/>
      <c r="U490" s="7"/>
      <c r="V490" s="350"/>
      <c r="AD490" s="280"/>
    </row>
    <row r="491" customHeight="1" spans="1:30">
      <c r="A491" s="222"/>
      <c r="B491" s="7"/>
      <c r="C491" s="7"/>
      <c r="E491" s="7"/>
      <c r="F491" s="7"/>
      <c r="G491" s="222"/>
      <c r="H491" s="7"/>
      <c r="I491" s="7"/>
      <c r="J491" s="7"/>
      <c r="K491" s="7"/>
      <c r="L491" s="222"/>
      <c r="M491" s="7"/>
      <c r="N491" s="7"/>
      <c r="O491" s="7"/>
      <c r="P491" s="7"/>
      <c r="Q491" s="257"/>
      <c r="U491" s="7"/>
      <c r="V491" s="350"/>
      <c r="AD491" s="280"/>
    </row>
    <row r="492" customHeight="1" spans="1:30">
      <c r="A492" s="222"/>
      <c r="B492" s="7"/>
      <c r="C492" s="7"/>
      <c r="E492" s="7"/>
      <c r="F492" s="7"/>
      <c r="G492" s="222"/>
      <c r="H492" s="7"/>
      <c r="I492" s="7"/>
      <c r="J492" s="7"/>
      <c r="K492" s="7"/>
      <c r="L492" s="222"/>
      <c r="M492" s="7"/>
      <c r="N492" s="7"/>
      <c r="O492" s="7"/>
      <c r="P492" s="7"/>
      <c r="Q492" s="257"/>
      <c r="U492" s="7"/>
      <c r="V492" s="350"/>
      <c r="AD492" s="280"/>
    </row>
    <row r="493" customHeight="1" spans="1:30">
      <c r="A493" s="222"/>
      <c r="B493" s="7"/>
      <c r="C493" s="7"/>
      <c r="E493" s="7"/>
      <c r="F493" s="7"/>
      <c r="G493" s="222"/>
      <c r="H493" s="7"/>
      <c r="I493" s="7"/>
      <c r="J493" s="7"/>
      <c r="K493" s="7"/>
      <c r="L493" s="222"/>
      <c r="M493" s="7"/>
      <c r="N493" s="7"/>
      <c r="O493" s="7"/>
      <c r="P493" s="7"/>
      <c r="Q493" s="257"/>
      <c r="U493" s="7"/>
      <c r="V493" s="350"/>
      <c r="AD493" s="280"/>
    </row>
    <row r="494" customHeight="1" spans="1:30">
      <c r="A494" s="222"/>
      <c r="B494" s="7"/>
      <c r="C494" s="7"/>
      <c r="E494" s="7"/>
      <c r="F494" s="7"/>
      <c r="G494" s="222"/>
      <c r="H494" s="7"/>
      <c r="I494" s="7"/>
      <c r="J494" s="7"/>
      <c r="K494" s="7"/>
      <c r="L494" s="222"/>
      <c r="M494" s="7"/>
      <c r="N494" s="7"/>
      <c r="O494" s="7"/>
      <c r="P494" s="7"/>
      <c r="Q494" s="257"/>
      <c r="U494" s="7"/>
      <c r="V494" s="350"/>
      <c r="AD494" s="280"/>
    </row>
    <row r="495" customHeight="1" spans="1:30">
      <c r="A495" s="222"/>
      <c r="B495" s="7"/>
      <c r="C495" s="7"/>
      <c r="E495" s="7"/>
      <c r="F495" s="7"/>
      <c r="G495" s="222"/>
      <c r="H495" s="7"/>
      <c r="I495" s="7"/>
      <c r="J495" s="7"/>
      <c r="K495" s="7"/>
      <c r="L495" s="222"/>
      <c r="M495" s="7"/>
      <c r="N495" s="7"/>
      <c r="O495" s="7"/>
      <c r="P495" s="7"/>
      <c r="Q495" s="257"/>
      <c r="U495" s="7"/>
      <c r="V495" s="350"/>
      <c r="AD495" s="280"/>
    </row>
    <row r="496" customHeight="1" spans="1:30">
      <c r="A496" s="222"/>
      <c r="B496" s="7"/>
      <c r="C496" s="7"/>
      <c r="E496" s="7"/>
      <c r="F496" s="7"/>
      <c r="G496" s="222"/>
      <c r="H496" s="7"/>
      <c r="I496" s="7"/>
      <c r="J496" s="7"/>
      <c r="K496" s="7"/>
      <c r="L496" s="222"/>
      <c r="M496" s="7"/>
      <c r="N496" s="7"/>
      <c r="O496" s="7"/>
      <c r="P496" s="7"/>
      <c r="Q496" s="257"/>
      <c r="U496" s="7"/>
      <c r="V496" s="350"/>
      <c r="AD496" s="280"/>
    </row>
    <row r="497" customHeight="1" spans="1:30">
      <c r="A497" s="222"/>
      <c r="B497" s="7"/>
      <c r="C497" s="7"/>
      <c r="E497" s="7"/>
      <c r="F497" s="7"/>
      <c r="G497" s="222"/>
      <c r="H497" s="7"/>
      <c r="I497" s="7"/>
      <c r="J497" s="7"/>
      <c r="K497" s="7"/>
      <c r="L497" s="222"/>
      <c r="M497" s="7"/>
      <c r="N497" s="7"/>
      <c r="O497" s="7"/>
      <c r="P497" s="7"/>
      <c r="Q497" s="257"/>
      <c r="U497" s="7"/>
      <c r="V497" s="350"/>
      <c r="AD497" s="280"/>
    </row>
    <row r="498" customHeight="1" spans="1:30">
      <c r="A498" s="222"/>
      <c r="B498" s="7"/>
      <c r="C498" s="7"/>
      <c r="E498" s="7"/>
      <c r="F498" s="7"/>
      <c r="G498" s="222"/>
      <c r="H498" s="7"/>
      <c r="I498" s="7"/>
      <c r="J498" s="7"/>
      <c r="K498" s="7"/>
      <c r="L498" s="222"/>
      <c r="M498" s="7"/>
      <c r="N498" s="7"/>
      <c r="O498" s="7"/>
      <c r="P498" s="7"/>
      <c r="Q498" s="257"/>
      <c r="U498" s="7"/>
      <c r="V498" s="350"/>
      <c r="AD498" s="280"/>
    </row>
    <row r="499" customHeight="1" spans="1:30">
      <c r="A499" s="222"/>
      <c r="B499" s="7"/>
      <c r="C499" s="7"/>
      <c r="E499" s="7"/>
      <c r="F499" s="7"/>
      <c r="G499" s="222"/>
      <c r="H499" s="7"/>
      <c r="I499" s="7"/>
      <c r="J499" s="7"/>
      <c r="K499" s="7"/>
      <c r="L499" s="222"/>
      <c r="M499" s="7"/>
      <c r="N499" s="7"/>
      <c r="O499" s="7"/>
      <c r="P499" s="7"/>
      <c r="Q499" s="257"/>
      <c r="U499" s="7"/>
      <c r="V499" s="350"/>
      <c r="AD499" s="280"/>
    </row>
    <row r="500" customHeight="1" spans="1:30">
      <c r="A500" s="222"/>
      <c r="B500" s="7"/>
      <c r="C500" s="7"/>
      <c r="E500" s="7"/>
      <c r="F500" s="7"/>
      <c r="G500" s="222"/>
      <c r="H500" s="7"/>
      <c r="I500" s="7"/>
      <c r="J500" s="7"/>
      <c r="K500" s="7"/>
      <c r="L500" s="222"/>
      <c r="M500" s="7"/>
      <c r="N500" s="7"/>
      <c r="O500" s="7"/>
      <c r="P500" s="7"/>
      <c r="Q500" s="257"/>
      <c r="U500" s="7"/>
      <c r="V500" s="350"/>
      <c r="AD500" s="280"/>
    </row>
    <row r="501" customHeight="1" spans="1:30">
      <c r="A501" s="222"/>
      <c r="B501" s="7"/>
      <c r="C501" s="7"/>
      <c r="E501" s="7"/>
      <c r="F501" s="7"/>
      <c r="G501" s="222"/>
      <c r="H501" s="7"/>
      <c r="I501" s="7"/>
      <c r="J501" s="7"/>
      <c r="K501" s="7"/>
      <c r="L501" s="222"/>
      <c r="M501" s="7"/>
      <c r="N501" s="7"/>
      <c r="O501" s="7"/>
      <c r="P501" s="7"/>
      <c r="Q501" s="257"/>
      <c r="U501" s="7"/>
      <c r="V501" s="350"/>
      <c r="AD501" s="280"/>
    </row>
    <row r="502" customHeight="1" spans="1:30">
      <c r="A502" s="222"/>
      <c r="B502" s="7"/>
      <c r="C502" s="7"/>
      <c r="E502" s="7"/>
      <c r="F502" s="7"/>
      <c r="G502" s="222"/>
      <c r="H502" s="7"/>
      <c r="I502" s="7"/>
      <c r="J502" s="7"/>
      <c r="K502" s="7"/>
      <c r="L502" s="222"/>
      <c r="M502" s="7"/>
      <c r="N502" s="7"/>
      <c r="O502" s="7"/>
      <c r="P502" s="7"/>
      <c r="Q502" s="257"/>
      <c r="U502" s="7"/>
      <c r="V502" s="350"/>
      <c r="AD502" s="280"/>
    </row>
    <row r="503" customHeight="1" spans="1:30">
      <c r="A503" s="222"/>
      <c r="B503" s="7"/>
      <c r="C503" s="7"/>
      <c r="E503" s="7"/>
      <c r="F503" s="7"/>
      <c r="G503" s="222"/>
      <c r="H503" s="7"/>
      <c r="I503" s="7"/>
      <c r="J503" s="7"/>
      <c r="K503" s="7"/>
      <c r="L503" s="222"/>
      <c r="M503" s="7"/>
      <c r="N503" s="7"/>
      <c r="O503" s="7"/>
      <c r="P503" s="7"/>
      <c r="Q503" s="257"/>
      <c r="U503" s="7"/>
      <c r="V503" s="350"/>
      <c r="AD503" s="280"/>
    </row>
    <row r="504" customHeight="1" spans="1:30">
      <c r="A504" s="222"/>
      <c r="B504" s="7"/>
      <c r="C504" s="7"/>
      <c r="E504" s="7"/>
      <c r="F504" s="7"/>
      <c r="G504" s="222"/>
      <c r="H504" s="7"/>
      <c r="I504" s="7"/>
      <c r="J504" s="7"/>
      <c r="K504" s="7"/>
      <c r="L504" s="222"/>
      <c r="M504" s="7"/>
      <c r="N504" s="7"/>
      <c r="O504" s="7"/>
      <c r="P504" s="7"/>
      <c r="Q504" s="257"/>
      <c r="U504" s="7"/>
      <c r="V504" s="350"/>
      <c r="AD504" s="280"/>
    </row>
    <row r="505" customHeight="1" spans="1:30">
      <c r="A505" s="222"/>
      <c r="B505" s="7"/>
      <c r="C505" s="7"/>
      <c r="E505" s="7"/>
      <c r="F505" s="7"/>
      <c r="G505" s="222"/>
      <c r="H505" s="7"/>
      <c r="I505" s="7"/>
      <c r="J505" s="7"/>
      <c r="K505" s="7"/>
      <c r="L505" s="222"/>
      <c r="M505" s="7"/>
      <c r="N505" s="7"/>
      <c r="O505" s="7"/>
      <c r="P505" s="7"/>
      <c r="Q505" s="257"/>
      <c r="U505" s="7"/>
      <c r="V505" s="350"/>
      <c r="AD505" s="280"/>
    </row>
    <row r="506" customHeight="1" spans="1:30">
      <c r="A506" s="222"/>
      <c r="B506" s="7"/>
      <c r="C506" s="7"/>
      <c r="E506" s="7"/>
      <c r="F506" s="7"/>
      <c r="G506" s="222"/>
      <c r="H506" s="7"/>
      <c r="I506" s="7"/>
      <c r="J506" s="7"/>
      <c r="K506" s="7"/>
      <c r="L506" s="222"/>
      <c r="M506" s="7"/>
      <c r="N506" s="7"/>
      <c r="O506" s="7"/>
      <c r="P506" s="7"/>
      <c r="Q506" s="257"/>
      <c r="U506" s="7"/>
      <c r="V506" s="350"/>
      <c r="AD506" s="280"/>
    </row>
    <row r="507" customHeight="1" spans="1:30">
      <c r="A507" s="222"/>
      <c r="B507" s="7"/>
      <c r="C507" s="7"/>
      <c r="E507" s="7"/>
      <c r="F507" s="7"/>
      <c r="G507" s="222"/>
      <c r="H507" s="7"/>
      <c r="I507" s="7"/>
      <c r="J507" s="7"/>
      <c r="K507" s="7"/>
      <c r="L507" s="222"/>
      <c r="M507" s="7"/>
      <c r="N507" s="7"/>
      <c r="O507" s="7"/>
      <c r="P507" s="7"/>
      <c r="Q507" s="257"/>
      <c r="U507" s="7"/>
      <c r="V507" s="350"/>
      <c r="AD507" s="280"/>
    </row>
    <row r="508" customHeight="1" spans="1:30">
      <c r="A508" s="222"/>
      <c r="B508" s="7"/>
      <c r="C508" s="7"/>
      <c r="E508" s="7"/>
      <c r="F508" s="7"/>
      <c r="G508" s="222"/>
      <c r="H508" s="7"/>
      <c r="I508" s="7"/>
      <c r="J508" s="7"/>
      <c r="K508" s="7"/>
      <c r="L508" s="222"/>
      <c r="M508" s="7"/>
      <c r="N508" s="7"/>
      <c r="O508" s="7"/>
      <c r="P508" s="7"/>
      <c r="Q508" s="257"/>
      <c r="U508" s="7"/>
      <c r="V508" s="350"/>
      <c r="AD508" s="280"/>
    </row>
    <row r="509" customHeight="1" spans="1:30">
      <c r="A509" s="222"/>
      <c r="B509" s="7"/>
      <c r="C509" s="7"/>
      <c r="E509" s="7"/>
      <c r="F509" s="7"/>
      <c r="G509" s="222"/>
      <c r="H509" s="7"/>
      <c r="I509" s="7"/>
      <c r="J509" s="7"/>
      <c r="K509" s="7"/>
      <c r="L509" s="222"/>
      <c r="M509" s="7"/>
      <c r="N509" s="7"/>
      <c r="O509" s="7"/>
      <c r="P509" s="7"/>
      <c r="Q509" s="257"/>
      <c r="U509" s="7"/>
      <c r="V509" s="350"/>
      <c r="AD509" s="280"/>
    </row>
    <row r="510" customHeight="1" spans="1:30">
      <c r="A510" s="222"/>
      <c r="B510" s="7"/>
      <c r="C510" s="7"/>
      <c r="E510" s="7"/>
      <c r="F510" s="7"/>
      <c r="G510" s="222"/>
      <c r="H510" s="7"/>
      <c r="I510" s="7"/>
      <c r="J510" s="7"/>
      <c r="K510" s="7"/>
      <c r="L510" s="222"/>
      <c r="M510" s="7"/>
      <c r="N510" s="7"/>
      <c r="O510" s="7"/>
      <c r="P510" s="7"/>
      <c r="Q510" s="257"/>
      <c r="U510" s="7"/>
      <c r="V510" s="350"/>
      <c r="AD510" s="280"/>
    </row>
    <row r="511" customHeight="1" spans="1:30">
      <c r="A511" s="222"/>
      <c r="B511" s="7"/>
      <c r="C511" s="7"/>
      <c r="E511" s="7"/>
      <c r="F511" s="7"/>
      <c r="G511" s="222"/>
      <c r="H511" s="7"/>
      <c r="I511" s="7"/>
      <c r="J511" s="7"/>
      <c r="K511" s="7"/>
      <c r="L511" s="222"/>
      <c r="M511" s="7"/>
      <c r="N511" s="7"/>
      <c r="O511" s="7"/>
      <c r="P511" s="7"/>
      <c r="Q511" s="257"/>
      <c r="U511" s="7"/>
      <c r="V511" s="350"/>
      <c r="AD511" s="280"/>
    </row>
    <row r="512" customHeight="1" spans="1:30">
      <c r="A512" s="222"/>
      <c r="B512" s="7"/>
      <c r="C512" s="7"/>
      <c r="E512" s="7"/>
      <c r="F512" s="7"/>
      <c r="G512" s="222"/>
      <c r="H512" s="7"/>
      <c r="I512" s="7"/>
      <c r="J512" s="7"/>
      <c r="K512" s="7"/>
      <c r="L512" s="222"/>
      <c r="M512" s="7"/>
      <c r="N512" s="7"/>
      <c r="O512" s="7"/>
      <c r="P512" s="7"/>
      <c r="Q512" s="257"/>
      <c r="U512" s="7"/>
      <c r="V512" s="350"/>
      <c r="AD512" s="280"/>
    </row>
    <row r="513" customHeight="1" spans="1:30">
      <c r="A513" s="222"/>
      <c r="B513" s="7"/>
      <c r="C513" s="7"/>
      <c r="E513" s="7"/>
      <c r="F513" s="7"/>
      <c r="G513" s="222"/>
      <c r="H513" s="7"/>
      <c r="I513" s="7"/>
      <c r="J513" s="7"/>
      <c r="K513" s="7"/>
      <c r="L513" s="222"/>
      <c r="M513" s="7"/>
      <c r="N513" s="7"/>
      <c r="O513" s="7"/>
      <c r="P513" s="7"/>
      <c r="Q513" s="257"/>
      <c r="U513" s="7"/>
      <c r="V513" s="350"/>
      <c r="AD513" s="280"/>
    </row>
    <row r="514" customHeight="1" spans="1:30">
      <c r="A514" s="222"/>
      <c r="B514" s="7"/>
      <c r="C514" s="7"/>
      <c r="E514" s="7"/>
      <c r="F514" s="7"/>
      <c r="G514" s="222"/>
      <c r="H514" s="7"/>
      <c r="I514" s="7"/>
      <c r="J514" s="7"/>
      <c r="K514" s="7"/>
      <c r="L514" s="222"/>
      <c r="M514" s="7"/>
      <c r="N514" s="7"/>
      <c r="O514" s="7"/>
      <c r="P514" s="7"/>
      <c r="Q514" s="257"/>
      <c r="U514" s="7"/>
      <c r="V514" s="350"/>
      <c r="AD514" s="280"/>
    </row>
    <row r="515" customHeight="1" spans="1:30">
      <c r="A515" s="222"/>
      <c r="B515" s="7"/>
      <c r="C515" s="7"/>
      <c r="E515" s="7"/>
      <c r="F515" s="7"/>
      <c r="G515" s="222"/>
      <c r="H515" s="7"/>
      <c r="I515" s="7"/>
      <c r="J515" s="7"/>
      <c r="K515" s="7"/>
      <c r="L515" s="222"/>
      <c r="M515" s="7"/>
      <c r="N515" s="7"/>
      <c r="O515" s="7"/>
      <c r="P515" s="7"/>
      <c r="Q515" s="257"/>
      <c r="U515" s="7"/>
      <c r="V515" s="350"/>
      <c r="AD515" s="280"/>
    </row>
    <row r="516" customHeight="1" spans="1:30">
      <c r="A516" s="222"/>
      <c r="B516" s="7"/>
      <c r="C516" s="7"/>
      <c r="E516" s="7"/>
      <c r="F516" s="7"/>
      <c r="G516" s="222"/>
      <c r="H516" s="7"/>
      <c r="I516" s="7"/>
      <c r="J516" s="7"/>
      <c r="K516" s="7"/>
      <c r="L516" s="222"/>
      <c r="M516" s="7"/>
      <c r="N516" s="7"/>
      <c r="O516" s="7"/>
      <c r="P516" s="7"/>
      <c r="Q516" s="257"/>
      <c r="U516" s="7"/>
      <c r="V516" s="350"/>
      <c r="AD516" s="280"/>
    </row>
    <row r="517" customHeight="1" spans="1:30">
      <c r="A517" s="222"/>
      <c r="B517" s="7"/>
      <c r="C517" s="7"/>
      <c r="E517" s="7"/>
      <c r="F517" s="7"/>
      <c r="G517" s="222"/>
      <c r="H517" s="7"/>
      <c r="I517" s="7"/>
      <c r="J517" s="7"/>
      <c r="K517" s="7"/>
      <c r="L517" s="222"/>
      <c r="M517" s="7"/>
      <c r="N517" s="7"/>
      <c r="O517" s="7"/>
      <c r="P517" s="7"/>
      <c r="Q517" s="257"/>
      <c r="U517" s="7"/>
      <c r="V517" s="350"/>
      <c r="AD517" s="280"/>
    </row>
    <row r="518" customHeight="1" spans="1:30">
      <c r="A518" s="222"/>
      <c r="B518" s="7"/>
      <c r="C518" s="7"/>
      <c r="E518" s="7"/>
      <c r="F518" s="7"/>
      <c r="G518" s="222"/>
      <c r="H518" s="7"/>
      <c r="I518" s="7"/>
      <c r="J518" s="7"/>
      <c r="K518" s="7"/>
      <c r="L518" s="222"/>
      <c r="M518" s="7"/>
      <c r="N518" s="7"/>
      <c r="O518" s="7"/>
      <c r="P518" s="7"/>
      <c r="Q518" s="257"/>
      <c r="U518" s="7"/>
      <c r="V518" s="350"/>
      <c r="AD518" s="280"/>
    </row>
    <row r="519" customHeight="1" spans="1:30">
      <c r="A519" s="222"/>
      <c r="B519" s="7"/>
      <c r="C519" s="7"/>
      <c r="E519" s="7"/>
      <c r="F519" s="7"/>
      <c r="G519" s="222"/>
      <c r="H519" s="7"/>
      <c r="I519" s="7"/>
      <c r="J519" s="7"/>
      <c r="K519" s="7"/>
      <c r="L519" s="222"/>
      <c r="M519" s="7"/>
      <c r="N519" s="7"/>
      <c r="O519" s="7"/>
      <c r="P519" s="7"/>
      <c r="Q519" s="257"/>
      <c r="U519" s="7"/>
      <c r="V519" s="350"/>
      <c r="AD519" s="280"/>
    </row>
    <row r="520" customHeight="1" spans="1:30">
      <c r="A520" s="222"/>
      <c r="B520" s="7"/>
      <c r="C520" s="7"/>
      <c r="E520" s="7"/>
      <c r="F520" s="7"/>
      <c r="G520" s="222"/>
      <c r="H520" s="7"/>
      <c r="I520" s="7"/>
      <c r="J520" s="7"/>
      <c r="K520" s="7"/>
      <c r="L520" s="222"/>
      <c r="M520" s="7"/>
      <c r="N520" s="7"/>
      <c r="O520" s="7"/>
      <c r="P520" s="7"/>
      <c r="Q520" s="257"/>
      <c r="U520" s="7"/>
      <c r="V520" s="350"/>
      <c r="AD520" s="280"/>
    </row>
    <row r="521" customHeight="1" spans="1:30">
      <c r="A521" s="222"/>
      <c r="B521" s="7"/>
      <c r="C521" s="7"/>
      <c r="E521" s="7"/>
      <c r="F521" s="7"/>
      <c r="G521" s="222"/>
      <c r="H521" s="7"/>
      <c r="I521" s="7"/>
      <c r="J521" s="7"/>
      <c r="K521" s="7"/>
      <c r="L521" s="222"/>
      <c r="M521" s="7"/>
      <c r="N521" s="7"/>
      <c r="O521" s="7"/>
      <c r="P521" s="7"/>
      <c r="Q521" s="257"/>
      <c r="U521" s="7"/>
      <c r="V521" s="350"/>
      <c r="AD521" s="280"/>
    </row>
    <row r="522" customHeight="1" spans="1:30">
      <c r="A522" s="222"/>
      <c r="B522" s="7"/>
      <c r="C522" s="7"/>
      <c r="E522" s="7"/>
      <c r="F522" s="7"/>
      <c r="G522" s="222"/>
      <c r="H522" s="7"/>
      <c r="I522" s="7"/>
      <c r="J522" s="7"/>
      <c r="K522" s="7"/>
      <c r="L522" s="222"/>
      <c r="M522" s="7"/>
      <c r="N522" s="7"/>
      <c r="O522" s="7"/>
      <c r="P522" s="7"/>
      <c r="Q522" s="257"/>
      <c r="U522" s="7"/>
      <c r="V522" s="350"/>
      <c r="AD522" s="280"/>
    </row>
    <row r="523" customHeight="1" spans="1:30">
      <c r="A523" s="222"/>
      <c r="B523" s="7"/>
      <c r="C523" s="7"/>
      <c r="E523" s="7"/>
      <c r="F523" s="7"/>
      <c r="G523" s="222"/>
      <c r="H523" s="7"/>
      <c r="I523" s="7"/>
      <c r="J523" s="7"/>
      <c r="K523" s="7"/>
      <c r="L523" s="222"/>
      <c r="M523" s="7"/>
      <c r="N523" s="7"/>
      <c r="O523" s="7"/>
      <c r="P523" s="7"/>
      <c r="Q523" s="257"/>
      <c r="U523" s="7"/>
      <c r="V523" s="350"/>
      <c r="AD523" s="280"/>
    </row>
    <row r="524" customHeight="1" spans="1:30">
      <c r="A524" s="222"/>
      <c r="B524" s="7"/>
      <c r="C524" s="7"/>
      <c r="E524" s="7"/>
      <c r="F524" s="7"/>
      <c r="G524" s="222"/>
      <c r="H524" s="7"/>
      <c r="I524" s="7"/>
      <c r="J524" s="7"/>
      <c r="K524" s="7"/>
      <c r="L524" s="222"/>
      <c r="M524" s="7"/>
      <c r="N524" s="7"/>
      <c r="O524" s="7"/>
      <c r="P524" s="7"/>
      <c r="Q524" s="257"/>
      <c r="U524" s="7"/>
      <c r="V524" s="350"/>
      <c r="AD524" s="280"/>
    </row>
    <row r="525" customHeight="1" spans="1:30">
      <c r="A525" s="222"/>
      <c r="B525" s="7"/>
      <c r="C525" s="7"/>
      <c r="E525" s="7"/>
      <c r="F525" s="7"/>
      <c r="G525" s="222"/>
      <c r="H525" s="7"/>
      <c r="I525" s="7"/>
      <c r="J525" s="7"/>
      <c r="K525" s="7"/>
      <c r="L525" s="222"/>
      <c r="M525" s="7"/>
      <c r="N525" s="7"/>
      <c r="O525" s="7"/>
      <c r="P525" s="7"/>
      <c r="Q525" s="257"/>
      <c r="U525" s="7"/>
      <c r="V525" s="350"/>
      <c r="AD525" s="280"/>
    </row>
    <row r="526" customHeight="1" spans="1:30">
      <c r="A526" s="222"/>
      <c r="B526" s="7"/>
      <c r="C526" s="7"/>
      <c r="E526" s="7"/>
      <c r="F526" s="7"/>
      <c r="G526" s="222"/>
      <c r="H526" s="7"/>
      <c r="I526" s="7"/>
      <c r="J526" s="7"/>
      <c r="K526" s="7"/>
      <c r="L526" s="222"/>
      <c r="M526" s="7"/>
      <c r="N526" s="7"/>
      <c r="O526" s="7"/>
      <c r="P526" s="7"/>
      <c r="Q526" s="257"/>
      <c r="U526" s="7"/>
      <c r="V526" s="350"/>
      <c r="AD526" s="280"/>
    </row>
    <row r="527" customHeight="1" spans="1:30">
      <c r="A527" s="222"/>
      <c r="B527" s="7"/>
      <c r="C527" s="7"/>
      <c r="E527" s="7"/>
      <c r="F527" s="7"/>
      <c r="G527" s="222"/>
      <c r="H527" s="7"/>
      <c r="I527" s="7"/>
      <c r="J527" s="7"/>
      <c r="K527" s="7"/>
      <c r="L527" s="222"/>
      <c r="M527" s="7"/>
      <c r="N527" s="7"/>
      <c r="O527" s="7"/>
      <c r="P527" s="7"/>
      <c r="Q527" s="257"/>
      <c r="U527" s="7"/>
      <c r="V527" s="350"/>
      <c r="AD527" s="280"/>
    </row>
    <row r="528" customHeight="1" spans="1:30">
      <c r="A528" s="222"/>
      <c r="B528" s="7"/>
      <c r="C528" s="7"/>
      <c r="E528" s="7"/>
      <c r="F528" s="7"/>
      <c r="G528" s="222"/>
      <c r="H528" s="7"/>
      <c r="I528" s="7"/>
      <c r="J528" s="7"/>
      <c r="K528" s="7"/>
      <c r="L528" s="222"/>
      <c r="M528" s="7"/>
      <c r="N528" s="7"/>
      <c r="O528" s="7"/>
      <c r="P528" s="7"/>
      <c r="Q528" s="257"/>
      <c r="U528" s="7"/>
      <c r="V528" s="350"/>
      <c r="AD528" s="280"/>
    </row>
    <row r="529" customHeight="1" spans="1:30">
      <c r="A529" s="222"/>
      <c r="B529" s="7"/>
      <c r="C529" s="7"/>
      <c r="E529" s="7"/>
      <c r="F529" s="7"/>
      <c r="G529" s="222"/>
      <c r="H529" s="7"/>
      <c r="I529" s="7"/>
      <c r="J529" s="7"/>
      <c r="K529" s="7"/>
      <c r="L529" s="222"/>
      <c r="M529" s="7"/>
      <c r="N529" s="7"/>
      <c r="O529" s="7"/>
      <c r="P529" s="7"/>
      <c r="Q529" s="257"/>
      <c r="U529" s="7"/>
      <c r="V529" s="350"/>
      <c r="AD529" s="280"/>
    </row>
    <row r="530" customHeight="1" spans="1:30">
      <c r="A530" s="222"/>
      <c r="B530" s="7"/>
      <c r="C530" s="7"/>
      <c r="E530" s="7"/>
      <c r="F530" s="7"/>
      <c r="G530" s="222"/>
      <c r="H530" s="7"/>
      <c r="I530" s="7"/>
      <c r="J530" s="7"/>
      <c r="K530" s="7"/>
      <c r="L530" s="222"/>
      <c r="M530" s="7"/>
      <c r="N530" s="7"/>
      <c r="O530" s="7"/>
      <c r="P530" s="7"/>
      <c r="Q530" s="257"/>
      <c r="U530" s="7"/>
      <c r="V530" s="350"/>
      <c r="AD530" s="280"/>
    </row>
    <row r="531" customHeight="1" spans="1:30">
      <c r="A531" s="222"/>
      <c r="B531" s="7"/>
      <c r="C531" s="7"/>
      <c r="E531" s="7"/>
      <c r="F531" s="7"/>
      <c r="G531" s="222"/>
      <c r="H531" s="7"/>
      <c r="I531" s="7"/>
      <c r="J531" s="7"/>
      <c r="K531" s="7"/>
      <c r="L531" s="222"/>
      <c r="M531" s="7"/>
      <c r="N531" s="7"/>
      <c r="O531" s="7"/>
      <c r="P531" s="7"/>
      <c r="Q531" s="257"/>
      <c r="U531" s="7"/>
      <c r="V531" s="350"/>
      <c r="AD531" s="280"/>
    </row>
    <row r="532" customHeight="1" spans="1:30">
      <c r="A532" s="222"/>
      <c r="B532" s="7"/>
      <c r="C532" s="7"/>
      <c r="E532" s="7"/>
      <c r="F532" s="7"/>
      <c r="G532" s="222"/>
      <c r="H532" s="7"/>
      <c r="I532" s="7"/>
      <c r="J532" s="7"/>
      <c r="K532" s="7"/>
      <c r="L532" s="222"/>
      <c r="M532" s="7"/>
      <c r="N532" s="7"/>
      <c r="O532" s="7"/>
      <c r="P532" s="7"/>
      <c r="Q532" s="257"/>
      <c r="U532" s="7"/>
      <c r="V532" s="350"/>
      <c r="AD532" s="280"/>
    </row>
    <row r="533" customHeight="1" spans="1:30">
      <c r="A533" s="222"/>
      <c r="B533" s="7"/>
      <c r="C533" s="7"/>
      <c r="E533" s="7"/>
      <c r="F533" s="7"/>
      <c r="G533" s="222"/>
      <c r="H533" s="7"/>
      <c r="I533" s="7"/>
      <c r="J533" s="7"/>
      <c r="K533" s="7"/>
      <c r="L533" s="222"/>
      <c r="M533" s="7"/>
      <c r="N533" s="7"/>
      <c r="O533" s="7"/>
      <c r="P533" s="7"/>
      <c r="Q533" s="257"/>
      <c r="U533" s="7"/>
      <c r="V533" s="350"/>
      <c r="AD533" s="280"/>
    </row>
    <row r="534" customHeight="1" spans="1:30">
      <c r="A534" s="222"/>
      <c r="B534" s="7"/>
      <c r="C534" s="7"/>
      <c r="E534" s="7"/>
      <c r="F534" s="7"/>
      <c r="G534" s="222"/>
      <c r="H534" s="7"/>
      <c r="I534" s="7"/>
      <c r="J534" s="7"/>
      <c r="K534" s="7"/>
      <c r="L534" s="222"/>
      <c r="M534" s="7"/>
      <c r="N534" s="7"/>
      <c r="O534" s="7"/>
      <c r="P534" s="7"/>
      <c r="Q534" s="257"/>
      <c r="U534" s="7"/>
      <c r="V534" s="350"/>
      <c r="AD534" s="280"/>
    </row>
    <row r="535" customHeight="1" spans="1:30">
      <c r="A535" s="222"/>
      <c r="B535" s="7"/>
      <c r="C535" s="7"/>
      <c r="E535" s="7"/>
      <c r="F535" s="7"/>
      <c r="G535" s="222"/>
      <c r="H535" s="7"/>
      <c r="I535" s="7"/>
      <c r="J535" s="7"/>
      <c r="K535" s="7"/>
      <c r="L535" s="222"/>
      <c r="M535" s="7"/>
      <c r="N535" s="7"/>
      <c r="O535" s="7"/>
      <c r="P535" s="7"/>
      <c r="Q535" s="257"/>
      <c r="U535" s="7"/>
      <c r="V535" s="350"/>
      <c r="AD535" s="280"/>
    </row>
    <row r="536" customHeight="1" spans="1:30">
      <c r="A536" s="222"/>
      <c r="B536" s="7"/>
      <c r="C536" s="7"/>
      <c r="E536" s="7"/>
      <c r="F536" s="7"/>
      <c r="G536" s="222"/>
      <c r="H536" s="7"/>
      <c r="I536" s="7"/>
      <c r="J536" s="7"/>
      <c r="K536" s="7"/>
      <c r="L536" s="222"/>
      <c r="M536" s="7"/>
      <c r="N536" s="7"/>
      <c r="O536" s="7"/>
      <c r="P536" s="7"/>
      <c r="Q536" s="257"/>
      <c r="U536" s="7"/>
      <c r="V536" s="350"/>
      <c r="AD536" s="280"/>
    </row>
    <row r="537" customHeight="1" spans="1:30">
      <c r="A537" s="222"/>
      <c r="B537" s="7"/>
      <c r="C537" s="7"/>
      <c r="E537" s="7"/>
      <c r="F537" s="7"/>
      <c r="G537" s="222"/>
      <c r="H537" s="7"/>
      <c r="I537" s="7"/>
      <c r="J537" s="7"/>
      <c r="K537" s="7"/>
      <c r="L537" s="222"/>
      <c r="M537" s="7"/>
      <c r="N537" s="7"/>
      <c r="O537" s="7"/>
      <c r="P537" s="7"/>
      <c r="Q537" s="257"/>
      <c r="U537" s="7"/>
      <c r="V537" s="350"/>
      <c r="AD537" s="280"/>
    </row>
    <row r="538" customHeight="1" spans="1:30">
      <c r="A538" s="222"/>
      <c r="B538" s="7"/>
      <c r="C538" s="7"/>
      <c r="E538" s="7"/>
      <c r="F538" s="7"/>
      <c r="G538" s="222"/>
      <c r="H538" s="7"/>
      <c r="I538" s="7"/>
      <c r="J538" s="7"/>
      <c r="K538" s="7"/>
      <c r="L538" s="222"/>
      <c r="M538" s="7"/>
      <c r="N538" s="7"/>
      <c r="O538" s="7"/>
      <c r="P538" s="7"/>
      <c r="Q538" s="257"/>
      <c r="U538" s="7"/>
      <c r="V538" s="350"/>
      <c r="AD538" s="280"/>
    </row>
    <row r="539" customHeight="1" spans="1:30">
      <c r="A539" s="222"/>
      <c r="B539" s="7"/>
      <c r="C539" s="7"/>
      <c r="E539" s="7"/>
      <c r="F539" s="7"/>
      <c r="G539" s="222"/>
      <c r="H539" s="7"/>
      <c r="I539" s="7"/>
      <c r="J539" s="7"/>
      <c r="K539" s="7"/>
      <c r="L539" s="222"/>
      <c r="M539" s="7"/>
      <c r="N539" s="7"/>
      <c r="O539" s="7"/>
      <c r="P539" s="7"/>
      <c r="Q539" s="257"/>
      <c r="U539" s="7"/>
      <c r="V539" s="350"/>
      <c r="AD539" s="280"/>
    </row>
    <row r="540" customHeight="1" spans="1:30">
      <c r="A540" s="222"/>
      <c r="B540" s="7"/>
      <c r="C540" s="7"/>
      <c r="E540" s="7"/>
      <c r="F540" s="7"/>
      <c r="G540" s="222"/>
      <c r="H540" s="7"/>
      <c r="I540" s="7"/>
      <c r="J540" s="7"/>
      <c r="K540" s="7"/>
      <c r="L540" s="222"/>
      <c r="M540" s="7"/>
      <c r="N540" s="7"/>
      <c r="O540" s="7"/>
      <c r="P540" s="7"/>
      <c r="Q540" s="257"/>
      <c r="U540" s="7"/>
      <c r="V540" s="350"/>
      <c r="AD540" s="280"/>
    </row>
    <row r="541" customHeight="1" spans="1:30">
      <c r="A541" s="222"/>
      <c r="B541" s="7"/>
      <c r="C541" s="7"/>
      <c r="E541" s="7"/>
      <c r="F541" s="7"/>
      <c r="G541" s="222"/>
      <c r="H541" s="7"/>
      <c r="I541" s="7"/>
      <c r="J541" s="7"/>
      <c r="K541" s="7"/>
      <c r="L541" s="222"/>
      <c r="M541" s="7"/>
      <c r="N541" s="7"/>
      <c r="O541" s="7"/>
      <c r="P541" s="7"/>
      <c r="Q541" s="257"/>
      <c r="U541" s="7"/>
      <c r="V541" s="350"/>
      <c r="AD541" s="280"/>
    </row>
    <row r="542" customHeight="1" spans="1:30">
      <c r="A542" s="222"/>
      <c r="B542" s="7"/>
      <c r="C542" s="7"/>
      <c r="E542" s="7"/>
      <c r="F542" s="7"/>
      <c r="G542" s="222"/>
      <c r="H542" s="7"/>
      <c r="I542" s="7"/>
      <c r="J542" s="7"/>
      <c r="K542" s="7"/>
      <c r="L542" s="222"/>
      <c r="M542" s="7"/>
      <c r="N542" s="7"/>
      <c r="O542" s="7"/>
      <c r="P542" s="7"/>
      <c r="Q542" s="257"/>
      <c r="U542" s="7"/>
      <c r="V542" s="350"/>
      <c r="AD542" s="280"/>
    </row>
    <row r="543" customHeight="1" spans="1:30">
      <c r="A543" s="222"/>
      <c r="B543" s="7"/>
      <c r="C543" s="7"/>
      <c r="E543" s="7"/>
      <c r="F543" s="7"/>
      <c r="G543" s="222"/>
      <c r="H543" s="7"/>
      <c r="I543" s="7"/>
      <c r="J543" s="7"/>
      <c r="K543" s="7"/>
      <c r="L543" s="222"/>
      <c r="M543" s="7"/>
      <c r="N543" s="7"/>
      <c r="O543" s="7"/>
      <c r="P543" s="7"/>
      <c r="Q543" s="257"/>
      <c r="U543" s="7"/>
      <c r="V543" s="350"/>
      <c r="AD543" s="280"/>
    </row>
    <row r="544" customHeight="1" spans="1:30">
      <c r="A544" s="222"/>
      <c r="B544" s="7"/>
      <c r="C544" s="7"/>
      <c r="E544" s="7"/>
      <c r="F544" s="7"/>
      <c r="G544" s="222"/>
      <c r="H544" s="7"/>
      <c r="I544" s="7"/>
      <c r="J544" s="7"/>
      <c r="K544" s="7"/>
      <c r="L544" s="222"/>
      <c r="M544" s="7"/>
      <c r="N544" s="7"/>
      <c r="O544" s="7"/>
      <c r="P544" s="7"/>
      <c r="Q544" s="257"/>
      <c r="U544" s="7"/>
      <c r="V544" s="350"/>
      <c r="AD544" s="280"/>
    </row>
    <row r="545" customHeight="1" spans="1:30">
      <c r="A545" s="222"/>
      <c r="B545" s="7"/>
      <c r="C545" s="7"/>
      <c r="E545" s="7"/>
      <c r="F545" s="7"/>
      <c r="G545" s="222"/>
      <c r="H545" s="7"/>
      <c r="I545" s="7"/>
      <c r="J545" s="7"/>
      <c r="K545" s="7"/>
      <c r="L545" s="222"/>
      <c r="M545" s="7"/>
      <c r="N545" s="7"/>
      <c r="O545" s="7"/>
      <c r="P545" s="7"/>
      <c r="Q545" s="257"/>
      <c r="U545" s="7"/>
      <c r="V545" s="350"/>
      <c r="AD545" s="280"/>
    </row>
    <row r="546" customHeight="1" spans="1:30">
      <c r="A546" s="222"/>
      <c r="B546" s="7"/>
      <c r="C546" s="7"/>
      <c r="E546" s="7"/>
      <c r="F546" s="7"/>
      <c r="G546" s="222"/>
      <c r="H546" s="7"/>
      <c r="I546" s="7"/>
      <c r="J546" s="7"/>
      <c r="K546" s="7"/>
      <c r="L546" s="222"/>
      <c r="M546" s="7"/>
      <c r="N546" s="7"/>
      <c r="O546" s="7"/>
      <c r="P546" s="7"/>
      <c r="Q546" s="257"/>
      <c r="U546" s="7"/>
      <c r="V546" s="350"/>
      <c r="AD546" s="280"/>
    </row>
    <row r="547" customHeight="1" spans="1:30">
      <c r="A547" s="222"/>
      <c r="B547" s="7"/>
      <c r="C547" s="7"/>
      <c r="E547" s="7"/>
      <c r="F547" s="7"/>
      <c r="G547" s="222"/>
      <c r="H547" s="7"/>
      <c r="I547" s="7"/>
      <c r="J547" s="7"/>
      <c r="K547" s="7"/>
      <c r="L547" s="222"/>
      <c r="M547" s="7"/>
      <c r="N547" s="7"/>
      <c r="O547" s="7"/>
      <c r="P547" s="7"/>
      <c r="Q547" s="257"/>
      <c r="U547" s="7"/>
      <c r="V547" s="350"/>
      <c r="AD547" s="280"/>
    </row>
    <row r="548" customHeight="1" spans="1:30">
      <c r="A548" s="222"/>
      <c r="B548" s="7"/>
      <c r="C548" s="7"/>
      <c r="E548" s="7"/>
      <c r="F548" s="7"/>
      <c r="G548" s="222"/>
      <c r="H548" s="7"/>
      <c r="I548" s="7"/>
      <c r="J548" s="7"/>
      <c r="K548" s="7"/>
      <c r="L548" s="222"/>
      <c r="M548" s="7"/>
      <c r="N548" s="7"/>
      <c r="O548" s="7"/>
      <c r="P548" s="7"/>
      <c r="Q548" s="257"/>
      <c r="U548" s="7"/>
      <c r="V548" s="350"/>
      <c r="AD548" s="280"/>
    </row>
    <row r="549" customHeight="1" spans="1:30">
      <c r="A549" s="222"/>
      <c r="B549" s="7"/>
      <c r="C549" s="7"/>
      <c r="E549" s="7"/>
      <c r="F549" s="7"/>
      <c r="G549" s="222"/>
      <c r="H549" s="7"/>
      <c r="I549" s="7"/>
      <c r="J549" s="7"/>
      <c r="K549" s="7"/>
      <c r="L549" s="222"/>
      <c r="M549" s="7"/>
      <c r="N549" s="7"/>
      <c r="O549" s="7"/>
      <c r="P549" s="7"/>
      <c r="Q549" s="257"/>
      <c r="U549" s="7"/>
      <c r="V549" s="350"/>
      <c r="AD549" s="280"/>
    </row>
    <row r="550" customHeight="1" spans="1:30">
      <c r="A550" s="222"/>
      <c r="B550" s="7"/>
      <c r="C550" s="7"/>
      <c r="E550" s="7"/>
      <c r="F550" s="7"/>
      <c r="G550" s="222"/>
      <c r="H550" s="7"/>
      <c r="I550" s="7"/>
      <c r="J550" s="7"/>
      <c r="K550" s="7"/>
      <c r="L550" s="222"/>
      <c r="M550" s="7"/>
      <c r="N550" s="7"/>
      <c r="O550" s="7"/>
      <c r="P550" s="7"/>
      <c r="Q550" s="257"/>
      <c r="U550" s="7"/>
      <c r="V550" s="350"/>
      <c r="AD550" s="280"/>
    </row>
    <row r="551" customHeight="1" spans="1:30">
      <c r="A551" s="222"/>
      <c r="B551" s="7"/>
      <c r="C551" s="7"/>
      <c r="E551" s="7"/>
      <c r="F551" s="7"/>
      <c r="G551" s="222"/>
      <c r="H551" s="7"/>
      <c r="I551" s="7"/>
      <c r="J551" s="7"/>
      <c r="K551" s="7"/>
      <c r="L551" s="222"/>
      <c r="M551" s="7"/>
      <c r="N551" s="7"/>
      <c r="O551" s="7"/>
      <c r="P551" s="7"/>
      <c r="Q551" s="257"/>
      <c r="U551" s="7"/>
      <c r="V551" s="350"/>
      <c r="AD551" s="280"/>
    </row>
    <row r="552" customHeight="1" spans="1:30">
      <c r="A552" s="222"/>
      <c r="B552" s="7"/>
      <c r="C552" s="7"/>
      <c r="E552" s="7"/>
      <c r="F552" s="7"/>
      <c r="G552" s="222"/>
      <c r="H552" s="7"/>
      <c r="I552" s="7"/>
      <c r="J552" s="7"/>
      <c r="K552" s="7"/>
      <c r="L552" s="222"/>
      <c r="M552" s="7"/>
      <c r="N552" s="7"/>
      <c r="O552" s="7"/>
      <c r="P552" s="7"/>
      <c r="Q552" s="257"/>
      <c r="U552" s="7"/>
      <c r="V552" s="350"/>
      <c r="AD552" s="280"/>
    </row>
    <row r="553" customHeight="1" spans="1:30">
      <c r="A553" s="222"/>
      <c r="B553" s="7"/>
      <c r="C553" s="7"/>
      <c r="E553" s="7"/>
      <c r="F553" s="7"/>
      <c r="G553" s="222"/>
      <c r="H553" s="7"/>
      <c r="I553" s="7"/>
      <c r="J553" s="7"/>
      <c r="K553" s="7"/>
      <c r="L553" s="222"/>
      <c r="M553" s="7"/>
      <c r="N553" s="7"/>
      <c r="O553" s="7"/>
      <c r="P553" s="7"/>
      <c r="Q553" s="257"/>
      <c r="U553" s="7"/>
      <c r="V553" s="350"/>
      <c r="AD553" s="280"/>
    </row>
    <row r="554" customHeight="1" spans="1:30">
      <c r="A554" s="222"/>
      <c r="B554" s="7"/>
      <c r="C554" s="7"/>
      <c r="E554" s="7"/>
      <c r="F554" s="7"/>
      <c r="G554" s="222"/>
      <c r="H554" s="7"/>
      <c r="I554" s="7"/>
      <c r="J554" s="7"/>
      <c r="K554" s="7"/>
      <c r="L554" s="222"/>
      <c r="M554" s="7"/>
      <c r="N554" s="7"/>
      <c r="O554" s="7"/>
      <c r="P554" s="7"/>
      <c r="Q554" s="257"/>
      <c r="U554" s="7"/>
      <c r="V554" s="350"/>
      <c r="AD554" s="280"/>
    </row>
    <row r="555" customHeight="1" spans="1:30">
      <c r="A555" s="222"/>
      <c r="B555" s="7"/>
      <c r="C555" s="7"/>
      <c r="E555" s="7"/>
      <c r="F555" s="7"/>
      <c r="G555" s="222"/>
      <c r="H555" s="7"/>
      <c r="I555" s="7"/>
      <c r="J555" s="7"/>
      <c r="K555" s="7"/>
      <c r="L555" s="222"/>
      <c r="M555" s="7"/>
      <c r="N555" s="7"/>
      <c r="O555" s="7"/>
      <c r="P555" s="7"/>
      <c r="Q555" s="257"/>
      <c r="U555" s="7"/>
      <c r="V555" s="350"/>
      <c r="AD555" s="280"/>
    </row>
    <row r="556" customHeight="1" spans="1:30">
      <c r="A556" s="222"/>
      <c r="B556" s="7"/>
      <c r="C556" s="7"/>
      <c r="E556" s="7"/>
      <c r="F556" s="7"/>
      <c r="G556" s="222"/>
      <c r="H556" s="7"/>
      <c r="I556" s="7"/>
      <c r="J556" s="7"/>
      <c r="K556" s="7"/>
      <c r="L556" s="222"/>
      <c r="M556" s="7"/>
      <c r="N556" s="7"/>
      <c r="O556" s="7"/>
      <c r="P556" s="7"/>
      <c r="Q556" s="257"/>
      <c r="U556" s="7"/>
      <c r="V556" s="350"/>
      <c r="AD556" s="280"/>
    </row>
    <row r="557" customHeight="1" spans="1:30">
      <c r="A557" s="222"/>
      <c r="B557" s="7"/>
      <c r="C557" s="7"/>
      <c r="E557" s="7"/>
      <c r="F557" s="7"/>
      <c r="G557" s="222"/>
      <c r="H557" s="7"/>
      <c r="I557" s="7"/>
      <c r="J557" s="7"/>
      <c r="K557" s="7"/>
      <c r="L557" s="222"/>
      <c r="M557" s="7"/>
      <c r="N557" s="7"/>
      <c r="O557" s="7"/>
      <c r="P557" s="7"/>
      <c r="Q557" s="257"/>
      <c r="U557" s="7"/>
      <c r="V557" s="350"/>
      <c r="AD557" s="280"/>
    </row>
    <row r="558" customHeight="1" spans="1:30">
      <c r="A558" s="222"/>
      <c r="B558" s="7"/>
      <c r="C558" s="7"/>
      <c r="E558" s="7"/>
      <c r="F558" s="7"/>
      <c r="G558" s="222"/>
      <c r="H558" s="7"/>
      <c r="I558" s="7"/>
      <c r="J558" s="7"/>
      <c r="K558" s="7"/>
      <c r="L558" s="222"/>
      <c r="M558" s="7"/>
      <c r="N558" s="7"/>
      <c r="O558" s="7"/>
      <c r="P558" s="7"/>
      <c r="Q558" s="257"/>
      <c r="U558" s="7"/>
      <c r="V558" s="350"/>
      <c r="AD558" s="280"/>
    </row>
    <row r="559" customHeight="1" spans="1:30">
      <c r="A559" s="222"/>
      <c r="B559" s="7"/>
      <c r="C559" s="7"/>
      <c r="E559" s="7"/>
      <c r="F559" s="7"/>
      <c r="G559" s="222"/>
      <c r="H559" s="7"/>
      <c r="I559" s="7"/>
      <c r="J559" s="7"/>
      <c r="K559" s="7"/>
      <c r="L559" s="222"/>
      <c r="M559" s="7"/>
      <c r="N559" s="7"/>
      <c r="O559" s="7"/>
      <c r="P559" s="7"/>
      <c r="Q559" s="257"/>
      <c r="U559" s="7"/>
      <c r="V559" s="350"/>
      <c r="AD559" s="280"/>
    </row>
    <row r="560" customHeight="1" spans="1:30">
      <c r="A560" s="222"/>
      <c r="B560" s="7"/>
      <c r="C560" s="7"/>
      <c r="E560" s="7"/>
      <c r="F560" s="7"/>
      <c r="G560" s="222"/>
      <c r="H560" s="7"/>
      <c r="I560" s="7"/>
      <c r="J560" s="7"/>
      <c r="K560" s="7"/>
      <c r="L560" s="222"/>
      <c r="M560" s="7"/>
      <c r="N560" s="7"/>
      <c r="O560" s="7"/>
      <c r="P560" s="7"/>
      <c r="Q560" s="257"/>
      <c r="U560" s="7"/>
      <c r="V560" s="350"/>
      <c r="AD560" s="280"/>
    </row>
    <row r="561" customHeight="1" spans="1:30">
      <c r="A561" s="222"/>
      <c r="B561" s="7"/>
      <c r="C561" s="7"/>
      <c r="E561" s="7"/>
      <c r="F561" s="7"/>
      <c r="G561" s="222"/>
      <c r="H561" s="7"/>
      <c r="I561" s="7"/>
      <c r="J561" s="7"/>
      <c r="K561" s="7"/>
      <c r="L561" s="222"/>
      <c r="M561" s="7"/>
      <c r="N561" s="7"/>
      <c r="O561" s="7"/>
      <c r="P561" s="7"/>
      <c r="Q561" s="257"/>
      <c r="U561" s="7"/>
      <c r="V561" s="350"/>
      <c r="AD561" s="280"/>
    </row>
    <row r="562" customHeight="1" spans="1:30">
      <c r="A562" s="222"/>
      <c r="B562" s="7"/>
      <c r="C562" s="7"/>
      <c r="E562" s="7"/>
      <c r="F562" s="7"/>
      <c r="G562" s="222"/>
      <c r="H562" s="7"/>
      <c r="I562" s="7"/>
      <c r="J562" s="7"/>
      <c r="K562" s="7"/>
      <c r="L562" s="222"/>
      <c r="M562" s="7"/>
      <c r="N562" s="7"/>
      <c r="O562" s="7"/>
      <c r="P562" s="7"/>
      <c r="Q562" s="257"/>
      <c r="U562" s="7"/>
      <c r="V562" s="350"/>
      <c r="AD562" s="280"/>
    </row>
    <row r="563" customHeight="1" spans="1:30">
      <c r="A563" s="222"/>
      <c r="B563" s="7"/>
      <c r="C563" s="7"/>
      <c r="E563" s="7"/>
      <c r="F563" s="7"/>
      <c r="G563" s="222"/>
      <c r="H563" s="7"/>
      <c r="I563" s="7"/>
      <c r="J563" s="7"/>
      <c r="K563" s="7"/>
      <c r="L563" s="222"/>
      <c r="M563" s="7"/>
      <c r="N563" s="7"/>
      <c r="O563" s="7"/>
      <c r="P563" s="7"/>
      <c r="Q563" s="257"/>
      <c r="U563" s="7"/>
      <c r="V563" s="350"/>
      <c r="AD563" s="280"/>
    </row>
    <row r="564" customHeight="1" spans="1:30">
      <c r="A564" s="222"/>
      <c r="B564" s="7"/>
      <c r="C564" s="7"/>
      <c r="E564" s="7"/>
      <c r="F564" s="7"/>
      <c r="G564" s="222"/>
      <c r="H564" s="7"/>
      <c r="I564" s="7"/>
      <c r="J564" s="7"/>
      <c r="K564" s="7"/>
      <c r="L564" s="222"/>
      <c r="M564" s="7"/>
      <c r="N564" s="7"/>
      <c r="O564" s="7"/>
      <c r="P564" s="7"/>
      <c r="Q564" s="257"/>
      <c r="U564" s="7"/>
      <c r="V564" s="350"/>
      <c r="AD564" s="280"/>
    </row>
    <row r="565" customHeight="1" spans="1:30">
      <c r="A565" s="222"/>
      <c r="B565" s="7"/>
      <c r="C565" s="7"/>
      <c r="E565" s="7"/>
      <c r="F565" s="7"/>
      <c r="G565" s="222"/>
      <c r="H565" s="7"/>
      <c r="I565" s="7"/>
      <c r="J565" s="7"/>
      <c r="K565" s="7"/>
      <c r="L565" s="222"/>
      <c r="M565" s="7"/>
      <c r="N565" s="7"/>
      <c r="O565" s="7"/>
      <c r="P565" s="7"/>
      <c r="Q565" s="257"/>
      <c r="U565" s="7"/>
      <c r="V565" s="350"/>
      <c r="AD565" s="280"/>
    </row>
    <row r="566" customHeight="1" spans="1:30">
      <c r="A566" s="222"/>
      <c r="B566" s="7"/>
      <c r="C566" s="7"/>
      <c r="E566" s="7"/>
      <c r="F566" s="7"/>
      <c r="G566" s="222"/>
      <c r="H566" s="7"/>
      <c r="I566" s="7"/>
      <c r="J566" s="7"/>
      <c r="K566" s="7"/>
      <c r="L566" s="222"/>
      <c r="M566" s="7"/>
      <c r="N566" s="7"/>
      <c r="O566" s="7"/>
      <c r="P566" s="7"/>
      <c r="Q566" s="257"/>
      <c r="U566" s="7"/>
      <c r="V566" s="350"/>
      <c r="AD566" s="280"/>
    </row>
    <row r="567" customHeight="1" spans="1:30">
      <c r="A567" s="222"/>
      <c r="B567" s="7"/>
      <c r="C567" s="7"/>
      <c r="E567" s="7"/>
      <c r="F567" s="7"/>
      <c r="G567" s="222"/>
      <c r="H567" s="7"/>
      <c r="I567" s="7"/>
      <c r="J567" s="7"/>
      <c r="K567" s="7"/>
      <c r="L567" s="222"/>
      <c r="M567" s="7"/>
      <c r="N567" s="7"/>
      <c r="O567" s="7"/>
      <c r="P567" s="7"/>
      <c r="Q567" s="257"/>
      <c r="U567" s="7"/>
      <c r="V567" s="350"/>
      <c r="AD567" s="280"/>
    </row>
    <row r="568" customHeight="1" spans="1:30">
      <c r="A568" s="222"/>
      <c r="B568" s="7"/>
      <c r="C568" s="7"/>
      <c r="E568" s="7"/>
      <c r="F568" s="7"/>
      <c r="G568" s="222"/>
      <c r="H568" s="7"/>
      <c r="I568" s="7"/>
      <c r="J568" s="7"/>
      <c r="K568" s="7"/>
      <c r="L568" s="222"/>
      <c r="M568" s="7"/>
      <c r="N568" s="7"/>
      <c r="O568" s="7"/>
      <c r="P568" s="7"/>
      <c r="Q568" s="257"/>
      <c r="U568" s="7"/>
      <c r="V568" s="350"/>
      <c r="AD568" s="280"/>
    </row>
    <row r="569" customHeight="1" spans="1:30">
      <c r="A569" s="222"/>
      <c r="B569" s="7"/>
      <c r="C569" s="7"/>
      <c r="E569" s="7"/>
      <c r="F569" s="7"/>
      <c r="G569" s="222"/>
      <c r="H569" s="7"/>
      <c r="I569" s="7"/>
      <c r="J569" s="7"/>
      <c r="K569" s="7"/>
      <c r="L569" s="222"/>
      <c r="M569" s="7"/>
      <c r="N569" s="7"/>
      <c r="O569" s="7"/>
      <c r="P569" s="7"/>
      <c r="Q569" s="257"/>
      <c r="U569" s="7"/>
      <c r="V569" s="350"/>
      <c r="AD569" s="280"/>
    </row>
    <row r="570" customHeight="1" spans="1:30">
      <c r="A570" s="222"/>
      <c r="B570" s="7"/>
      <c r="C570" s="7"/>
      <c r="E570" s="7"/>
      <c r="F570" s="7"/>
      <c r="G570" s="222"/>
      <c r="H570" s="7"/>
      <c r="I570" s="7"/>
      <c r="J570" s="7"/>
      <c r="K570" s="7"/>
      <c r="L570" s="222"/>
      <c r="M570" s="7"/>
      <c r="N570" s="7"/>
      <c r="O570" s="7"/>
      <c r="P570" s="7"/>
      <c r="Q570" s="257"/>
      <c r="U570" s="7"/>
      <c r="V570" s="350"/>
      <c r="AD570" s="280"/>
    </row>
    <row r="571" customHeight="1" spans="1:30">
      <c r="A571" s="222"/>
      <c r="B571" s="7"/>
      <c r="C571" s="7"/>
      <c r="E571" s="7"/>
      <c r="F571" s="7"/>
      <c r="G571" s="222"/>
      <c r="H571" s="7"/>
      <c r="I571" s="7"/>
      <c r="J571" s="7"/>
      <c r="K571" s="7"/>
      <c r="L571" s="222"/>
      <c r="M571" s="7"/>
      <c r="N571" s="7"/>
      <c r="O571" s="7"/>
      <c r="P571" s="7"/>
      <c r="Q571" s="257"/>
      <c r="U571" s="7"/>
      <c r="V571" s="350"/>
      <c r="AD571" s="280"/>
    </row>
    <row r="572" customHeight="1" spans="1:30">
      <c r="A572" s="222"/>
      <c r="B572" s="7"/>
      <c r="C572" s="7"/>
      <c r="E572" s="7"/>
      <c r="F572" s="7"/>
      <c r="G572" s="222"/>
      <c r="H572" s="7"/>
      <c r="I572" s="7"/>
      <c r="J572" s="7"/>
      <c r="K572" s="7"/>
      <c r="L572" s="222"/>
      <c r="M572" s="7"/>
      <c r="N572" s="7"/>
      <c r="O572" s="7"/>
      <c r="P572" s="7"/>
      <c r="Q572" s="257"/>
      <c r="U572" s="7"/>
      <c r="V572" s="350"/>
      <c r="AD572" s="280"/>
    </row>
    <row r="573" customHeight="1" spans="1:30">
      <c r="A573" s="222"/>
      <c r="B573" s="7"/>
      <c r="C573" s="7"/>
      <c r="E573" s="7"/>
      <c r="F573" s="7"/>
      <c r="G573" s="222"/>
      <c r="H573" s="7"/>
      <c r="I573" s="7"/>
      <c r="J573" s="7"/>
      <c r="K573" s="7"/>
      <c r="L573" s="222"/>
      <c r="M573" s="7"/>
      <c r="N573" s="7"/>
      <c r="O573" s="7"/>
      <c r="P573" s="7"/>
      <c r="Q573" s="257"/>
      <c r="U573" s="7"/>
      <c r="V573" s="350"/>
      <c r="AD573" s="280"/>
    </row>
    <row r="574" customHeight="1" spans="1:30">
      <c r="A574" s="222"/>
      <c r="B574" s="7"/>
      <c r="C574" s="7"/>
      <c r="E574" s="7"/>
      <c r="F574" s="7"/>
      <c r="G574" s="222"/>
      <c r="H574" s="7"/>
      <c r="I574" s="7"/>
      <c r="J574" s="7"/>
      <c r="K574" s="7"/>
      <c r="L574" s="222"/>
      <c r="M574" s="7"/>
      <c r="N574" s="7"/>
      <c r="O574" s="7"/>
      <c r="P574" s="7"/>
      <c r="Q574" s="257"/>
      <c r="U574" s="7"/>
      <c r="V574" s="350"/>
      <c r="AD574" s="280"/>
    </row>
    <row r="575" customHeight="1" spans="1:30">
      <c r="A575" s="222"/>
      <c r="B575" s="7"/>
      <c r="C575" s="7"/>
      <c r="E575" s="7"/>
      <c r="F575" s="7"/>
      <c r="G575" s="222"/>
      <c r="H575" s="7"/>
      <c r="I575" s="7"/>
      <c r="J575" s="7"/>
      <c r="K575" s="7"/>
      <c r="L575" s="222"/>
      <c r="M575" s="7"/>
      <c r="N575" s="7"/>
      <c r="O575" s="7"/>
      <c r="P575" s="7"/>
      <c r="Q575" s="257"/>
      <c r="U575" s="7"/>
      <c r="V575" s="350"/>
      <c r="AD575" s="280"/>
    </row>
    <row r="576" customHeight="1" spans="1:30">
      <c r="A576" s="222"/>
      <c r="B576" s="7"/>
      <c r="C576" s="7"/>
      <c r="E576" s="7"/>
      <c r="F576" s="7"/>
      <c r="G576" s="222"/>
      <c r="H576" s="7"/>
      <c r="I576" s="7"/>
      <c r="J576" s="7"/>
      <c r="K576" s="7"/>
      <c r="L576" s="222"/>
      <c r="M576" s="7"/>
      <c r="N576" s="7"/>
      <c r="O576" s="7"/>
      <c r="P576" s="7"/>
      <c r="Q576" s="257"/>
      <c r="U576" s="7"/>
      <c r="V576" s="350"/>
      <c r="AD576" s="280"/>
    </row>
    <row r="577" customHeight="1" spans="1:30">
      <c r="A577" s="222"/>
      <c r="B577" s="7"/>
      <c r="C577" s="7"/>
      <c r="E577" s="7"/>
      <c r="F577" s="7"/>
      <c r="G577" s="222"/>
      <c r="H577" s="7"/>
      <c r="I577" s="7"/>
      <c r="J577" s="7"/>
      <c r="K577" s="7"/>
      <c r="L577" s="222"/>
      <c r="M577" s="7"/>
      <c r="N577" s="7"/>
      <c r="O577" s="7"/>
      <c r="P577" s="7"/>
      <c r="Q577" s="257"/>
      <c r="U577" s="7"/>
      <c r="V577" s="350"/>
      <c r="AD577" s="280"/>
    </row>
    <row r="578" customHeight="1" spans="1:30">
      <c r="A578" s="222"/>
      <c r="B578" s="7"/>
      <c r="C578" s="7"/>
      <c r="E578" s="7"/>
      <c r="F578" s="7"/>
      <c r="G578" s="222"/>
      <c r="H578" s="7"/>
      <c r="I578" s="7"/>
      <c r="J578" s="7"/>
      <c r="K578" s="7"/>
      <c r="L578" s="222"/>
      <c r="M578" s="7"/>
      <c r="N578" s="7"/>
      <c r="O578" s="7"/>
      <c r="P578" s="7"/>
      <c r="Q578" s="257"/>
      <c r="U578" s="7"/>
      <c r="V578" s="350"/>
      <c r="AD578" s="280"/>
    </row>
    <row r="579" customHeight="1" spans="1:30">
      <c r="A579" s="222"/>
      <c r="B579" s="7"/>
      <c r="C579" s="7"/>
      <c r="E579" s="7"/>
      <c r="F579" s="7"/>
      <c r="G579" s="222"/>
      <c r="H579" s="7"/>
      <c r="I579" s="7"/>
      <c r="J579" s="7"/>
      <c r="K579" s="7"/>
      <c r="L579" s="222"/>
      <c r="M579" s="7"/>
      <c r="N579" s="7"/>
      <c r="O579" s="7"/>
      <c r="P579" s="7"/>
      <c r="Q579" s="257"/>
      <c r="U579" s="7"/>
      <c r="V579" s="350"/>
      <c r="AD579" s="280"/>
    </row>
    <row r="580" customHeight="1" spans="1:30">
      <c r="A580" s="222"/>
      <c r="B580" s="7"/>
      <c r="C580" s="7"/>
      <c r="E580" s="7"/>
      <c r="F580" s="7"/>
      <c r="G580" s="222"/>
      <c r="H580" s="7"/>
      <c r="I580" s="7"/>
      <c r="J580" s="7"/>
      <c r="K580" s="7"/>
      <c r="L580" s="222"/>
      <c r="M580" s="7"/>
      <c r="N580" s="7"/>
      <c r="O580" s="7"/>
      <c r="P580" s="7"/>
      <c r="Q580" s="257"/>
      <c r="U580" s="7"/>
      <c r="V580" s="350"/>
      <c r="AD580" s="280"/>
    </row>
    <row r="581" customHeight="1" spans="1:30">
      <c r="A581" s="222"/>
      <c r="B581" s="7"/>
      <c r="C581" s="7"/>
      <c r="E581" s="7"/>
      <c r="F581" s="7"/>
      <c r="G581" s="222"/>
      <c r="H581" s="7"/>
      <c r="I581" s="7"/>
      <c r="J581" s="7"/>
      <c r="K581" s="7"/>
      <c r="L581" s="222"/>
      <c r="M581" s="7"/>
      <c r="N581" s="7"/>
      <c r="O581" s="7"/>
      <c r="P581" s="7"/>
      <c r="Q581" s="257"/>
      <c r="U581" s="7"/>
      <c r="V581" s="350"/>
      <c r="AD581" s="280"/>
    </row>
    <row r="582" customHeight="1" spans="1:30">
      <c r="A582" s="222"/>
      <c r="B582" s="7"/>
      <c r="C582" s="7"/>
      <c r="E582" s="7"/>
      <c r="F582" s="7"/>
      <c r="G582" s="222"/>
      <c r="H582" s="7"/>
      <c r="I582" s="7"/>
      <c r="J582" s="7"/>
      <c r="K582" s="7"/>
      <c r="L582" s="222"/>
      <c r="M582" s="7"/>
      <c r="N582" s="7"/>
      <c r="O582" s="7"/>
      <c r="P582" s="7"/>
      <c r="Q582" s="257"/>
      <c r="U582" s="7"/>
      <c r="V582" s="350"/>
      <c r="AD582" s="280"/>
    </row>
    <row r="583" customHeight="1" spans="1:30">
      <c r="A583" s="222"/>
      <c r="B583" s="7"/>
      <c r="C583" s="7"/>
      <c r="E583" s="7"/>
      <c r="F583" s="7"/>
      <c r="G583" s="222"/>
      <c r="H583" s="7"/>
      <c r="I583" s="7"/>
      <c r="J583" s="7"/>
      <c r="K583" s="7"/>
      <c r="L583" s="222"/>
      <c r="M583" s="7"/>
      <c r="N583" s="7"/>
      <c r="O583" s="7"/>
      <c r="P583" s="7"/>
      <c r="Q583" s="257"/>
      <c r="U583" s="7"/>
      <c r="V583" s="350"/>
      <c r="AD583" s="280"/>
    </row>
    <row r="584" customHeight="1" spans="1:30">
      <c r="A584" s="222"/>
      <c r="B584" s="7"/>
      <c r="C584" s="7"/>
      <c r="E584" s="7"/>
      <c r="F584" s="7"/>
      <c r="G584" s="222"/>
      <c r="H584" s="7"/>
      <c r="I584" s="7"/>
      <c r="J584" s="7"/>
      <c r="K584" s="7"/>
      <c r="L584" s="222"/>
      <c r="M584" s="7"/>
      <c r="N584" s="7"/>
      <c r="O584" s="7"/>
      <c r="P584" s="7"/>
      <c r="Q584" s="257"/>
      <c r="U584" s="7"/>
      <c r="V584" s="350"/>
      <c r="AD584" s="280"/>
    </row>
    <row r="585" customHeight="1" spans="1:30">
      <c r="A585" s="222"/>
      <c r="B585" s="7"/>
      <c r="C585" s="7"/>
      <c r="E585" s="7"/>
      <c r="F585" s="7"/>
      <c r="G585" s="222"/>
      <c r="H585" s="7"/>
      <c r="I585" s="7"/>
      <c r="J585" s="7"/>
      <c r="K585" s="7"/>
      <c r="L585" s="222"/>
      <c r="M585" s="7"/>
      <c r="N585" s="7"/>
      <c r="O585" s="7"/>
      <c r="P585" s="7"/>
      <c r="Q585" s="257"/>
      <c r="U585" s="7"/>
      <c r="V585" s="350"/>
      <c r="AD585" s="280"/>
    </row>
    <row r="586" customHeight="1" spans="1:30">
      <c r="A586" s="222"/>
      <c r="B586" s="7"/>
      <c r="C586" s="7"/>
      <c r="E586" s="7"/>
      <c r="F586" s="7"/>
      <c r="G586" s="222"/>
      <c r="H586" s="7"/>
      <c r="I586" s="7"/>
      <c r="J586" s="7"/>
      <c r="K586" s="7"/>
      <c r="L586" s="222"/>
      <c r="M586" s="7"/>
      <c r="N586" s="7"/>
      <c r="O586" s="7"/>
      <c r="P586" s="7"/>
      <c r="Q586" s="257"/>
      <c r="U586" s="7"/>
      <c r="V586" s="350"/>
      <c r="AD586" s="280"/>
    </row>
    <row r="587" customHeight="1" spans="1:30">
      <c r="A587" s="222"/>
      <c r="B587" s="7"/>
      <c r="C587" s="7"/>
      <c r="E587" s="7"/>
      <c r="F587" s="7"/>
      <c r="G587" s="222"/>
      <c r="H587" s="7"/>
      <c r="I587" s="7"/>
      <c r="J587" s="7"/>
      <c r="K587" s="7"/>
      <c r="L587" s="222"/>
      <c r="M587" s="7"/>
      <c r="N587" s="7"/>
      <c r="O587" s="7"/>
      <c r="P587" s="7"/>
      <c r="Q587" s="257"/>
      <c r="U587" s="7"/>
      <c r="V587" s="350"/>
      <c r="AD587" s="280"/>
    </row>
    <row r="588" customHeight="1" spans="1:30">
      <c r="A588" s="222"/>
      <c r="B588" s="7"/>
      <c r="C588" s="7"/>
      <c r="E588" s="7"/>
      <c r="F588" s="7"/>
      <c r="G588" s="222"/>
      <c r="H588" s="7"/>
      <c r="I588" s="7"/>
      <c r="J588" s="7"/>
      <c r="K588" s="7"/>
      <c r="L588" s="222"/>
      <c r="M588" s="7"/>
      <c r="N588" s="7"/>
      <c r="O588" s="7"/>
      <c r="P588" s="7"/>
      <c r="Q588" s="257"/>
      <c r="U588" s="7"/>
      <c r="V588" s="350"/>
      <c r="AD588" s="280"/>
    </row>
    <row r="589" customHeight="1" spans="1:30">
      <c r="A589" s="222"/>
      <c r="B589" s="7"/>
      <c r="C589" s="7"/>
      <c r="E589" s="7"/>
      <c r="F589" s="7"/>
      <c r="G589" s="222"/>
      <c r="H589" s="7"/>
      <c r="I589" s="7"/>
      <c r="J589" s="7"/>
      <c r="K589" s="7"/>
      <c r="L589" s="222"/>
      <c r="M589" s="7"/>
      <c r="N589" s="7"/>
      <c r="O589" s="7"/>
      <c r="P589" s="7"/>
      <c r="Q589" s="257"/>
      <c r="U589" s="7"/>
      <c r="V589" s="350"/>
      <c r="AD589" s="280"/>
    </row>
    <row r="590" customHeight="1" spans="1:30">
      <c r="A590" s="222"/>
      <c r="B590" s="7"/>
      <c r="C590" s="7"/>
      <c r="E590" s="7"/>
      <c r="F590" s="7"/>
      <c r="G590" s="222"/>
      <c r="H590" s="7"/>
      <c r="I590" s="7"/>
      <c r="J590" s="7"/>
      <c r="K590" s="7"/>
      <c r="L590" s="222"/>
      <c r="M590" s="7"/>
      <c r="N590" s="7"/>
      <c r="O590" s="7"/>
      <c r="P590" s="7"/>
      <c r="Q590" s="257"/>
      <c r="U590" s="7"/>
      <c r="V590" s="350"/>
      <c r="AD590" s="280"/>
    </row>
    <row r="591" customHeight="1" spans="1:30">
      <c r="A591" s="222"/>
      <c r="B591" s="7"/>
      <c r="C591" s="7"/>
      <c r="E591" s="7"/>
      <c r="F591" s="7"/>
      <c r="G591" s="222"/>
      <c r="H591" s="7"/>
      <c r="I591" s="7"/>
      <c r="J591" s="7"/>
      <c r="K591" s="7"/>
      <c r="L591" s="222"/>
      <c r="M591" s="7"/>
      <c r="N591" s="7"/>
      <c r="O591" s="7"/>
      <c r="P591" s="7"/>
      <c r="Q591" s="257"/>
      <c r="U591" s="7"/>
      <c r="V591" s="350"/>
      <c r="AD591" s="280"/>
    </row>
    <row r="592" customHeight="1" spans="1:30">
      <c r="A592" s="222"/>
      <c r="B592" s="7"/>
      <c r="C592" s="7"/>
      <c r="E592" s="7"/>
      <c r="F592" s="7"/>
      <c r="G592" s="222"/>
      <c r="H592" s="7"/>
      <c r="I592" s="7"/>
      <c r="J592" s="7"/>
      <c r="K592" s="7"/>
      <c r="L592" s="222"/>
      <c r="M592" s="7"/>
      <c r="N592" s="7"/>
      <c r="O592" s="7"/>
      <c r="P592" s="7"/>
      <c r="Q592" s="257"/>
      <c r="U592" s="7"/>
      <c r="V592" s="350"/>
      <c r="AD592" s="280"/>
    </row>
    <row r="593" customHeight="1" spans="1:30">
      <c r="A593" s="222"/>
      <c r="B593" s="7"/>
      <c r="C593" s="7"/>
      <c r="E593" s="7"/>
      <c r="F593" s="7"/>
      <c r="G593" s="222"/>
      <c r="H593" s="7"/>
      <c r="I593" s="7"/>
      <c r="J593" s="7"/>
      <c r="K593" s="7"/>
      <c r="L593" s="222"/>
      <c r="M593" s="7"/>
      <c r="N593" s="7"/>
      <c r="O593" s="7"/>
      <c r="P593" s="7"/>
      <c r="Q593" s="257"/>
      <c r="U593" s="7"/>
      <c r="V593" s="350"/>
      <c r="AD593" s="280"/>
    </row>
    <row r="594" customHeight="1" spans="1:30">
      <c r="A594" s="222"/>
      <c r="B594" s="7"/>
      <c r="C594" s="7"/>
      <c r="E594" s="7"/>
      <c r="F594" s="7"/>
      <c r="G594" s="222"/>
      <c r="H594" s="7"/>
      <c r="I594" s="7"/>
      <c r="J594" s="7"/>
      <c r="K594" s="7"/>
      <c r="L594" s="222"/>
      <c r="M594" s="7"/>
      <c r="N594" s="7"/>
      <c r="O594" s="7"/>
      <c r="P594" s="7"/>
      <c r="Q594" s="257"/>
      <c r="U594" s="7"/>
      <c r="V594" s="350"/>
      <c r="AD594" s="280"/>
    </row>
    <row r="595" customHeight="1" spans="1:30">
      <c r="A595" s="222"/>
      <c r="B595" s="7"/>
      <c r="C595" s="7"/>
      <c r="E595" s="7"/>
      <c r="F595" s="7"/>
      <c r="G595" s="222"/>
      <c r="H595" s="7"/>
      <c r="I595" s="7"/>
      <c r="J595" s="7"/>
      <c r="K595" s="7"/>
      <c r="L595" s="222"/>
      <c r="M595" s="7"/>
      <c r="N595" s="7"/>
      <c r="O595" s="7"/>
      <c r="P595" s="7"/>
      <c r="Q595" s="257"/>
      <c r="U595" s="7"/>
      <c r="V595" s="350"/>
      <c r="AD595" s="280"/>
    </row>
    <row r="596" customHeight="1" spans="1:30">
      <c r="A596" s="222"/>
      <c r="B596" s="7"/>
      <c r="C596" s="7"/>
      <c r="E596" s="7"/>
      <c r="F596" s="7"/>
      <c r="G596" s="222"/>
      <c r="H596" s="7"/>
      <c r="I596" s="7"/>
      <c r="J596" s="7"/>
      <c r="K596" s="7"/>
      <c r="L596" s="222"/>
      <c r="M596" s="7"/>
      <c r="N596" s="7"/>
      <c r="O596" s="7"/>
      <c r="P596" s="7"/>
      <c r="Q596" s="257"/>
      <c r="U596" s="7"/>
      <c r="V596" s="350"/>
      <c r="AD596" s="280"/>
    </row>
    <row r="597" customHeight="1" spans="1:30">
      <c r="A597" s="222"/>
      <c r="B597" s="7"/>
      <c r="C597" s="7"/>
      <c r="E597" s="7"/>
      <c r="F597" s="7"/>
      <c r="G597" s="222"/>
      <c r="H597" s="7"/>
      <c r="I597" s="7"/>
      <c r="J597" s="7"/>
      <c r="K597" s="7"/>
      <c r="L597" s="222"/>
      <c r="M597" s="7"/>
      <c r="N597" s="7"/>
      <c r="O597" s="7"/>
      <c r="P597" s="7"/>
      <c r="Q597" s="257"/>
      <c r="U597" s="7"/>
      <c r="V597" s="350"/>
      <c r="AD597" s="280"/>
    </row>
    <row r="598" customHeight="1" spans="1:30">
      <c r="A598" s="222"/>
      <c r="B598" s="7"/>
      <c r="C598" s="7"/>
      <c r="E598" s="7"/>
      <c r="F598" s="7"/>
      <c r="G598" s="222"/>
      <c r="H598" s="7"/>
      <c r="I598" s="7"/>
      <c r="J598" s="7"/>
      <c r="K598" s="7"/>
      <c r="L598" s="222"/>
      <c r="M598" s="7"/>
      <c r="N598" s="7"/>
      <c r="O598" s="7"/>
      <c r="P598" s="7"/>
      <c r="Q598" s="257"/>
      <c r="U598" s="7"/>
      <c r="V598" s="350"/>
      <c r="AD598" s="280"/>
    </row>
    <row r="599" customHeight="1" spans="1:30">
      <c r="A599" s="222"/>
      <c r="B599" s="7"/>
      <c r="C599" s="7"/>
      <c r="E599" s="7"/>
      <c r="F599" s="7"/>
      <c r="G599" s="222"/>
      <c r="H599" s="7"/>
      <c r="I599" s="7"/>
      <c r="J599" s="7"/>
      <c r="K599" s="7"/>
      <c r="L599" s="222"/>
      <c r="M599" s="7"/>
      <c r="N599" s="7"/>
      <c r="O599" s="7"/>
      <c r="P599" s="7"/>
      <c r="Q599" s="257"/>
      <c r="U599" s="7"/>
      <c r="V599" s="350"/>
      <c r="AD599" s="280"/>
    </row>
    <row r="600" customHeight="1" spans="1:30">
      <c r="A600" s="222"/>
      <c r="B600" s="7"/>
      <c r="C600" s="7"/>
      <c r="E600" s="7"/>
      <c r="F600" s="7"/>
      <c r="G600" s="222"/>
      <c r="H600" s="7"/>
      <c r="I600" s="7"/>
      <c r="J600" s="7"/>
      <c r="K600" s="7"/>
      <c r="L600" s="222"/>
      <c r="M600" s="7"/>
      <c r="N600" s="7"/>
      <c r="O600" s="7"/>
      <c r="P600" s="7"/>
      <c r="Q600" s="257"/>
      <c r="U600" s="7"/>
      <c r="V600" s="350"/>
      <c r="AD600" s="280"/>
    </row>
    <row r="601" customHeight="1" spans="1:30">
      <c r="A601" s="222"/>
      <c r="B601" s="7"/>
      <c r="C601" s="7"/>
      <c r="E601" s="7"/>
      <c r="F601" s="7"/>
      <c r="G601" s="222"/>
      <c r="H601" s="7"/>
      <c r="I601" s="7"/>
      <c r="J601" s="7"/>
      <c r="K601" s="7"/>
      <c r="L601" s="222"/>
      <c r="M601" s="7"/>
      <c r="N601" s="7"/>
      <c r="O601" s="7"/>
      <c r="P601" s="7"/>
      <c r="Q601" s="257"/>
      <c r="U601" s="7"/>
      <c r="V601" s="350"/>
      <c r="AD601" s="280"/>
    </row>
    <row r="602" customHeight="1" spans="1:30">
      <c r="A602" s="222"/>
      <c r="B602" s="7"/>
      <c r="C602" s="7"/>
      <c r="E602" s="7"/>
      <c r="F602" s="7"/>
      <c r="G602" s="222"/>
      <c r="H602" s="7"/>
      <c r="I602" s="7"/>
      <c r="J602" s="7"/>
      <c r="K602" s="7"/>
      <c r="L602" s="222"/>
      <c r="M602" s="7"/>
      <c r="N602" s="7"/>
      <c r="O602" s="7"/>
      <c r="P602" s="7"/>
      <c r="Q602" s="257"/>
      <c r="U602" s="7"/>
      <c r="V602" s="350"/>
      <c r="AD602" s="280"/>
    </row>
    <row r="603" customHeight="1" spans="1:30">
      <c r="A603" s="222"/>
      <c r="B603" s="7"/>
      <c r="C603" s="7"/>
      <c r="E603" s="7"/>
      <c r="F603" s="7"/>
      <c r="G603" s="222"/>
      <c r="H603" s="7"/>
      <c r="I603" s="7"/>
      <c r="J603" s="7"/>
      <c r="K603" s="7"/>
      <c r="L603" s="222"/>
      <c r="M603" s="7"/>
      <c r="N603" s="7"/>
      <c r="O603" s="7"/>
      <c r="P603" s="7"/>
      <c r="Q603" s="257"/>
      <c r="U603" s="7"/>
      <c r="V603" s="350"/>
      <c r="AD603" s="280"/>
    </row>
    <row r="604" customHeight="1" spans="1:30">
      <c r="A604" s="222"/>
      <c r="B604" s="7"/>
      <c r="C604" s="7"/>
      <c r="E604" s="7"/>
      <c r="F604" s="7"/>
      <c r="G604" s="222"/>
      <c r="H604" s="7"/>
      <c r="I604" s="7"/>
      <c r="J604" s="7"/>
      <c r="K604" s="7"/>
      <c r="L604" s="222"/>
      <c r="M604" s="7"/>
      <c r="N604" s="7"/>
      <c r="O604" s="7"/>
      <c r="P604" s="7"/>
      <c r="Q604" s="257"/>
      <c r="U604" s="7"/>
      <c r="V604" s="350"/>
      <c r="AD604" s="280"/>
    </row>
    <row r="605" customHeight="1" spans="1:30">
      <c r="A605" s="222"/>
      <c r="B605" s="7"/>
      <c r="C605" s="7"/>
      <c r="E605" s="7"/>
      <c r="F605" s="7"/>
      <c r="G605" s="222"/>
      <c r="H605" s="7"/>
      <c r="I605" s="7"/>
      <c r="J605" s="7"/>
      <c r="K605" s="7"/>
      <c r="L605" s="222"/>
      <c r="M605" s="7"/>
      <c r="N605" s="7"/>
      <c r="O605" s="7"/>
      <c r="P605" s="7"/>
      <c r="Q605" s="257"/>
      <c r="U605" s="7"/>
      <c r="V605" s="350"/>
      <c r="AD605" s="280"/>
    </row>
    <row r="606" customHeight="1" spans="1:30">
      <c r="A606" s="222"/>
      <c r="B606" s="7"/>
      <c r="C606" s="7"/>
      <c r="E606" s="7"/>
      <c r="F606" s="7"/>
      <c r="G606" s="222"/>
      <c r="H606" s="7"/>
      <c r="I606" s="7"/>
      <c r="J606" s="7"/>
      <c r="K606" s="7"/>
      <c r="L606" s="222"/>
      <c r="M606" s="7"/>
      <c r="N606" s="7"/>
      <c r="O606" s="7"/>
      <c r="P606" s="7"/>
      <c r="Q606" s="257"/>
      <c r="U606" s="7"/>
      <c r="V606" s="350"/>
      <c r="AD606" s="280"/>
    </row>
    <row r="607" customHeight="1" spans="1:30">
      <c r="A607" s="222"/>
      <c r="B607" s="7"/>
      <c r="C607" s="7"/>
      <c r="E607" s="7"/>
      <c r="F607" s="7"/>
      <c r="G607" s="222"/>
      <c r="H607" s="7"/>
      <c r="I607" s="7"/>
      <c r="J607" s="7"/>
      <c r="K607" s="7"/>
      <c r="L607" s="222"/>
      <c r="M607" s="7"/>
      <c r="N607" s="7"/>
      <c r="O607" s="7"/>
      <c r="P607" s="7"/>
      <c r="Q607" s="257"/>
      <c r="U607" s="7"/>
      <c r="V607" s="350"/>
      <c r="AD607" s="280"/>
    </row>
    <row r="608" customHeight="1" spans="1:30">
      <c r="A608" s="222"/>
      <c r="B608" s="7"/>
      <c r="C608" s="7"/>
      <c r="E608" s="7"/>
      <c r="F608" s="7"/>
      <c r="G608" s="222"/>
      <c r="H608" s="7"/>
      <c r="I608" s="7"/>
      <c r="J608" s="7"/>
      <c r="K608" s="7"/>
      <c r="L608" s="222"/>
      <c r="M608" s="7"/>
      <c r="N608" s="7"/>
      <c r="O608" s="7"/>
      <c r="P608" s="7"/>
      <c r="Q608" s="257"/>
      <c r="U608" s="7"/>
      <c r="V608" s="350"/>
      <c r="AD608" s="280"/>
    </row>
    <row r="609" customHeight="1" spans="1:30">
      <c r="A609" s="222"/>
      <c r="B609" s="7"/>
      <c r="C609" s="7"/>
      <c r="E609" s="7"/>
      <c r="F609" s="7"/>
      <c r="G609" s="222"/>
      <c r="H609" s="7"/>
      <c r="I609" s="7"/>
      <c r="J609" s="7"/>
      <c r="K609" s="7"/>
      <c r="L609" s="222"/>
      <c r="M609" s="7"/>
      <c r="N609" s="7"/>
      <c r="O609" s="7"/>
      <c r="P609" s="7"/>
      <c r="Q609" s="257"/>
      <c r="U609" s="7"/>
      <c r="V609" s="350"/>
      <c r="AD609" s="280"/>
    </row>
    <row r="610" customHeight="1" spans="1:30">
      <c r="A610" s="222"/>
      <c r="B610" s="7"/>
      <c r="C610" s="7"/>
      <c r="E610" s="7"/>
      <c r="F610" s="7"/>
      <c r="G610" s="222"/>
      <c r="H610" s="7"/>
      <c r="I610" s="7"/>
      <c r="J610" s="7"/>
      <c r="K610" s="7"/>
      <c r="L610" s="222"/>
      <c r="M610" s="7"/>
      <c r="N610" s="7"/>
      <c r="O610" s="7"/>
      <c r="P610" s="7"/>
      <c r="Q610" s="257"/>
      <c r="U610" s="7"/>
      <c r="V610" s="350"/>
      <c r="AD610" s="280"/>
    </row>
    <row r="611" customHeight="1" spans="1:30">
      <c r="A611" s="222"/>
      <c r="B611" s="7"/>
      <c r="C611" s="7"/>
      <c r="E611" s="7"/>
      <c r="F611" s="7"/>
      <c r="G611" s="222"/>
      <c r="H611" s="7"/>
      <c r="I611" s="7"/>
      <c r="J611" s="7"/>
      <c r="K611" s="7"/>
      <c r="L611" s="222"/>
      <c r="M611" s="7"/>
      <c r="N611" s="7"/>
      <c r="O611" s="7"/>
      <c r="P611" s="7"/>
      <c r="Q611" s="257"/>
      <c r="U611" s="7"/>
      <c r="V611" s="350"/>
      <c r="AD611" s="280"/>
    </row>
    <row r="612" customHeight="1" spans="1:30">
      <c r="A612" s="222"/>
      <c r="B612" s="7"/>
      <c r="C612" s="7"/>
      <c r="E612" s="7"/>
      <c r="F612" s="7"/>
      <c r="G612" s="222"/>
      <c r="H612" s="7"/>
      <c r="I612" s="7"/>
      <c r="J612" s="7"/>
      <c r="K612" s="7"/>
      <c r="L612" s="222"/>
      <c r="M612" s="7"/>
      <c r="N612" s="7"/>
      <c r="O612" s="7"/>
      <c r="P612" s="7"/>
      <c r="Q612" s="257"/>
      <c r="U612" s="7"/>
      <c r="V612" s="350"/>
      <c r="AD612" s="280"/>
    </row>
    <row r="613" customHeight="1" spans="1:30">
      <c r="A613" s="222"/>
      <c r="B613" s="7"/>
      <c r="C613" s="7"/>
      <c r="E613" s="7"/>
      <c r="F613" s="7"/>
      <c r="G613" s="222"/>
      <c r="H613" s="7"/>
      <c r="I613" s="7"/>
      <c r="J613" s="7"/>
      <c r="K613" s="7"/>
      <c r="L613" s="222"/>
      <c r="M613" s="7"/>
      <c r="N613" s="7"/>
      <c r="O613" s="7"/>
      <c r="P613" s="7"/>
      <c r="Q613" s="257"/>
      <c r="U613" s="7"/>
      <c r="V613" s="350"/>
      <c r="AD613" s="280"/>
    </row>
    <row r="614" customHeight="1" spans="1:30">
      <c r="A614" s="222"/>
      <c r="B614" s="7"/>
      <c r="C614" s="7"/>
      <c r="E614" s="7"/>
      <c r="F614" s="7"/>
      <c r="G614" s="222"/>
      <c r="H614" s="7"/>
      <c r="I614" s="7"/>
      <c r="J614" s="7"/>
      <c r="K614" s="7"/>
      <c r="L614" s="222"/>
      <c r="M614" s="7"/>
      <c r="N614" s="7"/>
      <c r="O614" s="7"/>
      <c r="P614" s="7"/>
      <c r="Q614" s="257"/>
      <c r="U614" s="7"/>
      <c r="V614" s="350"/>
      <c r="AD614" s="280"/>
    </row>
    <row r="615" customHeight="1" spans="1:30">
      <c r="A615" s="222"/>
      <c r="B615" s="7"/>
      <c r="C615" s="7"/>
      <c r="E615" s="7"/>
      <c r="F615" s="7"/>
      <c r="G615" s="222"/>
      <c r="H615" s="7"/>
      <c r="I615" s="7"/>
      <c r="J615" s="7"/>
      <c r="K615" s="7"/>
      <c r="L615" s="222"/>
      <c r="M615" s="7"/>
      <c r="N615" s="7"/>
      <c r="O615" s="7"/>
      <c r="P615" s="7"/>
      <c r="Q615" s="257"/>
      <c r="U615" s="7"/>
      <c r="V615" s="350"/>
      <c r="AD615" s="280"/>
    </row>
    <row r="616" customHeight="1" spans="1:30">
      <c r="A616" s="222"/>
      <c r="B616" s="7"/>
      <c r="C616" s="7"/>
      <c r="E616" s="7"/>
      <c r="F616" s="7"/>
      <c r="G616" s="222"/>
      <c r="H616" s="7"/>
      <c r="I616" s="7"/>
      <c r="J616" s="7"/>
      <c r="K616" s="7"/>
      <c r="L616" s="222"/>
      <c r="M616" s="7"/>
      <c r="N616" s="7"/>
      <c r="O616" s="7"/>
      <c r="P616" s="7"/>
      <c r="Q616" s="257"/>
      <c r="U616" s="7"/>
      <c r="V616" s="350"/>
      <c r="AD616" s="280"/>
    </row>
    <row r="617" customHeight="1" spans="1:30">
      <c r="A617" s="222"/>
      <c r="B617" s="7"/>
      <c r="C617" s="7"/>
      <c r="E617" s="7"/>
      <c r="F617" s="7"/>
      <c r="G617" s="222"/>
      <c r="H617" s="7"/>
      <c r="I617" s="7"/>
      <c r="J617" s="7"/>
      <c r="K617" s="7"/>
      <c r="L617" s="222"/>
      <c r="M617" s="7"/>
      <c r="N617" s="7"/>
      <c r="O617" s="7"/>
      <c r="P617" s="7"/>
      <c r="Q617" s="257"/>
      <c r="U617" s="7"/>
      <c r="V617" s="350"/>
      <c r="AD617" s="280"/>
    </row>
    <row r="618" customHeight="1" spans="1:30">
      <c r="A618" s="222"/>
      <c r="B618" s="7"/>
      <c r="C618" s="7"/>
      <c r="E618" s="7"/>
      <c r="F618" s="7"/>
      <c r="G618" s="222"/>
      <c r="H618" s="7"/>
      <c r="I618" s="7"/>
      <c r="J618" s="7"/>
      <c r="K618" s="7"/>
      <c r="L618" s="222"/>
      <c r="M618" s="7"/>
      <c r="N618" s="7"/>
      <c r="O618" s="7"/>
      <c r="P618" s="7"/>
      <c r="Q618" s="257"/>
      <c r="U618" s="7"/>
      <c r="V618" s="350"/>
      <c r="AD618" s="280"/>
    </row>
    <row r="619" customHeight="1" spans="1:30">
      <c r="A619" s="222"/>
      <c r="B619" s="7"/>
      <c r="C619" s="7"/>
      <c r="E619" s="7"/>
      <c r="F619" s="7"/>
      <c r="G619" s="222"/>
      <c r="H619" s="7"/>
      <c r="I619" s="7"/>
      <c r="J619" s="7"/>
      <c r="K619" s="7"/>
      <c r="L619" s="222"/>
      <c r="M619" s="7"/>
      <c r="N619" s="7"/>
      <c r="O619" s="7"/>
      <c r="P619" s="7"/>
      <c r="Q619" s="257"/>
      <c r="U619" s="7"/>
      <c r="V619" s="350"/>
      <c r="AD619" s="280"/>
    </row>
    <row r="620" customHeight="1" spans="1:30">
      <c r="A620" s="222"/>
      <c r="B620" s="7"/>
      <c r="C620" s="7"/>
      <c r="E620" s="7"/>
      <c r="F620" s="7"/>
      <c r="G620" s="222"/>
      <c r="H620" s="7"/>
      <c r="I620" s="7"/>
      <c r="J620" s="7"/>
      <c r="K620" s="7"/>
      <c r="L620" s="222"/>
      <c r="M620" s="7"/>
      <c r="N620" s="7"/>
      <c r="O620" s="7"/>
      <c r="P620" s="7"/>
      <c r="Q620" s="257"/>
      <c r="U620" s="7"/>
      <c r="V620" s="350"/>
      <c r="AD620" s="280"/>
    </row>
    <row r="621" customHeight="1" spans="1:30">
      <c r="A621" s="222"/>
      <c r="B621" s="7"/>
      <c r="C621" s="7"/>
      <c r="E621" s="7"/>
      <c r="F621" s="7"/>
      <c r="G621" s="222"/>
      <c r="H621" s="7"/>
      <c r="I621" s="7"/>
      <c r="J621" s="7"/>
      <c r="K621" s="7"/>
      <c r="L621" s="222"/>
      <c r="M621" s="7"/>
      <c r="N621" s="7"/>
      <c r="O621" s="7"/>
      <c r="P621" s="7"/>
      <c r="Q621" s="257"/>
      <c r="U621" s="7"/>
      <c r="V621" s="350"/>
      <c r="AD621" s="280"/>
    </row>
    <row r="622" customHeight="1" spans="1:30">
      <c r="A622" s="222"/>
      <c r="B622" s="7"/>
      <c r="C622" s="7"/>
      <c r="E622" s="7"/>
      <c r="F622" s="7"/>
      <c r="G622" s="222"/>
      <c r="H622" s="7"/>
      <c r="I622" s="7"/>
      <c r="J622" s="7"/>
      <c r="K622" s="7"/>
      <c r="L622" s="222"/>
      <c r="M622" s="7"/>
      <c r="N622" s="7"/>
      <c r="O622" s="7"/>
      <c r="P622" s="7"/>
      <c r="Q622" s="257"/>
      <c r="U622" s="7"/>
      <c r="V622" s="350"/>
      <c r="AD622" s="280"/>
    </row>
    <row r="623" customHeight="1" spans="1:30">
      <c r="A623" s="222"/>
      <c r="B623" s="7"/>
      <c r="C623" s="7"/>
      <c r="E623" s="7"/>
      <c r="F623" s="7"/>
      <c r="G623" s="222"/>
      <c r="H623" s="7"/>
      <c r="I623" s="7"/>
      <c r="J623" s="7"/>
      <c r="K623" s="7"/>
      <c r="L623" s="222"/>
      <c r="M623" s="7"/>
      <c r="N623" s="7"/>
      <c r="O623" s="7"/>
      <c r="P623" s="7"/>
      <c r="Q623" s="257"/>
      <c r="U623" s="7"/>
      <c r="V623" s="350"/>
      <c r="AD623" s="280"/>
    </row>
    <row r="624" customHeight="1" spans="1:30">
      <c r="A624" s="222"/>
      <c r="B624" s="7"/>
      <c r="C624" s="7"/>
      <c r="E624" s="7"/>
      <c r="F624" s="7"/>
      <c r="G624" s="222"/>
      <c r="H624" s="7"/>
      <c r="I624" s="7"/>
      <c r="J624" s="7"/>
      <c r="K624" s="7"/>
      <c r="L624" s="222"/>
      <c r="M624" s="7"/>
      <c r="N624" s="7"/>
      <c r="O624" s="7"/>
      <c r="P624" s="7"/>
      <c r="Q624" s="257"/>
      <c r="U624" s="7"/>
      <c r="V624" s="350"/>
      <c r="AD624" s="280"/>
    </row>
    <row r="625" customHeight="1" spans="1:30">
      <c r="A625" s="222"/>
      <c r="B625" s="7"/>
      <c r="C625" s="7"/>
      <c r="E625" s="7"/>
      <c r="F625" s="7"/>
      <c r="G625" s="222"/>
      <c r="H625" s="7"/>
      <c r="I625" s="7"/>
      <c r="J625" s="7"/>
      <c r="K625" s="7"/>
      <c r="L625" s="222"/>
      <c r="M625" s="7"/>
      <c r="N625" s="7"/>
      <c r="O625" s="7"/>
      <c r="P625" s="7"/>
      <c r="Q625" s="257"/>
      <c r="U625" s="7"/>
      <c r="V625" s="350"/>
      <c r="AD625" s="280"/>
    </row>
    <row r="626" customHeight="1" spans="1:30">
      <c r="A626" s="222"/>
      <c r="B626" s="7"/>
      <c r="C626" s="7"/>
      <c r="E626" s="7"/>
      <c r="F626" s="7"/>
      <c r="G626" s="222"/>
      <c r="H626" s="7"/>
      <c r="I626" s="7"/>
      <c r="J626" s="7"/>
      <c r="K626" s="7"/>
      <c r="L626" s="222"/>
      <c r="M626" s="7"/>
      <c r="N626" s="7"/>
      <c r="O626" s="7"/>
      <c r="P626" s="7"/>
      <c r="Q626" s="257"/>
      <c r="U626" s="7"/>
      <c r="V626" s="350"/>
      <c r="AD626" s="280"/>
    </row>
    <row r="627" customHeight="1" spans="1:30">
      <c r="A627" s="222"/>
      <c r="B627" s="7"/>
      <c r="C627" s="7"/>
      <c r="E627" s="7"/>
      <c r="F627" s="7"/>
      <c r="G627" s="222"/>
      <c r="H627" s="7"/>
      <c r="I627" s="7"/>
      <c r="J627" s="7"/>
      <c r="K627" s="7"/>
      <c r="L627" s="222"/>
      <c r="M627" s="7"/>
      <c r="N627" s="7"/>
      <c r="O627" s="7"/>
      <c r="P627" s="7"/>
      <c r="Q627" s="257"/>
      <c r="U627" s="7"/>
      <c r="V627" s="350"/>
      <c r="AD627" s="280"/>
    </row>
    <row r="628" customHeight="1" spans="1:30">
      <c r="A628" s="222"/>
      <c r="B628" s="7"/>
      <c r="C628" s="7"/>
      <c r="E628" s="7"/>
      <c r="F628" s="7"/>
      <c r="G628" s="222"/>
      <c r="H628" s="7"/>
      <c r="I628" s="7"/>
      <c r="J628" s="7"/>
      <c r="K628" s="7"/>
      <c r="L628" s="222"/>
      <c r="M628" s="7"/>
      <c r="N628" s="7"/>
      <c r="O628" s="7"/>
      <c r="P628" s="7"/>
      <c r="Q628" s="257"/>
      <c r="U628" s="7"/>
      <c r="V628" s="350"/>
      <c r="AD628" s="280"/>
    </row>
    <row r="629" customHeight="1" spans="1:30">
      <c r="A629" s="222"/>
      <c r="B629" s="7"/>
      <c r="C629" s="7"/>
      <c r="E629" s="7"/>
      <c r="F629" s="7"/>
      <c r="G629" s="222"/>
      <c r="H629" s="7"/>
      <c r="I629" s="7"/>
      <c r="J629" s="7"/>
      <c r="K629" s="7"/>
      <c r="L629" s="222"/>
      <c r="M629" s="7"/>
      <c r="N629" s="7"/>
      <c r="O629" s="7"/>
      <c r="P629" s="7"/>
      <c r="Q629" s="257"/>
      <c r="U629" s="7"/>
      <c r="V629" s="350"/>
      <c r="AD629" s="280"/>
    </row>
    <row r="630" customHeight="1" spans="1:30">
      <c r="A630" s="222"/>
      <c r="B630" s="7"/>
      <c r="C630" s="7"/>
      <c r="E630" s="7"/>
      <c r="F630" s="7"/>
      <c r="G630" s="222"/>
      <c r="H630" s="7"/>
      <c r="I630" s="7"/>
      <c r="J630" s="7"/>
      <c r="K630" s="7"/>
      <c r="L630" s="222"/>
      <c r="M630" s="7"/>
      <c r="N630" s="7"/>
      <c r="O630" s="7"/>
      <c r="P630" s="7"/>
      <c r="Q630" s="257"/>
      <c r="U630" s="7"/>
      <c r="V630" s="350"/>
      <c r="AD630" s="280"/>
    </row>
    <row r="631" customHeight="1" spans="1:30">
      <c r="A631" s="222"/>
      <c r="B631" s="7"/>
      <c r="C631" s="7"/>
      <c r="E631" s="7"/>
      <c r="F631" s="7"/>
      <c r="G631" s="222"/>
      <c r="H631" s="7"/>
      <c r="I631" s="7"/>
      <c r="J631" s="7"/>
      <c r="K631" s="7"/>
      <c r="L631" s="222"/>
      <c r="M631" s="7"/>
      <c r="N631" s="7"/>
      <c r="O631" s="7"/>
      <c r="P631" s="7"/>
      <c r="Q631" s="257"/>
      <c r="U631" s="7"/>
      <c r="V631" s="350"/>
      <c r="AD631" s="280"/>
    </row>
    <row r="632" customHeight="1" spans="1:30">
      <c r="A632" s="222"/>
      <c r="B632" s="7"/>
      <c r="C632" s="7"/>
      <c r="E632" s="7"/>
      <c r="F632" s="7"/>
      <c r="G632" s="222"/>
      <c r="H632" s="7"/>
      <c r="I632" s="7"/>
      <c r="J632" s="7"/>
      <c r="K632" s="7"/>
      <c r="L632" s="222"/>
      <c r="M632" s="7"/>
      <c r="N632" s="7"/>
      <c r="O632" s="7"/>
      <c r="P632" s="7"/>
      <c r="Q632" s="257"/>
      <c r="U632" s="7"/>
      <c r="V632" s="350"/>
      <c r="AD632" s="280"/>
    </row>
    <row r="633" customHeight="1" spans="1:30">
      <c r="A633" s="222"/>
      <c r="B633" s="7"/>
      <c r="C633" s="7"/>
      <c r="E633" s="7"/>
      <c r="F633" s="7"/>
      <c r="G633" s="222"/>
      <c r="H633" s="7"/>
      <c r="I633" s="7"/>
      <c r="J633" s="7"/>
      <c r="K633" s="7"/>
      <c r="L633" s="222"/>
      <c r="M633" s="7"/>
      <c r="N633" s="7"/>
      <c r="O633" s="7"/>
      <c r="P633" s="7"/>
      <c r="Q633" s="257"/>
      <c r="U633" s="7"/>
      <c r="V633" s="350"/>
      <c r="AD633" s="280"/>
    </row>
    <row r="634" customHeight="1" spans="1:30">
      <c r="A634" s="222"/>
      <c r="B634" s="7"/>
      <c r="C634" s="7"/>
      <c r="E634" s="7"/>
      <c r="F634" s="7"/>
      <c r="G634" s="222"/>
      <c r="H634" s="7"/>
      <c r="I634" s="7"/>
      <c r="J634" s="7"/>
      <c r="K634" s="7"/>
      <c r="L634" s="222"/>
      <c r="M634" s="7"/>
      <c r="N634" s="7"/>
      <c r="O634" s="7"/>
      <c r="P634" s="7"/>
      <c r="Q634" s="257"/>
      <c r="U634" s="7"/>
      <c r="V634" s="350"/>
      <c r="AD634" s="280"/>
    </row>
    <row r="635" customHeight="1" spans="1:30">
      <c r="A635" s="222"/>
      <c r="B635" s="7"/>
      <c r="C635" s="7"/>
      <c r="E635" s="7"/>
      <c r="F635" s="7"/>
      <c r="G635" s="222"/>
      <c r="H635" s="7"/>
      <c r="I635" s="7"/>
      <c r="J635" s="7"/>
      <c r="K635" s="7"/>
      <c r="L635" s="222"/>
      <c r="M635" s="7"/>
      <c r="N635" s="7"/>
      <c r="O635" s="7"/>
      <c r="P635" s="7"/>
      <c r="Q635" s="257"/>
      <c r="U635" s="7"/>
      <c r="V635" s="350"/>
      <c r="AD635" s="280"/>
    </row>
    <row r="636" customHeight="1" spans="1:30">
      <c r="A636" s="222"/>
      <c r="B636" s="7"/>
      <c r="C636" s="7"/>
      <c r="E636" s="7"/>
      <c r="F636" s="7"/>
      <c r="G636" s="222"/>
      <c r="H636" s="7"/>
      <c r="I636" s="7"/>
      <c r="J636" s="7"/>
      <c r="K636" s="7"/>
      <c r="L636" s="222"/>
      <c r="M636" s="7"/>
      <c r="N636" s="7"/>
      <c r="O636" s="7"/>
      <c r="P636" s="7"/>
      <c r="Q636" s="257"/>
      <c r="U636" s="7"/>
      <c r="V636" s="350"/>
      <c r="AD636" s="280"/>
    </row>
    <row r="637" customHeight="1" spans="1:30">
      <c r="A637" s="222"/>
      <c r="B637" s="7"/>
      <c r="C637" s="7"/>
      <c r="E637" s="7"/>
      <c r="F637" s="7"/>
      <c r="G637" s="222"/>
      <c r="H637" s="7"/>
      <c r="I637" s="7"/>
      <c r="J637" s="7"/>
      <c r="K637" s="7"/>
      <c r="L637" s="222"/>
      <c r="M637" s="7"/>
      <c r="N637" s="7"/>
      <c r="O637" s="7"/>
      <c r="P637" s="7"/>
      <c r="Q637" s="257"/>
      <c r="U637" s="7"/>
      <c r="V637" s="350"/>
      <c r="AD637" s="280"/>
    </row>
    <row r="638" customHeight="1" spans="1:30">
      <c r="A638" s="222"/>
      <c r="B638" s="7"/>
      <c r="C638" s="7"/>
      <c r="E638" s="7"/>
      <c r="F638" s="7"/>
      <c r="G638" s="222"/>
      <c r="H638" s="7"/>
      <c r="I638" s="7"/>
      <c r="J638" s="7"/>
      <c r="K638" s="7"/>
      <c r="L638" s="222"/>
      <c r="M638" s="7"/>
      <c r="N638" s="7"/>
      <c r="O638" s="7"/>
      <c r="P638" s="7"/>
      <c r="Q638" s="257"/>
      <c r="U638" s="7"/>
      <c r="V638" s="350"/>
      <c r="AD638" s="280"/>
    </row>
    <row r="639" customHeight="1" spans="1:30">
      <c r="A639" s="222"/>
      <c r="B639" s="7"/>
      <c r="C639" s="7"/>
      <c r="E639" s="7"/>
      <c r="F639" s="7"/>
      <c r="G639" s="222"/>
      <c r="H639" s="7"/>
      <c r="I639" s="7"/>
      <c r="J639" s="7"/>
      <c r="K639" s="7"/>
      <c r="L639" s="222"/>
      <c r="M639" s="7"/>
      <c r="N639" s="7"/>
      <c r="O639" s="7"/>
      <c r="P639" s="7"/>
      <c r="Q639" s="257"/>
      <c r="U639" s="7"/>
      <c r="V639" s="350"/>
      <c r="AD639" s="280"/>
    </row>
    <row r="640" customHeight="1" spans="1:30">
      <c r="A640" s="222"/>
      <c r="B640" s="7"/>
      <c r="C640" s="7"/>
      <c r="E640" s="7"/>
      <c r="F640" s="7"/>
      <c r="G640" s="222"/>
      <c r="H640" s="7"/>
      <c r="I640" s="7"/>
      <c r="J640" s="7"/>
      <c r="K640" s="7"/>
      <c r="L640" s="222"/>
      <c r="M640" s="7"/>
      <c r="N640" s="7"/>
      <c r="O640" s="7"/>
      <c r="P640" s="7"/>
      <c r="Q640" s="257"/>
      <c r="U640" s="7"/>
      <c r="V640" s="350"/>
      <c r="AD640" s="280"/>
    </row>
    <row r="641" customHeight="1" spans="1:30">
      <c r="A641" s="222"/>
      <c r="B641" s="7"/>
      <c r="C641" s="7"/>
      <c r="E641" s="7"/>
      <c r="F641" s="7"/>
      <c r="G641" s="222"/>
      <c r="H641" s="7"/>
      <c r="I641" s="7"/>
      <c r="J641" s="7"/>
      <c r="K641" s="7"/>
      <c r="L641" s="222"/>
      <c r="M641" s="7"/>
      <c r="N641" s="7"/>
      <c r="O641" s="7"/>
      <c r="P641" s="7"/>
      <c r="Q641" s="257"/>
      <c r="U641" s="7"/>
      <c r="V641" s="350"/>
      <c r="AD641" s="280"/>
    </row>
    <row r="642" customHeight="1" spans="1:30">
      <c r="A642" s="222"/>
      <c r="B642" s="7"/>
      <c r="C642" s="7"/>
      <c r="E642" s="7"/>
      <c r="F642" s="7"/>
      <c r="G642" s="222"/>
      <c r="H642" s="7"/>
      <c r="I642" s="7"/>
      <c r="J642" s="7"/>
      <c r="K642" s="7"/>
      <c r="L642" s="222"/>
      <c r="M642" s="7"/>
      <c r="N642" s="7"/>
      <c r="O642" s="7"/>
      <c r="P642" s="7"/>
      <c r="Q642" s="257"/>
      <c r="U642" s="7"/>
      <c r="V642" s="350"/>
      <c r="AD642" s="280"/>
    </row>
    <row r="643" customHeight="1" spans="1:30">
      <c r="A643" s="222"/>
      <c r="B643" s="7"/>
      <c r="C643" s="7"/>
      <c r="E643" s="7"/>
      <c r="F643" s="7"/>
      <c r="G643" s="222"/>
      <c r="H643" s="7"/>
      <c r="I643" s="7"/>
      <c r="J643" s="7"/>
      <c r="K643" s="7"/>
      <c r="L643" s="222"/>
      <c r="M643" s="7"/>
      <c r="N643" s="7"/>
      <c r="O643" s="7"/>
      <c r="P643" s="7"/>
      <c r="Q643" s="257"/>
      <c r="U643" s="7"/>
      <c r="V643" s="350"/>
      <c r="AD643" s="280"/>
    </row>
    <row r="644" customHeight="1" spans="1:30">
      <c r="A644" s="222"/>
      <c r="B644" s="7"/>
      <c r="C644" s="7"/>
      <c r="E644" s="7"/>
      <c r="F644" s="7"/>
      <c r="G644" s="222"/>
      <c r="H644" s="7"/>
      <c r="I644" s="7"/>
      <c r="J644" s="7"/>
      <c r="K644" s="7"/>
      <c r="L644" s="222"/>
      <c r="M644" s="7"/>
      <c r="N644" s="7"/>
      <c r="O644" s="7"/>
      <c r="P644" s="7"/>
      <c r="Q644" s="257"/>
      <c r="U644" s="7"/>
      <c r="V644" s="350"/>
      <c r="AD644" s="280"/>
    </row>
    <row r="645" customHeight="1" spans="1:30">
      <c r="A645" s="222"/>
      <c r="B645" s="7"/>
      <c r="C645" s="7"/>
      <c r="E645" s="7"/>
      <c r="F645" s="7"/>
      <c r="G645" s="222"/>
      <c r="H645" s="7"/>
      <c r="I645" s="7"/>
      <c r="J645" s="7"/>
      <c r="K645" s="7"/>
      <c r="L645" s="222"/>
      <c r="M645" s="7"/>
      <c r="N645" s="7"/>
      <c r="O645" s="7"/>
      <c r="P645" s="7"/>
      <c r="Q645" s="257"/>
      <c r="U645" s="7"/>
      <c r="V645" s="350"/>
      <c r="AD645" s="280"/>
    </row>
    <row r="646" customHeight="1" spans="1:30">
      <c r="A646" s="222"/>
      <c r="B646" s="7"/>
      <c r="C646" s="7"/>
      <c r="E646" s="7"/>
      <c r="F646" s="7"/>
      <c r="G646" s="222"/>
      <c r="H646" s="7"/>
      <c r="I646" s="7"/>
      <c r="J646" s="7"/>
      <c r="K646" s="7"/>
      <c r="L646" s="222"/>
      <c r="M646" s="7"/>
      <c r="N646" s="7"/>
      <c r="O646" s="7"/>
      <c r="P646" s="7"/>
      <c r="Q646" s="257"/>
      <c r="U646" s="7"/>
      <c r="V646" s="350"/>
      <c r="AD646" s="280"/>
    </row>
    <row r="647" customHeight="1" spans="1:30">
      <c r="A647" s="222"/>
      <c r="B647" s="7"/>
      <c r="C647" s="7"/>
      <c r="E647" s="7"/>
      <c r="F647" s="7"/>
      <c r="G647" s="222"/>
      <c r="H647" s="7"/>
      <c r="I647" s="7"/>
      <c r="J647" s="7"/>
      <c r="K647" s="7"/>
      <c r="L647" s="222"/>
      <c r="M647" s="7"/>
      <c r="N647" s="7"/>
      <c r="O647" s="7"/>
      <c r="P647" s="7"/>
      <c r="Q647" s="257"/>
      <c r="U647" s="7"/>
      <c r="V647" s="350"/>
      <c r="AD647" s="280"/>
    </row>
    <row r="648" customHeight="1" spans="1:30">
      <c r="A648" s="222"/>
      <c r="B648" s="7"/>
      <c r="C648" s="7"/>
      <c r="E648" s="7"/>
      <c r="F648" s="7"/>
      <c r="G648" s="222"/>
      <c r="H648" s="7"/>
      <c r="I648" s="7"/>
      <c r="J648" s="7"/>
      <c r="K648" s="7"/>
      <c r="L648" s="222"/>
      <c r="M648" s="7"/>
      <c r="N648" s="7"/>
      <c r="O648" s="7"/>
      <c r="P648" s="7"/>
      <c r="Q648" s="257"/>
      <c r="U648" s="7"/>
      <c r="V648" s="350"/>
      <c r="AD648" s="280"/>
    </row>
    <row r="649" customHeight="1" spans="1:30">
      <c r="A649" s="222"/>
      <c r="B649" s="7"/>
      <c r="C649" s="7"/>
      <c r="E649" s="7"/>
      <c r="F649" s="7"/>
      <c r="G649" s="222"/>
      <c r="H649" s="7"/>
      <c r="I649" s="7"/>
      <c r="J649" s="7"/>
      <c r="K649" s="7"/>
      <c r="L649" s="222"/>
      <c r="M649" s="7"/>
      <c r="N649" s="7"/>
      <c r="O649" s="7"/>
      <c r="P649" s="7"/>
      <c r="Q649" s="257"/>
      <c r="U649" s="7"/>
      <c r="V649" s="350"/>
      <c r="AD649" s="280"/>
    </row>
    <row r="650" customHeight="1" spans="1:30">
      <c r="A650" s="222"/>
      <c r="B650" s="7"/>
      <c r="C650" s="7"/>
      <c r="E650" s="7"/>
      <c r="F650" s="7"/>
      <c r="G650" s="222"/>
      <c r="H650" s="7"/>
      <c r="I650" s="7"/>
      <c r="J650" s="7"/>
      <c r="K650" s="7"/>
      <c r="L650" s="222"/>
      <c r="M650" s="7"/>
      <c r="N650" s="7"/>
      <c r="O650" s="7"/>
      <c r="P650" s="7"/>
      <c r="Q650" s="257"/>
      <c r="U650" s="7"/>
      <c r="V650" s="350"/>
      <c r="AD650" s="280"/>
    </row>
    <row r="651" customHeight="1" spans="1:30">
      <c r="A651" s="222"/>
      <c r="B651" s="7"/>
      <c r="C651" s="7"/>
      <c r="E651" s="7"/>
      <c r="F651" s="7"/>
      <c r="G651" s="222"/>
      <c r="H651" s="7"/>
      <c r="I651" s="7"/>
      <c r="J651" s="7"/>
      <c r="K651" s="7"/>
      <c r="L651" s="222"/>
      <c r="M651" s="7"/>
      <c r="N651" s="7"/>
      <c r="O651" s="7"/>
      <c r="P651" s="7"/>
      <c r="Q651" s="257"/>
      <c r="U651" s="7"/>
      <c r="V651" s="350"/>
      <c r="AD651" s="280"/>
    </row>
    <row r="652" customHeight="1" spans="1:30">
      <c r="A652" s="222"/>
      <c r="B652" s="7"/>
      <c r="C652" s="7"/>
      <c r="E652" s="7"/>
      <c r="F652" s="7"/>
      <c r="G652" s="222"/>
      <c r="H652" s="7"/>
      <c r="I652" s="7"/>
      <c r="J652" s="7"/>
      <c r="K652" s="7"/>
      <c r="L652" s="222"/>
      <c r="M652" s="7"/>
      <c r="N652" s="7"/>
      <c r="O652" s="7"/>
      <c r="P652" s="7"/>
      <c r="Q652" s="257"/>
      <c r="U652" s="7"/>
      <c r="V652" s="350"/>
      <c r="AD652" s="280"/>
    </row>
    <row r="653" customHeight="1" spans="1:30">
      <c r="A653" s="222"/>
      <c r="B653" s="7"/>
      <c r="C653" s="7"/>
      <c r="E653" s="7"/>
      <c r="F653" s="7"/>
      <c r="G653" s="222"/>
      <c r="H653" s="7"/>
      <c r="I653" s="7"/>
      <c r="J653" s="7"/>
      <c r="K653" s="7"/>
      <c r="L653" s="222"/>
      <c r="M653" s="7"/>
      <c r="N653" s="7"/>
      <c r="O653" s="7"/>
      <c r="P653" s="7"/>
      <c r="Q653" s="257"/>
      <c r="U653" s="7"/>
      <c r="V653" s="350"/>
      <c r="AD653" s="280"/>
    </row>
    <row r="654" customHeight="1" spans="1:30">
      <c r="A654" s="222"/>
      <c r="B654" s="7"/>
      <c r="C654" s="7"/>
      <c r="E654" s="7"/>
      <c r="F654" s="7"/>
      <c r="G654" s="222"/>
      <c r="H654" s="7"/>
      <c r="I654" s="7"/>
      <c r="J654" s="7"/>
      <c r="K654" s="7"/>
      <c r="L654" s="222"/>
      <c r="M654" s="7"/>
      <c r="N654" s="7"/>
      <c r="O654" s="7"/>
      <c r="P654" s="7"/>
      <c r="Q654" s="257"/>
      <c r="U654" s="7"/>
      <c r="V654" s="350"/>
      <c r="AD654" s="280"/>
    </row>
    <row r="655" customHeight="1" spans="1:30">
      <c r="A655" s="222"/>
      <c r="B655" s="7"/>
      <c r="C655" s="7"/>
      <c r="E655" s="7"/>
      <c r="F655" s="7"/>
      <c r="G655" s="222"/>
      <c r="H655" s="7"/>
      <c r="I655" s="7"/>
      <c r="J655" s="7"/>
      <c r="K655" s="7"/>
      <c r="L655" s="222"/>
      <c r="M655" s="7"/>
      <c r="N655" s="7"/>
      <c r="O655" s="7"/>
      <c r="P655" s="7"/>
      <c r="Q655" s="257"/>
      <c r="U655" s="7"/>
      <c r="V655" s="350"/>
      <c r="AD655" s="280"/>
    </row>
    <row r="656" customHeight="1" spans="1:30">
      <c r="A656" s="222"/>
      <c r="B656" s="7"/>
      <c r="C656" s="7"/>
      <c r="E656" s="7"/>
      <c r="F656" s="7"/>
      <c r="G656" s="222"/>
      <c r="H656" s="7"/>
      <c r="I656" s="7"/>
      <c r="J656" s="7"/>
      <c r="K656" s="7"/>
      <c r="L656" s="222"/>
      <c r="M656" s="7"/>
      <c r="N656" s="7"/>
      <c r="O656" s="7"/>
      <c r="P656" s="7"/>
      <c r="Q656" s="257"/>
      <c r="U656" s="7"/>
      <c r="V656" s="350"/>
      <c r="AD656" s="280"/>
    </row>
    <row r="657" customHeight="1" spans="1:30">
      <c r="A657" s="222"/>
      <c r="B657" s="7"/>
      <c r="C657" s="7"/>
      <c r="E657" s="7"/>
      <c r="F657" s="7"/>
      <c r="G657" s="222"/>
      <c r="H657" s="7"/>
      <c r="I657" s="7"/>
      <c r="J657" s="7"/>
      <c r="K657" s="7"/>
      <c r="L657" s="222"/>
      <c r="M657" s="7"/>
      <c r="N657" s="7"/>
      <c r="O657" s="7"/>
      <c r="P657" s="7"/>
      <c r="Q657" s="257"/>
      <c r="U657" s="7"/>
      <c r="V657" s="350"/>
      <c r="AD657" s="280"/>
    </row>
    <row r="658" customHeight="1" spans="1:30">
      <c r="A658" s="222"/>
      <c r="B658" s="7"/>
      <c r="C658" s="7"/>
      <c r="E658" s="7"/>
      <c r="F658" s="7"/>
      <c r="G658" s="222"/>
      <c r="H658" s="7"/>
      <c r="I658" s="7"/>
      <c r="J658" s="7"/>
      <c r="K658" s="7"/>
      <c r="L658" s="222"/>
      <c r="M658" s="7"/>
      <c r="N658" s="7"/>
      <c r="O658" s="7"/>
      <c r="P658" s="7"/>
      <c r="Q658" s="257"/>
      <c r="U658" s="7"/>
      <c r="V658" s="350"/>
      <c r="AD658" s="280"/>
    </row>
    <row r="659" customHeight="1" spans="1:30">
      <c r="A659" s="222"/>
      <c r="B659" s="7"/>
      <c r="C659" s="7"/>
      <c r="E659" s="7"/>
      <c r="F659" s="7"/>
      <c r="G659" s="222"/>
      <c r="H659" s="7"/>
      <c r="I659" s="7"/>
      <c r="J659" s="7"/>
      <c r="K659" s="7"/>
      <c r="L659" s="222"/>
      <c r="M659" s="7"/>
      <c r="N659" s="7"/>
      <c r="O659" s="7"/>
      <c r="P659" s="7"/>
      <c r="Q659" s="257"/>
      <c r="U659" s="7"/>
      <c r="V659" s="350"/>
      <c r="AD659" s="280"/>
    </row>
    <row r="660" customHeight="1" spans="1:30">
      <c r="A660" s="222"/>
      <c r="B660" s="7"/>
      <c r="C660" s="7"/>
      <c r="E660" s="7"/>
      <c r="F660" s="7"/>
      <c r="G660" s="222"/>
      <c r="H660" s="7"/>
      <c r="I660" s="7"/>
      <c r="J660" s="7"/>
      <c r="K660" s="7"/>
      <c r="L660" s="222"/>
      <c r="M660" s="7"/>
      <c r="N660" s="7"/>
      <c r="O660" s="7"/>
      <c r="P660" s="7"/>
      <c r="Q660" s="257"/>
      <c r="U660" s="7"/>
      <c r="V660" s="350"/>
      <c r="AD660" s="280"/>
    </row>
    <row r="661" customHeight="1" spans="1:30">
      <c r="A661" s="222"/>
      <c r="B661" s="7"/>
      <c r="C661" s="7"/>
      <c r="E661" s="7"/>
      <c r="F661" s="7"/>
      <c r="G661" s="222"/>
      <c r="H661" s="7"/>
      <c r="I661" s="7"/>
      <c r="J661" s="7"/>
      <c r="K661" s="7"/>
      <c r="L661" s="222"/>
      <c r="M661" s="7"/>
      <c r="N661" s="7"/>
      <c r="O661" s="7"/>
      <c r="P661" s="7"/>
      <c r="Q661" s="257"/>
      <c r="U661" s="7"/>
      <c r="V661" s="350"/>
      <c r="AD661" s="280"/>
    </row>
    <row r="662" customHeight="1" spans="1:30">
      <c r="A662" s="222"/>
      <c r="B662" s="7"/>
      <c r="C662" s="7"/>
      <c r="E662" s="7"/>
      <c r="F662" s="7"/>
      <c r="G662" s="222"/>
      <c r="H662" s="7"/>
      <c r="I662" s="7"/>
      <c r="J662" s="7"/>
      <c r="K662" s="7"/>
      <c r="L662" s="222"/>
      <c r="M662" s="7"/>
      <c r="N662" s="7"/>
      <c r="O662" s="7"/>
      <c r="P662" s="7"/>
      <c r="Q662" s="257"/>
      <c r="U662" s="7"/>
      <c r="V662" s="350"/>
      <c r="AD662" s="280"/>
    </row>
    <row r="663" customHeight="1" spans="1:30">
      <c r="A663" s="222"/>
      <c r="B663" s="7"/>
      <c r="C663" s="7"/>
      <c r="E663" s="7"/>
      <c r="F663" s="7"/>
      <c r="G663" s="222"/>
      <c r="H663" s="7"/>
      <c r="I663" s="7"/>
      <c r="J663" s="7"/>
      <c r="K663" s="7"/>
      <c r="L663" s="222"/>
      <c r="M663" s="7"/>
      <c r="N663" s="7"/>
      <c r="O663" s="7"/>
      <c r="P663" s="7"/>
      <c r="Q663" s="257"/>
      <c r="U663" s="7"/>
      <c r="V663" s="350"/>
      <c r="AD663" s="280"/>
    </row>
    <row r="664" customHeight="1" spans="1:30">
      <c r="A664" s="222"/>
      <c r="B664" s="7"/>
      <c r="C664" s="7"/>
      <c r="E664" s="7"/>
      <c r="F664" s="7"/>
      <c r="G664" s="222"/>
      <c r="H664" s="7"/>
      <c r="I664" s="7"/>
      <c r="J664" s="7"/>
      <c r="K664" s="7"/>
      <c r="L664" s="222"/>
      <c r="M664" s="7"/>
      <c r="N664" s="7"/>
      <c r="O664" s="7"/>
      <c r="P664" s="7"/>
      <c r="Q664" s="257"/>
      <c r="U664" s="7"/>
      <c r="V664" s="350"/>
      <c r="AD664" s="280"/>
    </row>
    <row r="665" customHeight="1" spans="1:30">
      <c r="A665" s="222"/>
      <c r="B665" s="7"/>
      <c r="C665" s="7"/>
      <c r="E665" s="7"/>
      <c r="F665" s="7"/>
      <c r="G665" s="222"/>
      <c r="H665" s="7"/>
      <c r="I665" s="7"/>
      <c r="J665" s="7"/>
      <c r="K665" s="7"/>
      <c r="L665" s="222"/>
      <c r="M665" s="7"/>
      <c r="N665" s="7"/>
      <c r="O665" s="7"/>
      <c r="P665" s="7"/>
      <c r="Q665" s="257"/>
      <c r="U665" s="7"/>
      <c r="V665" s="350"/>
      <c r="AD665" s="280"/>
    </row>
    <row r="666" customHeight="1" spans="1:30">
      <c r="A666" s="222"/>
      <c r="B666" s="7"/>
      <c r="C666" s="7"/>
      <c r="E666" s="7"/>
      <c r="F666" s="7"/>
      <c r="G666" s="222"/>
      <c r="H666" s="7"/>
      <c r="I666" s="7"/>
      <c r="J666" s="7"/>
      <c r="K666" s="7"/>
      <c r="L666" s="222"/>
      <c r="M666" s="7"/>
      <c r="N666" s="7"/>
      <c r="O666" s="7"/>
      <c r="P666" s="7"/>
      <c r="Q666" s="257"/>
      <c r="U666" s="7"/>
      <c r="V666" s="350"/>
      <c r="AD666" s="280"/>
    </row>
    <row r="667" customHeight="1" spans="1:30">
      <c r="A667" s="222"/>
      <c r="B667" s="7"/>
      <c r="C667" s="7"/>
      <c r="E667" s="7"/>
      <c r="F667" s="7"/>
      <c r="G667" s="222"/>
      <c r="H667" s="7"/>
      <c r="I667" s="7"/>
      <c r="J667" s="7"/>
      <c r="K667" s="7"/>
      <c r="L667" s="222"/>
      <c r="M667" s="7"/>
      <c r="N667" s="7"/>
      <c r="O667" s="7"/>
      <c r="P667" s="7"/>
      <c r="Q667" s="257"/>
      <c r="U667" s="7"/>
      <c r="V667" s="350"/>
      <c r="AD667" s="280"/>
    </row>
    <row r="668" customHeight="1" spans="1:30">
      <c r="A668" s="222"/>
      <c r="B668" s="7"/>
      <c r="C668" s="7"/>
      <c r="E668" s="7"/>
      <c r="F668" s="7"/>
      <c r="G668" s="222"/>
      <c r="H668" s="7"/>
      <c r="I668" s="7"/>
      <c r="J668" s="7"/>
      <c r="K668" s="7"/>
      <c r="L668" s="222"/>
      <c r="M668" s="7"/>
      <c r="N668" s="7"/>
      <c r="O668" s="7"/>
      <c r="P668" s="7"/>
      <c r="Q668" s="257"/>
      <c r="U668" s="7"/>
      <c r="V668" s="350"/>
      <c r="AD668" s="280"/>
    </row>
    <row r="669" customHeight="1" spans="1:30">
      <c r="A669" s="222"/>
      <c r="B669" s="7"/>
      <c r="C669" s="7"/>
      <c r="E669" s="7"/>
      <c r="F669" s="7"/>
      <c r="G669" s="222"/>
      <c r="H669" s="7"/>
      <c r="I669" s="7"/>
      <c r="J669" s="7"/>
      <c r="K669" s="7"/>
      <c r="L669" s="222"/>
      <c r="M669" s="7"/>
      <c r="N669" s="7"/>
      <c r="O669" s="7"/>
      <c r="P669" s="7"/>
      <c r="Q669" s="257"/>
      <c r="U669" s="7"/>
      <c r="V669" s="350"/>
      <c r="AD669" s="280"/>
    </row>
    <row r="670" customHeight="1" spans="1:30">
      <c r="A670" s="222"/>
      <c r="B670" s="7"/>
      <c r="C670" s="7"/>
      <c r="E670" s="7"/>
      <c r="F670" s="7"/>
      <c r="G670" s="222"/>
      <c r="H670" s="7"/>
      <c r="I670" s="7"/>
      <c r="J670" s="7"/>
      <c r="K670" s="7"/>
      <c r="L670" s="222"/>
      <c r="M670" s="7"/>
      <c r="N670" s="7"/>
      <c r="O670" s="7"/>
      <c r="P670" s="7"/>
      <c r="Q670" s="257"/>
      <c r="U670" s="7"/>
      <c r="V670" s="350"/>
      <c r="AD670" s="280"/>
    </row>
    <row r="671" customHeight="1" spans="1:30">
      <c r="A671" s="222"/>
      <c r="B671" s="7"/>
      <c r="C671" s="7"/>
      <c r="E671" s="7"/>
      <c r="F671" s="7"/>
      <c r="G671" s="222"/>
      <c r="H671" s="7"/>
      <c r="I671" s="7"/>
      <c r="J671" s="7"/>
      <c r="K671" s="7"/>
      <c r="L671" s="222"/>
      <c r="M671" s="7"/>
      <c r="N671" s="7"/>
      <c r="O671" s="7"/>
      <c r="P671" s="7"/>
      <c r="Q671" s="257"/>
      <c r="U671" s="7"/>
      <c r="V671" s="350"/>
      <c r="AD671" s="280"/>
    </row>
    <row r="672" customHeight="1" spans="1:30">
      <c r="A672" s="222"/>
      <c r="B672" s="7"/>
      <c r="C672" s="7"/>
      <c r="E672" s="7"/>
      <c r="F672" s="7"/>
      <c r="G672" s="222"/>
      <c r="H672" s="7"/>
      <c r="I672" s="7"/>
      <c r="J672" s="7"/>
      <c r="K672" s="7"/>
      <c r="L672" s="222"/>
      <c r="M672" s="7"/>
      <c r="N672" s="7"/>
      <c r="O672" s="7"/>
      <c r="P672" s="7"/>
      <c r="Q672" s="257"/>
      <c r="U672" s="7"/>
      <c r="V672" s="350"/>
      <c r="AD672" s="280"/>
    </row>
    <row r="673" customHeight="1" spans="1:30">
      <c r="A673" s="222"/>
      <c r="B673" s="7"/>
      <c r="C673" s="7"/>
      <c r="E673" s="7"/>
      <c r="F673" s="7"/>
      <c r="G673" s="222"/>
      <c r="H673" s="7"/>
      <c r="I673" s="7"/>
      <c r="J673" s="7"/>
      <c r="K673" s="7"/>
      <c r="L673" s="222"/>
      <c r="M673" s="7"/>
      <c r="N673" s="7"/>
      <c r="O673" s="7"/>
      <c r="P673" s="7"/>
      <c r="Q673" s="257"/>
      <c r="U673" s="7"/>
      <c r="V673" s="350"/>
      <c r="AD673" s="280"/>
    </row>
    <row r="674" customHeight="1" spans="1:30">
      <c r="A674" s="222"/>
      <c r="B674" s="7"/>
      <c r="C674" s="7"/>
      <c r="E674" s="7"/>
      <c r="F674" s="7"/>
      <c r="G674" s="222"/>
      <c r="H674" s="7"/>
      <c r="I674" s="7"/>
      <c r="J674" s="7"/>
      <c r="K674" s="7"/>
      <c r="L674" s="222"/>
      <c r="M674" s="7"/>
      <c r="N674" s="7"/>
      <c r="O674" s="7"/>
      <c r="P674" s="7"/>
      <c r="Q674" s="257"/>
      <c r="U674" s="7"/>
      <c r="V674" s="350"/>
      <c r="AD674" s="280"/>
    </row>
    <row r="675" customHeight="1" spans="1:30">
      <c r="A675" s="222"/>
      <c r="B675" s="7"/>
      <c r="C675" s="7"/>
      <c r="E675" s="7"/>
      <c r="F675" s="7"/>
      <c r="G675" s="222"/>
      <c r="H675" s="7"/>
      <c r="I675" s="7"/>
      <c r="J675" s="7"/>
      <c r="K675" s="7"/>
      <c r="L675" s="222"/>
      <c r="M675" s="7"/>
      <c r="N675" s="7"/>
      <c r="O675" s="7"/>
      <c r="P675" s="7"/>
      <c r="Q675" s="257"/>
      <c r="U675" s="7"/>
      <c r="V675" s="350"/>
      <c r="AD675" s="280"/>
    </row>
    <row r="676" customHeight="1" spans="1:30">
      <c r="A676" s="222"/>
      <c r="B676" s="7"/>
      <c r="C676" s="7"/>
      <c r="E676" s="7"/>
      <c r="F676" s="7"/>
      <c r="G676" s="222"/>
      <c r="H676" s="7"/>
      <c r="I676" s="7"/>
      <c r="J676" s="7"/>
      <c r="K676" s="7"/>
      <c r="L676" s="222"/>
      <c r="M676" s="7"/>
      <c r="N676" s="7"/>
      <c r="O676" s="7"/>
      <c r="P676" s="7"/>
      <c r="Q676" s="257"/>
      <c r="U676" s="7"/>
      <c r="V676" s="350"/>
      <c r="AD676" s="280"/>
    </row>
    <row r="677" customHeight="1" spans="1:30">
      <c r="A677" s="222"/>
      <c r="B677" s="7"/>
      <c r="C677" s="7"/>
      <c r="E677" s="7"/>
      <c r="F677" s="7"/>
      <c r="G677" s="222"/>
      <c r="H677" s="7"/>
      <c r="I677" s="7"/>
      <c r="J677" s="7"/>
      <c r="K677" s="7"/>
      <c r="L677" s="222"/>
      <c r="M677" s="7"/>
      <c r="N677" s="7"/>
      <c r="O677" s="7"/>
      <c r="P677" s="7"/>
      <c r="Q677" s="257"/>
      <c r="U677" s="7"/>
      <c r="V677" s="350"/>
      <c r="AD677" s="280"/>
    </row>
    <row r="678" customHeight="1" spans="1:30">
      <c r="A678" s="222"/>
      <c r="B678" s="7"/>
      <c r="C678" s="7"/>
      <c r="E678" s="7"/>
      <c r="F678" s="7"/>
      <c r="G678" s="222"/>
      <c r="H678" s="7"/>
      <c r="I678" s="7"/>
      <c r="J678" s="7"/>
      <c r="K678" s="7"/>
      <c r="L678" s="222"/>
      <c r="M678" s="7"/>
      <c r="N678" s="7"/>
      <c r="O678" s="7"/>
      <c r="P678" s="7"/>
      <c r="Q678" s="257"/>
      <c r="U678" s="7"/>
      <c r="V678" s="350"/>
      <c r="AD678" s="280"/>
    </row>
    <row r="679" customHeight="1" spans="1:30">
      <c r="A679" s="222"/>
      <c r="B679" s="7"/>
      <c r="C679" s="7"/>
      <c r="E679" s="7"/>
      <c r="F679" s="7"/>
      <c r="G679" s="222"/>
      <c r="H679" s="7"/>
      <c r="I679" s="7"/>
      <c r="J679" s="7"/>
      <c r="K679" s="7"/>
      <c r="L679" s="222"/>
      <c r="M679" s="7"/>
      <c r="N679" s="7"/>
      <c r="O679" s="7"/>
      <c r="P679" s="7"/>
      <c r="Q679" s="257"/>
      <c r="U679" s="7"/>
      <c r="V679" s="350"/>
      <c r="AD679" s="280"/>
    </row>
    <row r="680" customHeight="1" spans="1:30">
      <c r="A680" s="222"/>
      <c r="B680" s="7"/>
      <c r="C680" s="7"/>
      <c r="E680" s="7"/>
      <c r="F680" s="7"/>
      <c r="G680" s="222"/>
      <c r="H680" s="7"/>
      <c r="I680" s="7"/>
      <c r="J680" s="7"/>
      <c r="K680" s="7"/>
      <c r="L680" s="222"/>
      <c r="M680" s="7"/>
      <c r="N680" s="7"/>
      <c r="O680" s="7"/>
      <c r="P680" s="7"/>
      <c r="Q680" s="257"/>
      <c r="U680" s="7"/>
      <c r="V680" s="350"/>
      <c r="AD680" s="280"/>
    </row>
    <row r="681" customHeight="1" spans="1:30">
      <c r="A681" s="222"/>
      <c r="B681" s="7"/>
      <c r="C681" s="7"/>
      <c r="E681" s="7"/>
      <c r="F681" s="7"/>
      <c r="G681" s="222"/>
      <c r="H681" s="7"/>
      <c r="I681" s="7"/>
      <c r="J681" s="7"/>
      <c r="K681" s="7"/>
      <c r="L681" s="222"/>
      <c r="M681" s="7"/>
      <c r="N681" s="7"/>
      <c r="O681" s="7"/>
      <c r="P681" s="7"/>
      <c r="Q681" s="257"/>
      <c r="U681" s="7"/>
      <c r="V681" s="350"/>
      <c r="AD681" s="280"/>
    </row>
    <row r="682" customHeight="1" spans="1:30">
      <c r="A682" s="222"/>
      <c r="B682" s="7"/>
      <c r="C682" s="7"/>
      <c r="E682" s="7"/>
      <c r="F682" s="7"/>
      <c r="G682" s="222"/>
      <c r="H682" s="7"/>
      <c r="I682" s="7"/>
      <c r="J682" s="7"/>
      <c r="K682" s="7"/>
      <c r="L682" s="222"/>
      <c r="M682" s="7"/>
      <c r="N682" s="7"/>
      <c r="O682" s="7"/>
      <c r="P682" s="7"/>
      <c r="Q682" s="257"/>
      <c r="U682" s="7"/>
      <c r="V682" s="350"/>
      <c r="AD682" s="280"/>
    </row>
    <row r="683" customHeight="1" spans="1:30">
      <c r="A683" s="222"/>
      <c r="B683" s="7"/>
      <c r="C683" s="7"/>
      <c r="E683" s="7"/>
      <c r="F683" s="7"/>
      <c r="G683" s="222"/>
      <c r="H683" s="7"/>
      <c r="I683" s="7"/>
      <c r="J683" s="7"/>
      <c r="K683" s="7"/>
      <c r="L683" s="222"/>
      <c r="M683" s="7"/>
      <c r="N683" s="7"/>
      <c r="O683" s="7"/>
      <c r="P683" s="7"/>
      <c r="Q683" s="257"/>
      <c r="U683" s="7"/>
      <c r="V683" s="350"/>
      <c r="AD683" s="280"/>
    </row>
    <row r="684" customHeight="1" spans="1:30">
      <c r="A684" s="222"/>
      <c r="B684" s="7"/>
      <c r="C684" s="7"/>
      <c r="E684" s="7"/>
      <c r="F684" s="7"/>
      <c r="G684" s="222"/>
      <c r="H684" s="7"/>
      <c r="I684" s="7"/>
      <c r="J684" s="7"/>
      <c r="K684" s="7"/>
      <c r="L684" s="222"/>
      <c r="M684" s="7"/>
      <c r="N684" s="7"/>
      <c r="O684" s="7"/>
      <c r="P684" s="7"/>
      <c r="Q684" s="257"/>
      <c r="U684" s="7"/>
      <c r="V684" s="350"/>
      <c r="AD684" s="280"/>
    </row>
    <row r="685" customHeight="1" spans="1:30">
      <c r="A685" s="222"/>
      <c r="B685" s="7"/>
      <c r="C685" s="7"/>
      <c r="E685" s="7"/>
      <c r="F685" s="7"/>
      <c r="G685" s="222"/>
      <c r="H685" s="7"/>
      <c r="I685" s="7"/>
      <c r="J685" s="7"/>
      <c r="K685" s="7"/>
      <c r="L685" s="222"/>
      <c r="M685" s="7"/>
      <c r="N685" s="7"/>
      <c r="O685" s="7"/>
      <c r="P685" s="7"/>
      <c r="Q685" s="257"/>
      <c r="U685" s="7"/>
      <c r="V685" s="350"/>
      <c r="AD685" s="280"/>
    </row>
    <row r="686" customHeight="1" spans="1:30">
      <c r="A686" s="222"/>
      <c r="B686" s="7"/>
      <c r="C686" s="7"/>
      <c r="E686" s="7"/>
      <c r="F686" s="7"/>
      <c r="G686" s="222"/>
      <c r="H686" s="7"/>
      <c r="I686" s="7"/>
      <c r="J686" s="7"/>
      <c r="K686" s="7"/>
      <c r="L686" s="222"/>
      <c r="M686" s="7"/>
      <c r="N686" s="7"/>
      <c r="O686" s="7"/>
      <c r="P686" s="7"/>
      <c r="Q686" s="257"/>
      <c r="U686" s="7"/>
      <c r="V686" s="350"/>
      <c r="AD686" s="280"/>
    </row>
    <row r="687" customHeight="1" spans="1:30">
      <c r="A687" s="222"/>
      <c r="B687" s="7"/>
      <c r="C687" s="7"/>
      <c r="E687" s="7"/>
      <c r="F687" s="7"/>
      <c r="G687" s="222"/>
      <c r="H687" s="7"/>
      <c r="I687" s="7"/>
      <c r="J687" s="7"/>
      <c r="K687" s="7"/>
      <c r="L687" s="222"/>
      <c r="M687" s="7"/>
      <c r="N687" s="7"/>
      <c r="O687" s="7"/>
      <c r="P687" s="7"/>
      <c r="Q687" s="257"/>
      <c r="U687" s="7"/>
      <c r="V687" s="350"/>
      <c r="AD687" s="280"/>
    </row>
    <row r="688" customHeight="1" spans="1:30">
      <c r="A688" s="222"/>
      <c r="B688" s="7"/>
      <c r="C688" s="7"/>
      <c r="E688" s="7"/>
      <c r="F688" s="7"/>
      <c r="G688" s="222"/>
      <c r="H688" s="7"/>
      <c r="I688" s="7"/>
      <c r="J688" s="7"/>
      <c r="K688" s="7"/>
      <c r="L688" s="222"/>
      <c r="M688" s="7"/>
      <c r="N688" s="7"/>
      <c r="O688" s="7"/>
      <c r="P688" s="7"/>
      <c r="Q688" s="257"/>
      <c r="U688" s="7"/>
      <c r="V688" s="350"/>
      <c r="AD688" s="280"/>
    </row>
    <row r="689" customHeight="1" spans="1:30">
      <c r="A689" s="222"/>
      <c r="B689" s="7"/>
      <c r="C689" s="7"/>
      <c r="E689" s="7"/>
      <c r="F689" s="7"/>
      <c r="G689" s="222"/>
      <c r="H689" s="7"/>
      <c r="I689" s="7"/>
      <c r="J689" s="7"/>
      <c r="K689" s="7"/>
      <c r="L689" s="222"/>
      <c r="M689" s="7"/>
      <c r="N689" s="7"/>
      <c r="O689" s="7"/>
      <c r="P689" s="7"/>
      <c r="Q689" s="257"/>
      <c r="U689" s="7"/>
      <c r="V689" s="350"/>
      <c r="AD689" s="280"/>
    </row>
    <row r="690" customHeight="1" spans="1:30">
      <c r="A690" s="222"/>
      <c r="B690" s="7"/>
      <c r="C690" s="7"/>
      <c r="E690" s="7"/>
      <c r="F690" s="7"/>
      <c r="G690" s="222"/>
      <c r="H690" s="7"/>
      <c r="I690" s="7"/>
      <c r="J690" s="7"/>
      <c r="K690" s="7"/>
      <c r="L690" s="222"/>
      <c r="M690" s="7"/>
      <c r="N690" s="7"/>
      <c r="O690" s="7"/>
      <c r="P690" s="7"/>
      <c r="Q690" s="257"/>
      <c r="U690" s="7"/>
      <c r="V690" s="350"/>
      <c r="AD690" s="280"/>
    </row>
    <row r="691" customHeight="1" spans="1:30">
      <c r="A691" s="222"/>
      <c r="B691" s="7"/>
      <c r="C691" s="7"/>
      <c r="E691" s="7"/>
      <c r="F691" s="7"/>
      <c r="G691" s="222"/>
      <c r="H691" s="7"/>
      <c r="I691" s="7"/>
      <c r="J691" s="7"/>
      <c r="K691" s="7"/>
      <c r="L691" s="222"/>
      <c r="M691" s="7"/>
      <c r="N691" s="7"/>
      <c r="O691" s="7"/>
      <c r="P691" s="7"/>
      <c r="Q691" s="257"/>
      <c r="U691" s="7"/>
      <c r="V691" s="350"/>
      <c r="AD691" s="280"/>
    </row>
    <row r="692" customHeight="1" spans="1:30">
      <c r="A692" s="222"/>
      <c r="B692" s="7"/>
      <c r="C692" s="7"/>
      <c r="E692" s="7"/>
      <c r="F692" s="7"/>
      <c r="G692" s="222"/>
      <c r="H692" s="7"/>
      <c r="I692" s="7"/>
      <c r="J692" s="7"/>
      <c r="K692" s="7"/>
      <c r="L692" s="222"/>
      <c r="M692" s="7"/>
      <c r="N692" s="7"/>
      <c r="O692" s="7"/>
      <c r="P692" s="7"/>
      <c r="Q692" s="257"/>
      <c r="U692" s="7"/>
      <c r="V692" s="350"/>
      <c r="AD692" s="280"/>
    </row>
    <row r="693" customHeight="1" spans="1:30">
      <c r="A693" s="222"/>
      <c r="B693" s="7"/>
      <c r="C693" s="7"/>
      <c r="E693" s="7"/>
      <c r="F693" s="7"/>
      <c r="G693" s="222"/>
      <c r="H693" s="7"/>
      <c r="I693" s="7"/>
      <c r="J693" s="7"/>
      <c r="K693" s="7"/>
      <c r="L693" s="222"/>
      <c r="M693" s="7"/>
      <c r="N693" s="7"/>
      <c r="O693" s="7"/>
      <c r="P693" s="7"/>
      <c r="Q693" s="257"/>
      <c r="U693" s="7"/>
      <c r="V693" s="350"/>
      <c r="AD693" s="280"/>
    </row>
    <row r="694" customHeight="1" spans="1:30">
      <c r="A694" s="222"/>
      <c r="B694" s="7"/>
      <c r="C694" s="7"/>
      <c r="E694" s="7"/>
      <c r="F694" s="7"/>
      <c r="G694" s="222"/>
      <c r="H694" s="7"/>
      <c r="I694" s="7"/>
      <c r="J694" s="7"/>
      <c r="K694" s="7"/>
      <c r="L694" s="222"/>
      <c r="M694" s="7"/>
      <c r="N694" s="7"/>
      <c r="O694" s="7"/>
      <c r="P694" s="7"/>
      <c r="Q694" s="257"/>
      <c r="U694" s="7"/>
      <c r="V694" s="350"/>
      <c r="AD694" s="280"/>
    </row>
    <row r="695" customHeight="1" spans="1:30">
      <c r="A695" s="222"/>
      <c r="B695" s="7"/>
      <c r="C695" s="7"/>
      <c r="E695" s="7"/>
      <c r="F695" s="7"/>
      <c r="G695" s="222"/>
      <c r="H695" s="7"/>
      <c r="I695" s="7"/>
      <c r="J695" s="7"/>
      <c r="K695" s="7"/>
      <c r="L695" s="222"/>
      <c r="M695" s="7"/>
      <c r="N695" s="7"/>
      <c r="O695" s="7"/>
      <c r="P695" s="7"/>
      <c r="Q695" s="257"/>
      <c r="U695" s="7"/>
      <c r="V695" s="350"/>
      <c r="AD695" s="280"/>
    </row>
    <row r="696" customHeight="1" spans="1:30">
      <c r="A696" s="222"/>
      <c r="B696" s="7"/>
      <c r="C696" s="7"/>
      <c r="E696" s="7"/>
      <c r="F696" s="7"/>
      <c r="G696" s="222"/>
      <c r="H696" s="7"/>
      <c r="I696" s="7"/>
      <c r="J696" s="7"/>
      <c r="K696" s="7"/>
      <c r="L696" s="222"/>
      <c r="M696" s="7"/>
      <c r="N696" s="7"/>
      <c r="O696" s="7"/>
      <c r="P696" s="7"/>
      <c r="Q696" s="257"/>
      <c r="U696" s="7"/>
      <c r="V696" s="350"/>
      <c r="AD696" s="280"/>
    </row>
    <row r="697" customHeight="1" spans="1:30">
      <c r="A697" s="222"/>
      <c r="B697" s="7"/>
      <c r="C697" s="7"/>
      <c r="E697" s="7"/>
      <c r="F697" s="7"/>
      <c r="G697" s="222"/>
      <c r="H697" s="7"/>
      <c r="I697" s="7"/>
      <c r="J697" s="7"/>
      <c r="K697" s="7"/>
      <c r="L697" s="222"/>
      <c r="M697" s="7"/>
      <c r="N697" s="7"/>
      <c r="O697" s="7"/>
      <c r="P697" s="7"/>
      <c r="Q697" s="257"/>
      <c r="U697" s="7"/>
      <c r="V697" s="350"/>
      <c r="AD697" s="280"/>
    </row>
    <row r="698" customHeight="1" spans="1:30">
      <c r="A698" s="222"/>
      <c r="B698" s="7"/>
      <c r="C698" s="7"/>
      <c r="E698" s="7"/>
      <c r="F698" s="7"/>
      <c r="G698" s="222"/>
      <c r="H698" s="7"/>
      <c r="I698" s="7"/>
      <c r="J698" s="7"/>
      <c r="K698" s="7"/>
      <c r="L698" s="222"/>
      <c r="M698" s="7"/>
      <c r="N698" s="7"/>
      <c r="O698" s="7"/>
      <c r="P698" s="7"/>
      <c r="Q698" s="257"/>
      <c r="U698" s="7"/>
      <c r="V698" s="350"/>
      <c r="AD698" s="280"/>
    </row>
    <row r="699" customHeight="1" spans="1:30">
      <c r="A699" s="222"/>
      <c r="B699" s="7"/>
      <c r="C699" s="7"/>
      <c r="E699" s="7"/>
      <c r="F699" s="7"/>
      <c r="G699" s="222"/>
      <c r="H699" s="7"/>
      <c r="I699" s="7"/>
      <c r="J699" s="7"/>
      <c r="K699" s="7"/>
      <c r="L699" s="222"/>
      <c r="M699" s="7"/>
      <c r="N699" s="7"/>
      <c r="O699" s="7"/>
      <c r="P699" s="7"/>
      <c r="Q699" s="257"/>
      <c r="U699" s="7"/>
      <c r="V699" s="350"/>
      <c r="AD699" s="280"/>
    </row>
    <row r="700" customHeight="1" spans="1:30">
      <c r="A700" s="222"/>
      <c r="B700" s="7"/>
      <c r="C700" s="7"/>
      <c r="E700" s="7"/>
      <c r="F700" s="7"/>
      <c r="G700" s="222"/>
      <c r="H700" s="7"/>
      <c r="I700" s="7"/>
      <c r="J700" s="7"/>
      <c r="K700" s="7"/>
      <c r="L700" s="222"/>
      <c r="M700" s="7"/>
      <c r="N700" s="7"/>
      <c r="O700" s="7"/>
      <c r="P700" s="7"/>
      <c r="Q700" s="257"/>
      <c r="U700" s="7"/>
      <c r="V700" s="350"/>
      <c r="AD700" s="280"/>
    </row>
    <row r="701" customHeight="1" spans="1:30">
      <c r="A701" s="222"/>
      <c r="B701" s="7"/>
      <c r="C701" s="7"/>
      <c r="E701" s="7"/>
      <c r="F701" s="7"/>
      <c r="G701" s="222"/>
      <c r="H701" s="7"/>
      <c r="I701" s="7"/>
      <c r="J701" s="7"/>
      <c r="K701" s="7"/>
      <c r="L701" s="222"/>
      <c r="M701" s="7"/>
      <c r="N701" s="7"/>
      <c r="O701" s="7"/>
      <c r="P701" s="7"/>
      <c r="Q701" s="257"/>
      <c r="U701" s="7"/>
      <c r="V701" s="350"/>
      <c r="AD701" s="280"/>
    </row>
    <row r="702" customHeight="1" spans="1:30">
      <c r="A702" s="222"/>
      <c r="B702" s="7"/>
      <c r="C702" s="7"/>
      <c r="E702" s="7"/>
      <c r="F702" s="7"/>
      <c r="G702" s="222"/>
      <c r="H702" s="7"/>
      <c r="I702" s="7"/>
      <c r="J702" s="7"/>
      <c r="K702" s="7"/>
      <c r="L702" s="222"/>
      <c r="M702" s="7"/>
      <c r="N702" s="7"/>
      <c r="O702" s="7"/>
      <c r="P702" s="7"/>
      <c r="Q702" s="257"/>
      <c r="U702" s="7"/>
      <c r="V702" s="350"/>
      <c r="AD702" s="280"/>
    </row>
    <row r="703" customHeight="1" spans="1:30">
      <c r="A703" s="222"/>
      <c r="B703" s="7"/>
      <c r="C703" s="7"/>
      <c r="E703" s="7"/>
      <c r="F703" s="7"/>
      <c r="G703" s="222"/>
      <c r="H703" s="7"/>
      <c r="I703" s="7"/>
      <c r="J703" s="7"/>
      <c r="K703" s="7"/>
      <c r="L703" s="222"/>
      <c r="M703" s="7"/>
      <c r="N703" s="7"/>
      <c r="O703" s="7"/>
      <c r="P703" s="7"/>
      <c r="Q703" s="257"/>
      <c r="U703" s="7"/>
      <c r="V703" s="350"/>
      <c r="AD703" s="280"/>
    </row>
    <row r="704" customHeight="1" spans="1:30">
      <c r="A704" s="222"/>
      <c r="B704" s="7"/>
      <c r="C704" s="7"/>
      <c r="E704" s="7"/>
      <c r="F704" s="7"/>
      <c r="G704" s="222"/>
      <c r="H704" s="7"/>
      <c r="I704" s="7"/>
      <c r="J704" s="7"/>
      <c r="K704" s="7"/>
      <c r="L704" s="222"/>
      <c r="M704" s="7"/>
      <c r="N704" s="7"/>
      <c r="O704" s="7"/>
      <c r="P704" s="7"/>
      <c r="Q704" s="257"/>
      <c r="U704" s="7"/>
      <c r="V704" s="350"/>
      <c r="AD704" s="280"/>
    </row>
    <row r="705" customHeight="1" spans="1:30">
      <c r="A705" s="222"/>
      <c r="B705" s="7"/>
      <c r="C705" s="7"/>
      <c r="E705" s="7"/>
      <c r="F705" s="7"/>
      <c r="G705" s="222"/>
      <c r="H705" s="7"/>
      <c r="I705" s="7"/>
      <c r="J705" s="7"/>
      <c r="K705" s="7"/>
      <c r="L705" s="222"/>
      <c r="M705" s="7"/>
      <c r="N705" s="7"/>
      <c r="O705" s="7"/>
      <c r="P705" s="7"/>
      <c r="Q705" s="257"/>
      <c r="U705" s="7"/>
      <c r="V705" s="350"/>
      <c r="AD705" s="280"/>
    </row>
    <row r="706" customHeight="1" spans="1:30">
      <c r="A706" s="222"/>
      <c r="B706" s="7"/>
      <c r="C706" s="7"/>
      <c r="E706" s="7"/>
      <c r="F706" s="7"/>
      <c r="G706" s="222"/>
      <c r="H706" s="7"/>
      <c r="I706" s="7"/>
      <c r="J706" s="7"/>
      <c r="K706" s="7"/>
      <c r="L706" s="222"/>
      <c r="M706" s="7"/>
      <c r="N706" s="7"/>
      <c r="O706" s="7"/>
      <c r="P706" s="7"/>
      <c r="Q706" s="257"/>
      <c r="U706" s="7"/>
      <c r="V706" s="350"/>
      <c r="AD706" s="280"/>
    </row>
    <row r="707" customHeight="1" spans="1:30">
      <c r="A707" s="222"/>
      <c r="B707" s="7"/>
      <c r="C707" s="7"/>
      <c r="E707" s="7"/>
      <c r="F707" s="7"/>
      <c r="G707" s="222"/>
      <c r="H707" s="7"/>
      <c r="I707" s="7"/>
      <c r="J707" s="7"/>
      <c r="K707" s="7"/>
      <c r="L707" s="222"/>
      <c r="M707" s="7"/>
      <c r="N707" s="7"/>
      <c r="O707" s="7"/>
      <c r="P707" s="7"/>
      <c r="Q707" s="257"/>
      <c r="U707" s="7"/>
      <c r="V707" s="350"/>
      <c r="AD707" s="280"/>
    </row>
    <row r="708" customHeight="1" spans="1:30">
      <c r="A708" s="222"/>
      <c r="B708" s="7"/>
      <c r="C708" s="7"/>
      <c r="E708" s="7"/>
      <c r="F708" s="7"/>
      <c r="G708" s="222"/>
      <c r="H708" s="7"/>
      <c r="I708" s="7"/>
      <c r="J708" s="7"/>
      <c r="K708" s="7"/>
      <c r="L708" s="222"/>
      <c r="M708" s="7"/>
      <c r="N708" s="7"/>
      <c r="O708" s="7"/>
      <c r="P708" s="7"/>
      <c r="Q708" s="257"/>
      <c r="U708" s="7"/>
      <c r="V708" s="350"/>
      <c r="AD708" s="280"/>
    </row>
    <row r="709" customHeight="1" spans="1:30">
      <c r="A709" s="222"/>
      <c r="B709" s="7"/>
      <c r="C709" s="7"/>
      <c r="E709" s="7"/>
      <c r="F709" s="7"/>
      <c r="G709" s="222"/>
      <c r="H709" s="7"/>
      <c r="I709" s="7"/>
      <c r="J709" s="7"/>
      <c r="K709" s="7"/>
      <c r="L709" s="222"/>
      <c r="M709" s="7"/>
      <c r="N709" s="7"/>
      <c r="O709" s="7"/>
      <c r="P709" s="7"/>
      <c r="Q709" s="257"/>
      <c r="U709" s="7"/>
      <c r="V709" s="350"/>
      <c r="AD709" s="280"/>
    </row>
    <row r="710" customHeight="1" spans="1:30">
      <c r="A710" s="222"/>
      <c r="B710" s="7"/>
      <c r="C710" s="7"/>
      <c r="E710" s="7"/>
      <c r="F710" s="7"/>
      <c r="G710" s="222"/>
      <c r="H710" s="7"/>
      <c r="I710" s="7"/>
      <c r="J710" s="7"/>
      <c r="K710" s="7"/>
      <c r="L710" s="222"/>
      <c r="M710" s="7"/>
      <c r="N710" s="7"/>
      <c r="O710" s="7"/>
      <c r="P710" s="7"/>
      <c r="Q710" s="257"/>
      <c r="U710" s="7"/>
      <c r="V710" s="350"/>
      <c r="AD710" s="280"/>
    </row>
    <row r="711" customHeight="1" spans="1:30">
      <c r="A711" s="222"/>
      <c r="B711" s="7"/>
      <c r="C711" s="7"/>
      <c r="E711" s="7"/>
      <c r="F711" s="7"/>
      <c r="G711" s="222"/>
      <c r="H711" s="7"/>
      <c r="I711" s="7"/>
      <c r="J711" s="7"/>
      <c r="K711" s="7"/>
      <c r="L711" s="222"/>
      <c r="M711" s="7"/>
      <c r="N711" s="7"/>
      <c r="O711" s="7"/>
      <c r="P711" s="7"/>
      <c r="Q711" s="257"/>
      <c r="U711" s="7"/>
      <c r="V711" s="350"/>
      <c r="AD711" s="280"/>
    </row>
    <row r="712" customHeight="1" spans="1:30">
      <c r="A712" s="222"/>
      <c r="B712" s="7"/>
      <c r="C712" s="7"/>
      <c r="E712" s="7"/>
      <c r="F712" s="7"/>
      <c r="G712" s="222"/>
      <c r="H712" s="7"/>
      <c r="I712" s="7"/>
      <c r="J712" s="7"/>
      <c r="K712" s="7"/>
      <c r="L712" s="222"/>
      <c r="M712" s="7"/>
      <c r="N712" s="7"/>
      <c r="O712" s="7"/>
      <c r="P712" s="7"/>
      <c r="Q712" s="257"/>
      <c r="U712" s="7"/>
      <c r="V712" s="350"/>
      <c r="AD712" s="280"/>
    </row>
    <row r="713" customHeight="1" spans="1:30">
      <c r="A713" s="222"/>
      <c r="B713" s="7"/>
      <c r="C713" s="7"/>
      <c r="E713" s="7"/>
      <c r="F713" s="7"/>
      <c r="G713" s="222"/>
      <c r="H713" s="7"/>
      <c r="I713" s="7"/>
      <c r="J713" s="7"/>
      <c r="K713" s="7"/>
      <c r="L713" s="222"/>
      <c r="M713" s="7"/>
      <c r="N713" s="7"/>
      <c r="O713" s="7"/>
      <c r="P713" s="7"/>
      <c r="Q713" s="257"/>
      <c r="U713" s="7"/>
      <c r="V713" s="350"/>
      <c r="AD713" s="280"/>
    </row>
    <row r="714" customHeight="1" spans="1:30">
      <c r="A714" s="222"/>
      <c r="B714" s="7"/>
      <c r="C714" s="7"/>
      <c r="E714" s="7"/>
      <c r="F714" s="7"/>
      <c r="G714" s="222"/>
      <c r="H714" s="7"/>
      <c r="I714" s="7"/>
      <c r="J714" s="7"/>
      <c r="K714" s="7"/>
      <c r="L714" s="222"/>
      <c r="M714" s="7"/>
      <c r="N714" s="7"/>
      <c r="O714" s="7"/>
      <c r="P714" s="7"/>
      <c r="Q714" s="257"/>
      <c r="U714" s="7"/>
      <c r="V714" s="350"/>
      <c r="AD714" s="280"/>
    </row>
    <row r="715" customHeight="1" spans="1:30">
      <c r="A715" s="222"/>
      <c r="B715" s="7"/>
      <c r="C715" s="7"/>
      <c r="E715" s="7"/>
      <c r="F715" s="7"/>
      <c r="G715" s="222"/>
      <c r="H715" s="7"/>
      <c r="I715" s="7"/>
      <c r="J715" s="7"/>
      <c r="K715" s="7"/>
      <c r="L715" s="222"/>
      <c r="M715" s="7"/>
      <c r="N715" s="7"/>
      <c r="O715" s="7"/>
      <c r="P715" s="7"/>
      <c r="Q715" s="257"/>
      <c r="U715" s="7"/>
      <c r="V715" s="350"/>
      <c r="AD715" s="280"/>
    </row>
    <row r="716" customHeight="1" spans="1:30">
      <c r="A716" s="222"/>
      <c r="B716" s="7"/>
      <c r="C716" s="7"/>
      <c r="E716" s="7"/>
      <c r="F716" s="7"/>
      <c r="G716" s="222"/>
      <c r="H716" s="7"/>
      <c r="I716" s="7"/>
      <c r="J716" s="7"/>
      <c r="K716" s="7"/>
      <c r="L716" s="222"/>
      <c r="M716" s="7"/>
      <c r="N716" s="7"/>
      <c r="O716" s="7"/>
      <c r="P716" s="7"/>
      <c r="Q716" s="257"/>
      <c r="U716" s="7"/>
      <c r="V716" s="350"/>
      <c r="AD716" s="280"/>
    </row>
    <row r="717" customHeight="1" spans="1:30">
      <c r="A717" s="222"/>
      <c r="B717" s="7"/>
      <c r="C717" s="7"/>
      <c r="E717" s="7"/>
      <c r="F717" s="7"/>
      <c r="G717" s="222"/>
      <c r="H717" s="7"/>
      <c r="I717" s="7"/>
      <c r="J717" s="7"/>
      <c r="K717" s="7"/>
      <c r="L717" s="222"/>
      <c r="M717" s="7"/>
      <c r="N717" s="7"/>
      <c r="O717" s="7"/>
      <c r="P717" s="7"/>
      <c r="Q717" s="257"/>
      <c r="U717" s="7"/>
      <c r="V717" s="350"/>
      <c r="AD717" s="280"/>
    </row>
    <row r="718" customHeight="1" spans="1:30">
      <c r="A718" s="222"/>
      <c r="B718" s="7"/>
      <c r="C718" s="7"/>
      <c r="E718" s="7"/>
      <c r="F718" s="7"/>
      <c r="G718" s="222"/>
      <c r="H718" s="7"/>
      <c r="I718" s="7"/>
      <c r="J718" s="7"/>
      <c r="K718" s="7"/>
      <c r="L718" s="222"/>
      <c r="M718" s="7"/>
      <c r="N718" s="7"/>
      <c r="O718" s="7"/>
      <c r="P718" s="7"/>
      <c r="Q718" s="257"/>
      <c r="U718" s="7"/>
      <c r="V718" s="350"/>
      <c r="AD718" s="280"/>
    </row>
    <row r="719" customHeight="1" spans="1:30">
      <c r="A719" s="222"/>
      <c r="B719" s="7"/>
      <c r="C719" s="7"/>
      <c r="E719" s="7"/>
      <c r="F719" s="7"/>
      <c r="G719" s="222"/>
      <c r="H719" s="7"/>
      <c r="I719" s="7"/>
      <c r="J719" s="7"/>
      <c r="K719" s="7"/>
      <c r="L719" s="222"/>
      <c r="M719" s="7"/>
      <c r="N719" s="7"/>
      <c r="O719" s="7"/>
      <c r="P719" s="7"/>
      <c r="Q719" s="257"/>
      <c r="U719" s="7"/>
      <c r="V719" s="350"/>
      <c r="AD719" s="280"/>
    </row>
    <row r="720" customHeight="1" spans="1:30">
      <c r="A720" s="222"/>
      <c r="B720" s="7"/>
      <c r="C720" s="7"/>
      <c r="E720" s="7"/>
      <c r="F720" s="7"/>
      <c r="G720" s="222"/>
      <c r="H720" s="7"/>
      <c r="I720" s="7"/>
      <c r="J720" s="7"/>
      <c r="K720" s="7"/>
      <c r="L720" s="222"/>
      <c r="M720" s="7"/>
      <c r="N720" s="7"/>
      <c r="O720" s="7"/>
      <c r="P720" s="7"/>
      <c r="Q720" s="257"/>
      <c r="U720" s="7"/>
      <c r="V720" s="350"/>
      <c r="AD720" s="280"/>
    </row>
    <row r="721" customHeight="1" spans="1:30">
      <c r="A721" s="222"/>
      <c r="B721" s="7"/>
      <c r="C721" s="7"/>
      <c r="E721" s="7"/>
      <c r="F721" s="7"/>
      <c r="G721" s="222"/>
      <c r="H721" s="7"/>
      <c r="I721" s="7"/>
      <c r="J721" s="7"/>
      <c r="K721" s="7"/>
      <c r="L721" s="222"/>
      <c r="M721" s="7"/>
      <c r="N721" s="7"/>
      <c r="O721" s="7"/>
      <c r="P721" s="7"/>
      <c r="Q721" s="257"/>
      <c r="U721" s="7"/>
      <c r="V721" s="350"/>
      <c r="AD721" s="280"/>
    </row>
    <row r="722" customHeight="1" spans="1:30">
      <c r="A722" s="222"/>
      <c r="B722" s="7"/>
      <c r="C722" s="7"/>
      <c r="E722" s="7"/>
      <c r="F722" s="7"/>
      <c r="G722" s="222"/>
      <c r="H722" s="7"/>
      <c r="I722" s="7"/>
      <c r="J722" s="7"/>
      <c r="K722" s="7"/>
      <c r="L722" s="222"/>
      <c r="M722" s="7"/>
      <c r="N722" s="7"/>
      <c r="O722" s="7"/>
      <c r="P722" s="7"/>
      <c r="Q722" s="257"/>
      <c r="U722" s="7"/>
      <c r="V722" s="350"/>
      <c r="AD722" s="280"/>
    </row>
    <row r="723" customHeight="1" spans="1:30">
      <c r="A723" s="222"/>
      <c r="B723" s="7"/>
      <c r="C723" s="7"/>
      <c r="E723" s="7"/>
      <c r="F723" s="7"/>
      <c r="G723" s="222"/>
      <c r="H723" s="7"/>
      <c r="I723" s="7"/>
      <c r="J723" s="7"/>
      <c r="K723" s="7"/>
      <c r="L723" s="222"/>
      <c r="M723" s="7"/>
      <c r="N723" s="7"/>
      <c r="O723" s="7"/>
      <c r="P723" s="7"/>
      <c r="Q723" s="257"/>
      <c r="U723" s="7"/>
      <c r="V723" s="350"/>
      <c r="AD723" s="280"/>
    </row>
    <row r="724" customHeight="1" spans="1:30">
      <c r="A724" s="222"/>
      <c r="B724" s="7"/>
      <c r="C724" s="7"/>
      <c r="E724" s="7"/>
      <c r="F724" s="7"/>
      <c r="G724" s="222"/>
      <c r="H724" s="7"/>
      <c r="I724" s="7"/>
      <c r="J724" s="7"/>
      <c r="K724" s="7"/>
      <c r="L724" s="222"/>
      <c r="M724" s="7"/>
      <c r="N724" s="7"/>
      <c r="O724" s="7"/>
      <c r="P724" s="7"/>
      <c r="Q724" s="257"/>
      <c r="U724" s="7"/>
      <c r="V724" s="350"/>
      <c r="AD724" s="280"/>
    </row>
    <row r="725" customHeight="1" spans="1:30">
      <c r="A725" s="222"/>
      <c r="B725" s="7"/>
      <c r="C725" s="7"/>
      <c r="E725" s="7"/>
      <c r="F725" s="7"/>
      <c r="G725" s="222"/>
      <c r="H725" s="7"/>
      <c r="I725" s="7"/>
      <c r="J725" s="7"/>
      <c r="K725" s="7"/>
      <c r="L725" s="222"/>
      <c r="M725" s="7"/>
      <c r="N725" s="7"/>
      <c r="O725" s="7"/>
      <c r="P725" s="7"/>
      <c r="Q725" s="257"/>
      <c r="U725" s="7"/>
      <c r="V725" s="350"/>
      <c r="AD725" s="280"/>
    </row>
    <row r="726" customHeight="1" spans="1:30">
      <c r="A726" s="222"/>
      <c r="B726" s="7"/>
      <c r="C726" s="7"/>
      <c r="E726" s="7"/>
      <c r="F726" s="7"/>
      <c r="G726" s="222"/>
      <c r="H726" s="7"/>
      <c r="I726" s="7"/>
      <c r="J726" s="7"/>
      <c r="K726" s="7"/>
      <c r="L726" s="222"/>
      <c r="M726" s="7"/>
      <c r="N726" s="7"/>
      <c r="O726" s="7"/>
      <c r="P726" s="7"/>
      <c r="Q726" s="257"/>
      <c r="U726" s="7"/>
      <c r="V726" s="350"/>
      <c r="AD726" s="280"/>
    </row>
    <row r="727" customHeight="1" spans="1:30">
      <c r="A727" s="222"/>
      <c r="B727" s="7"/>
      <c r="C727" s="7"/>
      <c r="E727" s="7"/>
      <c r="F727" s="7"/>
      <c r="G727" s="222"/>
      <c r="H727" s="7"/>
      <c r="I727" s="7"/>
      <c r="J727" s="7"/>
      <c r="K727" s="7"/>
      <c r="L727" s="222"/>
      <c r="M727" s="7"/>
      <c r="N727" s="7"/>
      <c r="O727" s="7"/>
      <c r="P727" s="7"/>
      <c r="Q727" s="257"/>
      <c r="U727" s="7"/>
      <c r="V727" s="350"/>
      <c r="AD727" s="280"/>
    </row>
    <row r="728" customHeight="1" spans="1:30">
      <c r="A728" s="222"/>
      <c r="B728" s="7"/>
      <c r="C728" s="7"/>
      <c r="E728" s="7"/>
      <c r="F728" s="7"/>
      <c r="G728" s="222"/>
      <c r="H728" s="7"/>
      <c r="I728" s="7"/>
      <c r="J728" s="7"/>
      <c r="K728" s="7"/>
      <c r="L728" s="222"/>
      <c r="M728" s="7"/>
      <c r="N728" s="7"/>
      <c r="O728" s="7"/>
      <c r="P728" s="7"/>
      <c r="Q728" s="257"/>
      <c r="U728" s="7"/>
      <c r="V728" s="350"/>
      <c r="AD728" s="280"/>
    </row>
    <row r="729" customHeight="1" spans="1:30">
      <c r="A729" s="222"/>
      <c r="B729" s="7"/>
      <c r="C729" s="7"/>
      <c r="E729" s="7"/>
      <c r="F729" s="7"/>
      <c r="G729" s="222"/>
      <c r="H729" s="7"/>
      <c r="I729" s="7"/>
      <c r="J729" s="7"/>
      <c r="K729" s="7"/>
      <c r="L729" s="222"/>
      <c r="M729" s="7"/>
      <c r="N729" s="7"/>
      <c r="O729" s="7"/>
      <c r="P729" s="7"/>
      <c r="Q729" s="257"/>
      <c r="U729" s="7"/>
      <c r="V729" s="350"/>
      <c r="AD729" s="280"/>
    </row>
    <row r="730" customHeight="1" spans="1:30">
      <c r="A730" s="222"/>
      <c r="B730" s="7"/>
      <c r="C730" s="7"/>
      <c r="E730" s="7"/>
      <c r="F730" s="7"/>
      <c r="G730" s="222"/>
      <c r="H730" s="7"/>
      <c r="I730" s="7"/>
      <c r="J730" s="7"/>
      <c r="K730" s="7"/>
      <c r="L730" s="222"/>
      <c r="M730" s="7"/>
      <c r="N730" s="7"/>
      <c r="O730" s="7"/>
      <c r="P730" s="7"/>
      <c r="Q730" s="257"/>
      <c r="U730" s="7"/>
      <c r="V730" s="350"/>
      <c r="AD730" s="280"/>
    </row>
    <row r="731" customHeight="1" spans="1:30">
      <c r="A731" s="222"/>
      <c r="B731" s="7"/>
      <c r="C731" s="7"/>
      <c r="E731" s="7"/>
      <c r="F731" s="7"/>
      <c r="G731" s="222"/>
      <c r="H731" s="7"/>
      <c r="I731" s="7"/>
      <c r="J731" s="7"/>
      <c r="K731" s="7"/>
      <c r="L731" s="222"/>
      <c r="M731" s="7"/>
      <c r="N731" s="7"/>
      <c r="O731" s="7"/>
      <c r="P731" s="7"/>
      <c r="Q731" s="257"/>
      <c r="U731" s="7"/>
      <c r="V731" s="350"/>
      <c r="AD731" s="280"/>
    </row>
    <row r="732" customHeight="1" spans="1:30">
      <c r="A732" s="222"/>
      <c r="B732" s="7"/>
      <c r="C732" s="7"/>
      <c r="E732" s="7"/>
      <c r="F732" s="7"/>
      <c r="G732" s="222"/>
      <c r="H732" s="7"/>
      <c r="I732" s="7"/>
      <c r="J732" s="7"/>
      <c r="K732" s="7"/>
      <c r="L732" s="222"/>
      <c r="M732" s="7"/>
      <c r="N732" s="7"/>
      <c r="O732" s="7"/>
      <c r="P732" s="7"/>
      <c r="Q732" s="257"/>
      <c r="U732" s="7"/>
      <c r="V732" s="350"/>
      <c r="AD732" s="280"/>
    </row>
    <row r="733" customHeight="1" spans="1:30">
      <c r="A733" s="222"/>
      <c r="B733" s="7"/>
      <c r="C733" s="7"/>
      <c r="E733" s="7"/>
      <c r="F733" s="7"/>
      <c r="G733" s="222"/>
      <c r="H733" s="7"/>
      <c r="I733" s="7"/>
      <c r="J733" s="7"/>
      <c r="K733" s="7"/>
      <c r="L733" s="222"/>
      <c r="M733" s="7"/>
      <c r="N733" s="7"/>
      <c r="O733" s="7"/>
      <c r="P733" s="7"/>
      <c r="Q733" s="257"/>
      <c r="U733" s="7"/>
      <c r="V733" s="350"/>
      <c r="AD733" s="280"/>
    </row>
    <row r="734" customHeight="1" spans="1:30">
      <c r="A734" s="222"/>
      <c r="B734" s="7"/>
      <c r="C734" s="7"/>
      <c r="E734" s="7"/>
      <c r="F734" s="7"/>
      <c r="G734" s="222"/>
      <c r="H734" s="7"/>
      <c r="I734" s="7"/>
      <c r="J734" s="7"/>
      <c r="K734" s="7"/>
      <c r="L734" s="222"/>
      <c r="M734" s="7"/>
      <c r="N734" s="7"/>
      <c r="O734" s="7"/>
      <c r="P734" s="7"/>
      <c r="Q734" s="257"/>
      <c r="U734" s="7"/>
      <c r="V734" s="350"/>
      <c r="AD734" s="280"/>
    </row>
    <row r="735" customHeight="1" spans="1:30">
      <c r="A735" s="222"/>
      <c r="B735" s="7"/>
      <c r="C735" s="7"/>
      <c r="E735" s="7"/>
      <c r="F735" s="7"/>
      <c r="G735" s="222"/>
      <c r="H735" s="7"/>
      <c r="I735" s="7"/>
      <c r="J735" s="7"/>
      <c r="K735" s="7"/>
      <c r="L735" s="222"/>
      <c r="M735" s="7"/>
      <c r="N735" s="7"/>
      <c r="O735" s="7"/>
      <c r="P735" s="7"/>
      <c r="Q735" s="257"/>
      <c r="U735" s="7"/>
      <c r="V735" s="350"/>
      <c r="AD735" s="280"/>
    </row>
    <row r="736" customHeight="1" spans="1:30">
      <c r="A736" s="222"/>
      <c r="B736" s="7"/>
      <c r="C736" s="7"/>
      <c r="E736" s="7"/>
      <c r="F736" s="7"/>
      <c r="G736" s="222"/>
      <c r="H736" s="7"/>
      <c r="I736" s="7"/>
      <c r="J736" s="7"/>
      <c r="K736" s="7"/>
      <c r="L736" s="222"/>
      <c r="M736" s="7"/>
      <c r="N736" s="7"/>
      <c r="O736" s="7"/>
      <c r="P736" s="7"/>
      <c r="Q736" s="257"/>
      <c r="U736" s="7"/>
      <c r="V736" s="350"/>
      <c r="AD736" s="280"/>
    </row>
    <row r="737" customHeight="1" spans="1:30">
      <c r="A737" s="222"/>
      <c r="B737" s="7"/>
      <c r="C737" s="7"/>
      <c r="E737" s="7"/>
      <c r="F737" s="7"/>
      <c r="G737" s="222"/>
      <c r="H737" s="7"/>
      <c r="I737" s="7"/>
      <c r="J737" s="7"/>
      <c r="K737" s="7"/>
      <c r="L737" s="222"/>
      <c r="M737" s="7"/>
      <c r="N737" s="7"/>
      <c r="O737" s="7"/>
      <c r="P737" s="7"/>
      <c r="Q737" s="257"/>
      <c r="U737" s="7"/>
      <c r="V737" s="350"/>
      <c r="AD737" s="280"/>
    </row>
    <row r="738" customHeight="1" spans="1:30">
      <c r="A738" s="222"/>
      <c r="B738" s="7"/>
      <c r="C738" s="7"/>
      <c r="E738" s="7"/>
      <c r="F738" s="7"/>
      <c r="G738" s="222"/>
      <c r="H738" s="7"/>
      <c r="I738" s="7"/>
      <c r="J738" s="7"/>
      <c r="K738" s="7"/>
      <c r="L738" s="222"/>
      <c r="M738" s="7"/>
      <c r="N738" s="7"/>
      <c r="O738" s="7"/>
      <c r="P738" s="7"/>
      <c r="Q738" s="257"/>
      <c r="U738" s="7"/>
      <c r="V738" s="350"/>
      <c r="AD738" s="280"/>
    </row>
    <row r="739" customHeight="1" spans="1:30">
      <c r="A739" s="222"/>
      <c r="B739" s="7"/>
      <c r="C739" s="7"/>
      <c r="E739" s="7"/>
      <c r="F739" s="7"/>
      <c r="G739" s="222"/>
      <c r="H739" s="7"/>
      <c r="I739" s="7"/>
      <c r="J739" s="7"/>
      <c r="K739" s="7"/>
      <c r="L739" s="222"/>
      <c r="M739" s="7"/>
      <c r="N739" s="7"/>
      <c r="O739" s="7"/>
      <c r="P739" s="7"/>
      <c r="Q739" s="257"/>
      <c r="U739" s="7"/>
      <c r="V739" s="350"/>
      <c r="AD739" s="280"/>
    </row>
    <row r="740" customHeight="1" spans="1:30">
      <c r="A740" s="222"/>
      <c r="B740" s="7"/>
      <c r="C740" s="7"/>
      <c r="E740" s="7"/>
      <c r="F740" s="7"/>
      <c r="G740" s="222"/>
      <c r="H740" s="7"/>
      <c r="I740" s="7"/>
      <c r="J740" s="7"/>
      <c r="K740" s="7"/>
      <c r="L740" s="222"/>
      <c r="M740" s="7"/>
      <c r="N740" s="7"/>
      <c r="O740" s="7"/>
      <c r="P740" s="7"/>
      <c r="Q740" s="257"/>
      <c r="U740" s="7"/>
      <c r="V740" s="350"/>
      <c r="AD740" s="280"/>
    </row>
    <row r="741" customHeight="1" spans="1:30">
      <c r="A741" s="222"/>
      <c r="B741" s="7"/>
      <c r="C741" s="7"/>
      <c r="E741" s="7"/>
      <c r="F741" s="7"/>
      <c r="G741" s="222"/>
      <c r="H741" s="7"/>
      <c r="I741" s="7"/>
      <c r="J741" s="7"/>
      <c r="K741" s="7"/>
      <c r="L741" s="222"/>
      <c r="M741" s="7"/>
      <c r="N741" s="7"/>
      <c r="O741" s="7"/>
      <c r="P741" s="7"/>
      <c r="Q741" s="257"/>
      <c r="U741" s="7"/>
      <c r="V741" s="350"/>
      <c r="AD741" s="280"/>
    </row>
    <row r="742" customHeight="1" spans="1:30">
      <c r="A742" s="222"/>
      <c r="B742" s="7"/>
      <c r="C742" s="7"/>
      <c r="E742" s="7"/>
      <c r="F742" s="7"/>
      <c r="G742" s="222"/>
      <c r="H742" s="7"/>
      <c r="I742" s="7"/>
      <c r="J742" s="7"/>
      <c r="K742" s="7"/>
      <c r="L742" s="222"/>
      <c r="M742" s="7"/>
      <c r="N742" s="7"/>
      <c r="O742" s="7"/>
      <c r="P742" s="7"/>
      <c r="Q742" s="257"/>
      <c r="U742" s="7"/>
      <c r="V742" s="350"/>
      <c r="AD742" s="280"/>
    </row>
    <row r="743" customHeight="1" spans="1:30">
      <c r="A743" s="222"/>
      <c r="B743" s="7"/>
      <c r="C743" s="7"/>
      <c r="E743" s="7"/>
      <c r="F743" s="7"/>
      <c r="G743" s="222"/>
      <c r="H743" s="7"/>
      <c r="I743" s="7"/>
      <c r="J743" s="7"/>
      <c r="K743" s="7"/>
      <c r="L743" s="222"/>
      <c r="M743" s="7"/>
      <c r="N743" s="7"/>
      <c r="O743" s="7"/>
      <c r="P743" s="7"/>
      <c r="Q743" s="257"/>
      <c r="U743" s="7"/>
      <c r="V743" s="350"/>
      <c r="AD743" s="280"/>
    </row>
    <row r="744" customHeight="1" spans="1:30">
      <c r="A744" s="222"/>
      <c r="B744" s="7"/>
      <c r="C744" s="7"/>
      <c r="E744" s="7"/>
      <c r="F744" s="7"/>
      <c r="G744" s="222"/>
      <c r="H744" s="7"/>
      <c r="I744" s="7"/>
      <c r="J744" s="7"/>
      <c r="K744" s="7"/>
      <c r="L744" s="222"/>
      <c r="M744" s="7"/>
      <c r="N744" s="7"/>
      <c r="O744" s="7"/>
      <c r="P744" s="7"/>
      <c r="Q744" s="257"/>
      <c r="U744" s="7"/>
      <c r="V744" s="350"/>
      <c r="AD744" s="280"/>
    </row>
    <row r="745" customHeight="1" spans="1:30">
      <c r="A745" s="222"/>
      <c r="B745" s="7"/>
      <c r="C745" s="7"/>
      <c r="E745" s="7"/>
      <c r="F745" s="7"/>
      <c r="G745" s="222"/>
      <c r="H745" s="7"/>
      <c r="I745" s="7"/>
      <c r="J745" s="7"/>
      <c r="K745" s="7"/>
      <c r="L745" s="222"/>
      <c r="M745" s="7"/>
      <c r="N745" s="7"/>
      <c r="O745" s="7"/>
      <c r="P745" s="7"/>
      <c r="Q745" s="257"/>
      <c r="U745" s="7"/>
      <c r="V745" s="350"/>
      <c r="AD745" s="280"/>
    </row>
    <row r="746" customHeight="1" spans="1:30">
      <c r="A746" s="222"/>
      <c r="B746" s="7"/>
      <c r="C746" s="7"/>
      <c r="E746" s="7"/>
      <c r="F746" s="7"/>
      <c r="G746" s="222"/>
      <c r="H746" s="7"/>
      <c r="I746" s="7"/>
      <c r="J746" s="7"/>
      <c r="K746" s="7"/>
      <c r="L746" s="222"/>
      <c r="M746" s="7"/>
      <c r="N746" s="7"/>
      <c r="O746" s="7"/>
      <c r="P746" s="7"/>
      <c r="Q746" s="257"/>
      <c r="U746" s="7"/>
      <c r="V746" s="350"/>
      <c r="AD746" s="280"/>
    </row>
    <row r="747" customHeight="1" spans="1:30">
      <c r="A747" s="222"/>
      <c r="B747" s="7"/>
      <c r="C747" s="7"/>
      <c r="E747" s="7"/>
      <c r="F747" s="7"/>
      <c r="G747" s="222"/>
      <c r="H747" s="7"/>
      <c r="I747" s="7"/>
      <c r="J747" s="7"/>
      <c r="K747" s="7"/>
      <c r="L747" s="222"/>
      <c r="M747" s="7"/>
      <c r="N747" s="7"/>
      <c r="O747" s="7"/>
      <c r="P747" s="7"/>
      <c r="Q747" s="257"/>
      <c r="U747" s="7"/>
      <c r="V747" s="350"/>
      <c r="AD747" s="280"/>
    </row>
    <row r="748" customHeight="1" spans="1:30">
      <c r="A748" s="222"/>
      <c r="B748" s="7"/>
      <c r="C748" s="7"/>
      <c r="E748" s="7"/>
      <c r="F748" s="7"/>
      <c r="G748" s="222"/>
      <c r="H748" s="7"/>
      <c r="I748" s="7"/>
      <c r="J748" s="7"/>
      <c r="K748" s="7"/>
      <c r="L748" s="222"/>
      <c r="M748" s="7"/>
      <c r="N748" s="7"/>
      <c r="O748" s="7"/>
      <c r="P748" s="7"/>
      <c r="Q748" s="257"/>
      <c r="U748" s="7"/>
      <c r="V748" s="350"/>
      <c r="AD748" s="280"/>
    </row>
    <row r="749" customHeight="1" spans="1:30">
      <c r="A749" s="222"/>
      <c r="B749" s="7"/>
      <c r="C749" s="7"/>
      <c r="E749" s="7"/>
      <c r="F749" s="7"/>
      <c r="G749" s="222"/>
      <c r="H749" s="7"/>
      <c r="I749" s="7"/>
      <c r="J749" s="7"/>
      <c r="K749" s="7"/>
      <c r="L749" s="222"/>
      <c r="M749" s="7"/>
      <c r="N749" s="7"/>
      <c r="O749" s="7"/>
      <c r="P749" s="7"/>
      <c r="Q749" s="257"/>
      <c r="U749" s="7"/>
      <c r="V749" s="350"/>
      <c r="AD749" s="280"/>
    </row>
    <row r="750" customHeight="1" spans="1:30">
      <c r="A750" s="222"/>
      <c r="B750" s="7"/>
      <c r="C750" s="7"/>
      <c r="E750" s="7"/>
      <c r="F750" s="7"/>
      <c r="G750" s="222"/>
      <c r="H750" s="7"/>
      <c r="I750" s="7"/>
      <c r="J750" s="7"/>
      <c r="K750" s="7"/>
      <c r="L750" s="222"/>
      <c r="M750" s="7"/>
      <c r="N750" s="7"/>
      <c r="O750" s="7"/>
      <c r="P750" s="7"/>
      <c r="Q750" s="257"/>
      <c r="U750" s="7"/>
      <c r="V750" s="350"/>
      <c r="AD750" s="280"/>
    </row>
    <row r="751" customHeight="1" spans="1:30">
      <c r="A751" s="222"/>
      <c r="B751" s="7"/>
      <c r="C751" s="7"/>
      <c r="E751" s="7"/>
      <c r="F751" s="7"/>
      <c r="G751" s="222"/>
      <c r="H751" s="7"/>
      <c r="I751" s="7"/>
      <c r="J751" s="7"/>
      <c r="K751" s="7"/>
      <c r="L751" s="222"/>
      <c r="M751" s="7"/>
      <c r="N751" s="7"/>
      <c r="O751" s="7"/>
      <c r="P751" s="7"/>
      <c r="Q751" s="257"/>
      <c r="U751" s="7"/>
      <c r="V751" s="350"/>
      <c r="AD751" s="280"/>
    </row>
    <row r="752" customHeight="1" spans="1:30">
      <c r="A752" s="222"/>
      <c r="B752" s="7"/>
      <c r="C752" s="7"/>
      <c r="E752" s="7"/>
      <c r="F752" s="7"/>
      <c r="G752" s="222"/>
      <c r="H752" s="7"/>
      <c r="I752" s="7"/>
      <c r="J752" s="7"/>
      <c r="K752" s="7"/>
      <c r="L752" s="222"/>
      <c r="M752" s="7"/>
      <c r="N752" s="7"/>
      <c r="O752" s="7"/>
      <c r="P752" s="7"/>
      <c r="Q752" s="257"/>
      <c r="U752" s="7"/>
      <c r="V752" s="350"/>
      <c r="AD752" s="280"/>
    </row>
    <row r="753" customHeight="1" spans="1:30">
      <c r="A753" s="222"/>
      <c r="B753" s="7"/>
      <c r="C753" s="7"/>
      <c r="E753" s="7"/>
      <c r="F753" s="7"/>
      <c r="G753" s="222"/>
      <c r="H753" s="7"/>
      <c r="I753" s="7"/>
      <c r="J753" s="7"/>
      <c r="K753" s="7"/>
      <c r="L753" s="222"/>
      <c r="M753" s="7"/>
      <c r="N753" s="7"/>
      <c r="O753" s="7"/>
      <c r="P753" s="7"/>
      <c r="Q753" s="257"/>
      <c r="U753" s="7"/>
      <c r="V753" s="350"/>
      <c r="AD753" s="280"/>
    </row>
    <row r="754" customHeight="1" spans="1:30">
      <c r="A754" s="222"/>
      <c r="B754" s="7"/>
      <c r="C754" s="7"/>
      <c r="E754" s="7"/>
      <c r="F754" s="7"/>
      <c r="G754" s="222"/>
      <c r="H754" s="7"/>
      <c r="I754" s="7"/>
      <c r="J754" s="7"/>
      <c r="K754" s="7"/>
      <c r="L754" s="222"/>
      <c r="M754" s="7"/>
      <c r="N754" s="7"/>
      <c r="O754" s="7"/>
      <c r="P754" s="7"/>
      <c r="Q754" s="257"/>
      <c r="U754" s="7"/>
      <c r="V754" s="350"/>
      <c r="AD754" s="280"/>
    </row>
    <row r="755" customHeight="1" spans="1:30">
      <c r="A755" s="222"/>
      <c r="B755" s="7"/>
      <c r="C755" s="7"/>
      <c r="E755" s="7"/>
      <c r="F755" s="7"/>
      <c r="G755" s="222"/>
      <c r="H755" s="7"/>
      <c r="I755" s="7"/>
      <c r="J755" s="7"/>
      <c r="K755" s="7"/>
      <c r="L755" s="222"/>
      <c r="M755" s="7"/>
      <c r="N755" s="7"/>
      <c r="O755" s="7"/>
      <c r="P755" s="7"/>
      <c r="Q755" s="257"/>
      <c r="U755" s="7"/>
      <c r="V755" s="350"/>
      <c r="AD755" s="280"/>
    </row>
    <row r="756" customHeight="1" spans="1:30">
      <c r="A756" s="222"/>
      <c r="B756" s="7"/>
      <c r="C756" s="7"/>
      <c r="E756" s="7"/>
      <c r="F756" s="7"/>
      <c r="G756" s="222"/>
      <c r="H756" s="7"/>
      <c r="I756" s="7"/>
      <c r="J756" s="7"/>
      <c r="K756" s="7"/>
      <c r="L756" s="222"/>
      <c r="M756" s="7"/>
      <c r="N756" s="7"/>
      <c r="O756" s="7"/>
      <c r="P756" s="7"/>
      <c r="Q756" s="257"/>
      <c r="U756" s="7"/>
      <c r="V756" s="350"/>
      <c r="AD756" s="280"/>
    </row>
    <row r="757" customHeight="1" spans="1:30">
      <c r="A757" s="222"/>
      <c r="B757" s="7"/>
      <c r="C757" s="7"/>
      <c r="E757" s="7"/>
      <c r="F757" s="7"/>
      <c r="G757" s="222"/>
      <c r="H757" s="7"/>
      <c r="I757" s="7"/>
      <c r="J757" s="7"/>
      <c r="K757" s="7"/>
      <c r="L757" s="222"/>
      <c r="M757" s="7"/>
      <c r="N757" s="7"/>
      <c r="O757" s="7"/>
      <c r="P757" s="7"/>
      <c r="Q757" s="257"/>
      <c r="U757" s="7"/>
      <c r="V757" s="350"/>
      <c r="AD757" s="280"/>
    </row>
    <row r="758" customHeight="1" spans="1:30">
      <c r="A758" s="222"/>
      <c r="B758" s="7"/>
      <c r="C758" s="7"/>
      <c r="E758" s="7"/>
      <c r="F758" s="7"/>
      <c r="G758" s="222"/>
      <c r="H758" s="7"/>
      <c r="I758" s="7"/>
      <c r="J758" s="7"/>
      <c r="K758" s="7"/>
      <c r="L758" s="222"/>
      <c r="M758" s="7"/>
      <c r="N758" s="7"/>
      <c r="O758" s="7"/>
      <c r="P758" s="7"/>
      <c r="Q758" s="257"/>
      <c r="U758" s="7"/>
      <c r="V758" s="350"/>
      <c r="AD758" s="280"/>
    </row>
    <row r="759" customHeight="1" spans="1:30">
      <c r="A759" s="222"/>
      <c r="B759" s="7"/>
      <c r="C759" s="7"/>
      <c r="E759" s="7"/>
      <c r="F759" s="7"/>
      <c r="G759" s="222"/>
      <c r="H759" s="7"/>
      <c r="I759" s="7"/>
      <c r="J759" s="7"/>
      <c r="K759" s="7"/>
      <c r="L759" s="222"/>
      <c r="M759" s="7"/>
      <c r="N759" s="7"/>
      <c r="O759" s="7"/>
      <c r="P759" s="7"/>
      <c r="Q759" s="257"/>
      <c r="U759" s="7"/>
      <c r="V759" s="350"/>
      <c r="AD759" s="280"/>
    </row>
    <row r="760" customHeight="1" spans="1:30">
      <c r="A760" s="222"/>
      <c r="B760" s="7"/>
      <c r="C760" s="7"/>
      <c r="E760" s="7"/>
      <c r="F760" s="7"/>
      <c r="G760" s="222"/>
      <c r="H760" s="7"/>
      <c r="I760" s="7"/>
      <c r="J760" s="7"/>
      <c r="K760" s="7"/>
      <c r="L760" s="222"/>
      <c r="M760" s="7"/>
      <c r="N760" s="7"/>
      <c r="O760" s="7"/>
      <c r="P760" s="7"/>
      <c r="Q760" s="257"/>
      <c r="U760" s="7"/>
      <c r="V760" s="350"/>
      <c r="AD760" s="280"/>
    </row>
    <row r="761" customHeight="1" spans="1:30">
      <c r="A761" s="222"/>
      <c r="B761" s="7"/>
      <c r="C761" s="7"/>
      <c r="E761" s="7"/>
      <c r="F761" s="7"/>
      <c r="G761" s="222"/>
      <c r="H761" s="7"/>
      <c r="I761" s="7"/>
      <c r="J761" s="7"/>
      <c r="K761" s="7"/>
      <c r="L761" s="222"/>
      <c r="M761" s="7"/>
      <c r="N761" s="7"/>
      <c r="O761" s="7"/>
      <c r="P761" s="7"/>
      <c r="Q761" s="257"/>
      <c r="U761" s="7"/>
      <c r="V761" s="350"/>
      <c r="AD761" s="280"/>
    </row>
    <row r="762" customHeight="1" spans="1:30">
      <c r="A762" s="222"/>
      <c r="B762" s="7"/>
      <c r="C762" s="7"/>
      <c r="E762" s="7"/>
      <c r="F762" s="7"/>
      <c r="G762" s="222"/>
      <c r="H762" s="7"/>
      <c r="I762" s="7"/>
      <c r="J762" s="7"/>
      <c r="K762" s="7"/>
      <c r="L762" s="222"/>
      <c r="M762" s="7"/>
      <c r="N762" s="7"/>
      <c r="O762" s="7"/>
      <c r="P762" s="7"/>
      <c r="Q762" s="257"/>
      <c r="U762" s="7"/>
      <c r="V762" s="350"/>
      <c r="AD762" s="280"/>
    </row>
    <row r="763" customHeight="1" spans="1:30">
      <c r="A763" s="222"/>
      <c r="B763" s="7"/>
      <c r="C763" s="7"/>
      <c r="E763" s="7"/>
      <c r="F763" s="7"/>
      <c r="G763" s="222"/>
      <c r="H763" s="7"/>
      <c r="I763" s="7"/>
      <c r="J763" s="7"/>
      <c r="K763" s="7"/>
      <c r="L763" s="222"/>
      <c r="M763" s="7"/>
      <c r="N763" s="7"/>
      <c r="O763" s="7"/>
      <c r="P763" s="7"/>
      <c r="Q763" s="257"/>
      <c r="U763" s="7"/>
      <c r="V763" s="350"/>
      <c r="AD763" s="280"/>
    </row>
    <row r="764" customHeight="1" spans="1:30">
      <c r="A764" s="222"/>
      <c r="B764" s="7"/>
      <c r="C764" s="7"/>
      <c r="E764" s="7"/>
      <c r="F764" s="7"/>
      <c r="G764" s="222"/>
      <c r="H764" s="7"/>
      <c r="I764" s="7"/>
      <c r="J764" s="7"/>
      <c r="K764" s="7"/>
      <c r="L764" s="222"/>
      <c r="M764" s="7"/>
      <c r="N764" s="7"/>
      <c r="O764" s="7"/>
      <c r="P764" s="7"/>
      <c r="Q764" s="257"/>
      <c r="U764" s="7"/>
      <c r="V764" s="350"/>
      <c r="AD764" s="280"/>
    </row>
    <row r="765" customHeight="1" spans="1:30">
      <c r="A765" s="222"/>
      <c r="B765" s="7"/>
      <c r="C765" s="7"/>
      <c r="E765" s="7"/>
      <c r="F765" s="7"/>
      <c r="G765" s="222"/>
      <c r="H765" s="7"/>
      <c r="I765" s="7"/>
      <c r="J765" s="7"/>
      <c r="K765" s="7"/>
      <c r="L765" s="222"/>
      <c r="M765" s="7"/>
      <c r="N765" s="7"/>
      <c r="O765" s="7"/>
      <c r="P765" s="7"/>
      <c r="Q765" s="257"/>
      <c r="U765" s="7"/>
      <c r="V765" s="350"/>
      <c r="AD765" s="280"/>
    </row>
    <row r="766" customHeight="1" spans="1:30">
      <c r="A766" s="222"/>
      <c r="B766" s="7"/>
      <c r="C766" s="7"/>
      <c r="E766" s="7"/>
      <c r="F766" s="7"/>
      <c r="G766" s="222"/>
      <c r="H766" s="7"/>
      <c r="I766" s="7"/>
      <c r="J766" s="7"/>
      <c r="K766" s="7"/>
      <c r="L766" s="222"/>
      <c r="M766" s="7"/>
      <c r="N766" s="7"/>
      <c r="O766" s="7"/>
      <c r="P766" s="7"/>
      <c r="Q766" s="257"/>
      <c r="U766" s="7"/>
      <c r="V766" s="350"/>
      <c r="AD766" s="280"/>
    </row>
    <row r="767" customHeight="1" spans="1:30">
      <c r="A767" s="222"/>
      <c r="B767" s="7"/>
      <c r="C767" s="7"/>
      <c r="E767" s="7"/>
      <c r="F767" s="7"/>
      <c r="G767" s="222"/>
      <c r="H767" s="7"/>
      <c r="I767" s="7"/>
      <c r="J767" s="7"/>
      <c r="K767" s="7"/>
      <c r="L767" s="222"/>
      <c r="M767" s="7"/>
      <c r="N767" s="7"/>
      <c r="O767" s="7"/>
      <c r="P767" s="7"/>
      <c r="Q767" s="257"/>
      <c r="U767" s="7"/>
      <c r="V767" s="350"/>
      <c r="AD767" s="280"/>
    </row>
    <row r="768" customHeight="1" spans="1:30">
      <c r="A768" s="222"/>
      <c r="B768" s="7"/>
      <c r="C768" s="7"/>
      <c r="E768" s="7"/>
      <c r="F768" s="7"/>
      <c r="G768" s="222"/>
      <c r="H768" s="7"/>
      <c r="I768" s="7"/>
      <c r="J768" s="7"/>
      <c r="K768" s="7"/>
      <c r="L768" s="222"/>
      <c r="M768" s="7"/>
      <c r="N768" s="7"/>
      <c r="O768" s="7"/>
      <c r="P768" s="7"/>
      <c r="Q768" s="257"/>
      <c r="U768" s="7"/>
      <c r="V768" s="350"/>
      <c r="AD768" s="280"/>
    </row>
    <row r="769" customHeight="1" spans="1:30">
      <c r="A769" s="222"/>
      <c r="B769" s="7"/>
      <c r="C769" s="7"/>
      <c r="E769" s="7"/>
      <c r="F769" s="7"/>
      <c r="G769" s="222"/>
      <c r="H769" s="7"/>
      <c r="I769" s="7"/>
      <c r="J769" s="7"/>
      <c r="K769" s="7"/>
      <c r="L769" s="222"/>
      <c r="M769" s="7"/>
      <c r="N769" s="7"/>
      <c r="O769" s="7"/>
      <c r="P769" s="7"/>
      <c r="Q769" s="257"/>
      <c r="U769" s="7"/>
      <c r="V769" s="350"/>
      <c r="AD769" s="280"/>
    </row>
    <row r="770" customHeight="1" spans="1:30">
      <c r="A770" s="222"/>
      <c r="B770" s="7"/>
      <c r="C770" s="7"/>
      <c r="E770" s="7"/>
      <c r="F770" s="7"/>
      <c r="G770" s="222"/>
      <c r="H770" s="7"/>
      <c r="I770" s="7"/>
      <c r="J770" s="7"/>
      <c r="K770" s="7"/>
      <c r="L770" s="222"/>
      <c r="M770" s="7"/>
      <c r="N770" s="7"/>
      <c r="O770" s="7"/>
      <c r="P770" s="7"/>
      <c r="Q770" s="257"/>
      <c r="U770" s="7"/>
      <c r="V770" s="350"/>
      <c r="AD770" s="280"/>
    </row>
    <row r="771" customHeight="1" spans="1:30">
      <c r="A771" s="222"/>
      <c r="B771" s="7"/>
      <c r="C771" s="7"/>
      <c r="E771" s="7"/>
      <c r="F771" s="7"/>
      <c r="G771" s="222"/>
      <c r="H771" s="7"/>
      <c r="I771" s="7"/>
      <c r="J771" s="7"/>
      <c r="K771" s="7"/>
      <c r="L771" s="222"/>
      <c r="M771" s="7"/>
      <c r="N771" s="7"/>
      <c r="O771" s="7"/>
      <c r="P771" s="7"/>
      <c r="Q771" s="257"/>
      <c r="U771" s="7"/>
      <c r="V771" s="350"/>
      <c r="AD771" s="280"/>
    </row>
    <row r="772" customHeight="1" spans="1:30">
      <c r="A772" s="222"/>
      <c r="B772" s="7"/>
      <c r="C772" s="7"/>
      <c r="E772" s="7"/>
      <c r="F772" s="7"/>
      <c r="G772" s="222"/>
      <c r="H772" s="7"/>
      <c r="I772" s="7"/>
      <c r="J772" s="7"/>
      <c r="K772" s="7"/>
      <c r="L772" s="222"/>
      <c r="M772" s="7"/>
      <c r="N772" s="7"/>
      <c r="O772" s="7"/>
      <c r="P772" s="7"/>
      <c r="Q772" s="257"/>
      <c r="U772" s="7"/>
      <c r="V772" s="350"/>
      <c r="AD772" s="280"/>
    </row>
    <row r="773" customHeight="1" spans="1:30">
      <c r="A773" s="222"/>
      <c r="B773" s="7"/>
      <c r="C773" s="7"/>
      <c r="E773" s="7"/>
      <c r="F773" s="7"/>
      <c r="G773" s="222"/>
      <c r="H773" s="7"/>
      <c r="I773" s="7"/>
      <c r="J773" s="7"/>
      <c r="K773" s="7"/>
      <c r="L773" s="222"/>
      <c r="M773" s="7"/>
      <c r="N773" s="7"/>
      <c r="O773" s="7"/>
      <c r="P773" s="7"/>
      <c r="Q773" s="257"/>
      <c r="U773" s="7"/>
      <c r="V773" s="350"/>
      <c r="AD773" s="280"/>
    </row>
    <row r="774" customHeight="1" spans="1:30">
      <c r="A774" s="222"/>
      <c r="B774" s="7"/>
      <c r="C774" s="7"/>
      <c r="E774" s="7"/>
      <c r="F774" s="7"/>
      <c r="G774" s="222"/>
      <c r="H774" s="7"/>
      <c r="I774" s="7"/>
      <c r="J774" s="7"/>
      <c r="K774" s="7"/>
      <c r="L774" s="222"/>
      <c r="M774" s="7"/>
      <c r="N774" s="7"/>
      <c r="O774" s="7"/>
      <c r="P774" s="7"/>
      <c r="Q774" s="257"/>
      <c r="U774" s="7"/>
      <c r="V774" s="350"/>
      <c r="AD774" s="280"/>
    </row>
    <row r="775" customHeight="1" spans="1:30">
      <c r="A775" s="222"/>
      <c r="B775" s="7"/>
      <c r="C775" s="7"/>
      <c r="E775" s="7"/>
      <c r="F775" s="7"/>
      <c r="G775" s="222"/>
      <c r="H775" s="7"/>
      <c r="I775" s="7"/>
      <c r="J775" s="7"/>
      <c r="K775" s="7"/>
      <c r="L775" s="222"/>
      <c r="M775" s="7"/>
      <c r="N775" s="7"/>
      <c r="O775" s="7"/>
      <c r="P775" s="7"/>
      <c r="Q775" s="257"/>
      <c r="U775" s="7"/>
      <c r="V775" s="350"/>
      <c r="AD775" s="280"/>
    </row>
    <row r="776" customHeight="1" spans="1:30">
      <c r="A776" s="222"/>
      <c r="B776" s="7"/>
      <c r="C776" s="7"/>
      <c r="E776" s="7"/>
      <c r="F776" s="7"/>
      <c r="G776" s="222"/>
      <c r="H776" s="7"/>
      <c r="I776" s="7"/>
      <c r="J776" s="7"/>
      <c r="K776" s="7"/>
      <c r="L776" s="222"/>
      <c r="M776" s="7"/>
      <c r="N776" s="7"/>
      <c r="O776" s="7"/>
      <c r="P776" s="7"/>
      <c r="Q776" s="257"/>
      <c r="U776" s="7"/>
      <c r="V776" s="350"/>
      <c r="AD776" s="280"/>
    </row>
    <row r="777" customHeight="1" spans="1:30">
      <c r="A777" s="222"/>
      <c r="B777" s="7"/>
      <c r="C777" s="7"/>
      <c r="E777" s="7"/>
      <c r="F777" s="7"/>
      <c r="G777" s="222"/>
      <c r="H777" s="7"/>
      <c r="I777" s="7"/>
      <c r="J777" s="7"/>
      <c r="K777" s="7"/>
      <c r="L777" s="222"/>
      <c r="M777" s="7"/>
      <c r="N777" s="7"/>
      <c r="O777" s="7"/>
      <c r="P777" s="7"/>
      <c r="Q777" s="257"/>
      <c r="U777" s="7"/>
      <c r="V777" s="350"/>
      <c r="AD777" s="280"/>
    </row>
    <row r="778" customHeight="1" spans="1:30">
      <c r="A778" s="222"/>
      <c r="B778" s="7"/>
      <c r="C778" s="7"/>
      <c r="E778" s="7"/>
      <c r="F778" s="7"/>
      <c r="G778" s="222"/>
      <c r="H778" s="7"/>
      <c r="I778" s="7"/>
      <c r="J778" s="7"/>
      <c r="K778" s="7"/>
      <c r="L778" s="222"/>
      <c r="M778" s="7"/>
      <c r="N778" s="7"/>
      <c r="O778" s="7"/>
      <c r="P778" s="7"/>
      <c r="Q778" s="257"/>
      <c r="U778" s="7"/>
      <c r="V778" s="350"/>
      <c r="AD778" s="280"/>
    </row>
    <row r="779" customHeight="1" spans="1:30">
      <c r="A779" s="222"/>
      <c r="B779" s="7"/>
      <c r="C779" s="7"/>
      <c r="E779" s="7"/>
      <c r="F779" s="7"/>
      <c r="G779" s="222"/>
      <c r="H779" s="7"/>
      <c r="I779" s="7"/>
      <c r="J779" s="7"/>
      <c r="K779" s="7"/>
      <c r="L779" s="222"/>
      <c r="M779" s="7"/>
      <c r="N779" s="7"/>
      <c r="O779" s="7"/>
      <c r="P779" s="7"/>
      <c r="Q779" s="257"/>
      <c r="U779" s="7"/>
      <c r="V779" s="350"/>
      <c r="AD779" s="280"/>
    </row>
    <row r="780" customHeight="1" spans="1:30">
      <c r="A780" s="222"/>
      <c r="B780" s="7"/>
      <c r="C780" s="7"/>
      <c r="E780" s="7"/>
      <c r="F780" s="7"/>
      <c r="G780" s="222"/>
      <c r="H780" s="7"/>
      <c r="I780" s="7"/>
      <c r="J780" s="7"/>
      <c r="K780" s="7"/>
      <c r="L780" s="222"/>
      <c r="M780" s="7"/>
      <c r="N780" s="7"/>
      <c r="O780" s="7"/>
      <c r="P780" s="7"/>
      <c r="Q780" s="257"/>
      <c r="U780" s="7"/>
      <c r="V780" s="350"/>
      <c r="AD780" s="280"/>
    </row>
    <row r="781" customHeight="1" spans="1:30">
      <c r="A781" s="222"/>
      <c r="B781" s="7"/>
      <c r="C781" s="7"/>
      <c r="E781" s="7"/>
      <c r="F781" s="7"/>
      <c r="G781" s="222"/>
      <c r="H781" s="7"/>
      <c r="I781" s="7"/>
      <c r="J781" s="7"/>
      <c r="K781" s="7"/>
      <c r="L781" s="222"/>
      <c r="M781" s="7"/>
      <c r="N781" s="7"/>
      <c r="O781" s="7"/>
      <c r="P781" s="7"/>
      <c r="Q781" s="257"/>
      <c r="U781" s="7"/>
      <c r="V781" s="350"/>
      <c r="AD781" s="280"/>
    </row>
    <row r="782" customHeight="1" spans="1:30">
      <c r="A782" s="222"/>
      <c r="B782" s="7"/>
      <c r="C782" s="7"/>
      <c r="E782" s="7"/>
      <c r="F782" s="7"/>
      <c r="G782" s="222"/>
      <c r="H782" s="7"/>
      <c r="I782" s="7"/>
      <c r="J782" s="7"/>
      <c r="K782" s="7"/>
      <c r="L782" s="222"/>
      <c r="M782" s="7"/>
      <c r="N782" s="7"/>
      <c r="O782" s="7"/>
      <c r="P782" s="7"/>
      <c r="Q782" s="257"/>
      <c r="U782" s="7"/>
      <c r="V782" s="350"/>
      <c r="AD782" s="280"/>
    </row>
    <row r="783" customHeight="1" spans="1:30">
      <c r="A783" s="222"/>
      <c r="B783" s="7"/>
      <c r="C783" s="7"/>
      <c r="E783" s="7"/>
      <c r="F783" s="7"/>
      <c r="G783" s="222"/>
      <c r="H783" s="7"/>
      <c r="I783" s="7"/>
      <c r="J783" s="7"/>
      <c r="K783" s="7"/>
      <c r="L783" s="222"/>
      <c r="M783" s="7"/>
      <c r="N783" s="7"/>
      <c r="O783" s="7"/>
      <c r="P783" s="7"/>
      <c r="Q783" s="257"/>
      <c r="U783" s="7"/>
      <c r="V783" s="350"/>
      <c r="AD783" s="280"/>
    </row>
    <row r="784" customHeight="1" spans="1:30">
      <c r="A784" s="222"/>
      <c r="B784" s="7"/>
      <c r="C784" s="7"/>
      <c r="E784" s="7"/>
      <c r="F784" s="7"/>
      <c r="G784" s="222"/>
      <c r="H784" s="7"/>
      <c r="I784" s="7"/>
      <c r="J784" s="7"/>
      <c r="K784" s="7"/>
      <c r="L784" s="222"/>
      <c r="M784" s="7"/>
      <c r="N784" s="7"/>
      <c r="O784" s="7"/>
      <c r="P784" s="7"/>
      <c r="Q784" s="257"/>
      <c r="U784" s="7"/>
      <c r="V784" s="350"/>
      <c r="AD784" s="280"/>
    </row>
    <row r="785" customHeight="1" spans="1:30">
      <c r="A785" s="222"/>
      <c r="B785" s="7"/>
      <c r="C785" s="7"/>
      <c r="E785" s="7"/>
      <c r="F785" s="7"/>
      <c r="G785" s="222"/>
      <c r="H785" s="7"/>
      <c r="I785" s="7"/>
      <c r="J785" s="7"/>
      <c r="K785" s="7"/>
      <c r="L785" s="222"/>
      <c r="M785" s="7"/>
      <c r="N785" s="7"/>
      <c r="O785" s="7"/>
      <c r="P785" s="7"/>
      <c r="Q785" s="257"/>
      <c r="U785" s="7"/>
      <c r="V785" s="350"/>
      <c r="AD785" s="280"/>
    </row>
    <row r="786" customHeight="1" spans="1:30">
      <c r="A786" s="222"/>
      <c r="B786" s="7"/>
      <c r="C786" s="7"/>
      <c r="E786" s="7"/>
      <c r="F786" s="7"/>
      <c r="G786" s="222"/>
      <c r="H786" s="7"/>
      <c r="I786" s="7"/>
      <c r="J786" s="7"/>
      <c r="K786" s="7"/>
      <c r="L786" s="222"/>
      <c r="M786" s="7"/>
      <c r="N786" s="7"/>
      <c r="O786" s="7"/>
      <c r="P786" s="7"/>
      <c r="Q786" s="257"/>
      <c r="U786" s="7"/>
      <c r="V786" s="350"/>
      <c r="AD786" s="280"/>
    </row>
    <row r="787" customHeight="1" spans="1:30">
      <c r="A787" s="222"/>
      <c r="B787" s="7"/>
      <c r="C787" s="7"/>
      <c r="E787" s="7"/>
      <c r="F787" s="7"/>
      <c r="G787" s="222"/>
      <c r="H787" s="7"/>
      <c r="I787" s="7"/>
      <c r="J787" s="7"/>
      <c r="K787" s="7"/>
      <c r="L787" s="222"/>
      <c r="M787" s="7"/>
      <c r="N787" s="7"/>
      <c r="O787" s="7"/>
      <c r="P787" s="7"/>
      <c r="Q787" s="257"/>
      <c r="U787" s="7"/>
      <c r="V787" s="350"/>
      <c r="AD787" s="280"/>
    </row>
    <row r="788" customHeight="1" spans="1:30">
      <c r="A788" s="222"/>
      <c r="B788" s="7"/>
      <c r="C788" s="7"/>
      <c r="E788" s="7"/>
      <c r="F788" s="7"/>
      <c r="G788" s="222"/>
      <c r="H788" s="7"/>
      <c r="I788" s="7"/>
      <c r="J788" s="7"/>
      <c r="K788" s="7"/>
      <c r="L788" s="222"/>
      <c r="M788" s="7"/>
      <c r="N788" s="7"/>
      <c r="O788" s="7"/>
      <c r="P788" s="7"/>
      <c r="Q788" s="257"/>
      <c r="U788" s="7"/>
      <c r="V788" s="350"/>
      <c r="AD788" s="280"/>
    </row>
    <row r="789" customHeight="1" spans="1:30">
      <c r="A789" s="222"/>
      <c r="B789" s="7"/>
      <c r="C789" s="7"/>
      <c r="E789" s="7"/>
      <c r="F789" s="7"/>
      <c r="G789" s="222"/>
      <c r="H789" s="7"/>
      <c r="I789" s="7"/>
      <c r="J789" s="7"/>
      <c r="K789" s="7"/>
      <c r="L789" s="222"/>
      <c r="M789" s="7"/>
      <c r="N789" s="7"/>
      <c r="O789" s="7"/>
      <c r="P789" s="7"/>
      <c r="Q789" s="257"/>
      <c r="U789" s="7"/>
      <c r="V789" s="350"/>
      <c r="AD789" s="280"/>
    </row>
    <row r="790" customHeight="1" spans="1:30">
      <c r="A790" s="222"/>
      <c r="B790" s="7"/>
      <c r="C790" s="7"/>
      <c r="E790" s="7"/>
      <c r="F790" s="7"/>
      <c r="G790" s="222"/>
      <c r="H790" s="7"/>
      <c r="I790" s="7"/>
      <c r="J790" s="7"/>
      <c r="K790" s="7"/>
      <c r="L790" s="222"/>
      <c r="M790" s="7"/>
      <c r="N790" s="7"/>
      <c r="O790" s="7"/>
      <c r="P790" s="7"/>
      <c r="Q790" s="257"/>
      <c r="U790" s="7"/>
      <c r="V790" s="350"/>
      <c r="AD790" s="280"/>
    </row>
    <row r="791" customHeight="1" spans="1:30">
      <c r="A791" s="222"/>
      <c r="B791" s="7"/>
      <c r="C791" s="7"/>
      <c r="E791" s="7"/>
      <c r="F791" s="7"/>
      <c r="G791" s="222"/>
      <c r="H791" s="7"/>
      <c r="I791" s="7"/>
      <c r="J791" s="7"/>
      <c r="K791" s="7"/>
      <c r="L791" s="222"/>
      <c r="M791" s="7"/>
      <c r="N791" s="7"/>
      <c r="O791" s="7"/>
      <c r="P791" s="7"/>
      <c r="Q791" s="257"/>
      <c r="U791" s="7"/>
      <c r="V791" s="350"/>
      <c r="AD791" s="280"/>
    </row>
    <row r="792" customHeight="1" spans="1:30">
      <c r="A792" s="222"/>
      <c r="B792" s="7"/>
      <c r="C792" s="7"/>
      <c r="E792" s="7"/>
      <c r="F792" s="7"/>
      <c r="G792" s="222"/>
      <c r="H792" s="7"/>
      <c r="I792" s="7"/>
      <c r="J792" s="7"/>
      <c r="K792" s="7"/>
      <c r="L792" s="222"/>
      <c r="M792" s="7"/>
      <c r="N792" s="7"/>
      <c r="O792" s="7"/>
      <c r="P792" s="7"/>
      <c r="Q792" s="257"/>
      <c r="U792" s="7"/>
      <c r="V792" s="350"/>
      <c r="AD792" s="280"/>
    </row>
    <row r="793" customHeight="1" spans="1:30">
      <c r="A793" s="222"/>
      <c r="B793" s="7"/>
      <c r="C793" s="7"/>
      <c r="E793" s="7"/>
      <c r="F793" s="7"/>
      <c r="G793" s="222"/>
      <c r="H793" s="7"/>
      <c r="I793" s="7"/>
      <c r="J793" s="7"/>
      <c r="K793" s="7"/>
      <c r="L793" s="222"/>
      <c r="M793" s="7"/>
      <c r="N793" s="7"/>
      <c r="O793" s="7"/>
      <c r="P793" s="7"/>
      <c r="Q793" s="257"/>
      <c r="U793" s="7"/>
      <c r="V793" s="350"/>
      <c r="AD793" s="280"/>
    </row>
    <row r="794" customHeight="1" spans="1:30">
      <c r="A794" s="222"/>
      <c r="B794" s="7"/>
      <c r="C794" s="7"/>
      <c r="E794" s="7"/>
      <c r="F794" s="7"/>
      <c r="G794" s="222"/>
      <c r="H794" s="7"/>
      <c r="I794" s="7"/>
      <c r="J794" s="7"/>
      <c r="K794" s="7"/>
      <c r="L794" s="222"/>
      <c r="M794" s="7"/>
      <c r="N794" s="7"/>
      <c r="O794" s="7"/>
      <c r="P794" s="7"/>
      <c r="Q794" s="257"/>
      <c r="U794" s="7"/>
      <c r="V794" s="350"/>
      <c r="AD794" s="280"/>
    </row>
    <row r="795" customHeight="1" spans="1:30">
      <c r="A795" s="222"/>
      <c r="B795" s="7"/>
      <c r="C795" s="7"/>
      <c r="E795" s="7"/>
      <c r="F795" s="7"/>
      <c r="G795" s="222"/>
      <c r="H795" s="7"/>
      <c r="I795" s="7"/>
      <c r="J795" s="7"/>
      <c r="K795" s="7"/>
      <c r="L795" s="222"/>
      <c r="M795" s="7"/>
      <c r="N795" s="7"/>
      <c r="O795" s="7"/>
      <c r="P795" s="7"/>
      <c r="Q795" s="257"/>
      <c r="U795" s="7"/>
      <c r="V795" s="350"/>
      <c r="AD795" s="280"/>
    </row>
    <row r="796" customHeight="1" spans="1:30">
      <c r="A796" s="222"/>
      <c r="B796" s="7"/>
      <c r="C796" s="7"/>
      <c r="E796" s="7"/>
      <c r="F796" s="7"/>
      <c r="G796" s="222"/>
      <c r="H796" s="7"/>
      <c r="I796" s="7"/>
      <c r="J796" s="7"/>
      <c r="K796" s="7"/>
      <c r="L796" s="222"/>
      <c r="M796" s="7"/>
      <c r="N796" s="7"/>
      <c r="O796" s="7"/>
      <c r="P796" s="7"/>
      <c r="Q796" s="257"/>
      <c r="U796" s="7"/>
      <c r="V796" s="350"/>
      <c r="AD796" s="280"/>
    </row>
    <row r="797" customHeight="1" spans="1:30">
      <c r="A797" s="222"/>
      <c r="B797" s="7"/>
      <c r="C797" s="7"/>
      <c r="E797" s="7"/>
      <c r="F797" s="7"/>
      <c r="G797" s="222"/>
      <c r="H797" s="7"/>
      <c r="I797" s="7"/>
      <c r="J797" s="7"/>
      <c r="K797" s="7"/>
      <c r="L797" s="222"/>
      <c r="M797" s="7"/>
      <c r="N797" s="7"/>
      <c r="O797" s="7"/>
      <c r="P797" s="7"/>
      <c r="Q797" s="257"/>
      <c r="U797" s="7"/>
      <c r="V797" s="350"/>
      <c r="AD797" s="280"/>
    </row>
    <row r="798" customHeight="1" spans="1:30">
      <c r="A798" s="222"/>
      <c r="B798" s="7"/>
      <c r="C798" s="7"/>
      <c r="E798" s="7"/>
      <c r="F798" s="7"/>
      <c r="G798" s="222"/>
      <c r="H798" s="7"/>
      <c r="I798" s="7"/>
      <c r="J798" s="7"/>
      <c r="K798" s="7"/>
      <c r="L798" s="222"/>
      <c r="M798" s="7"/>
      <c r="N798" s="7"/>
      <c r="O798" s="7"/>
      <c r="P798" s="7"/>
      <c r="Q798" s="257"/>
      <c r="U798" s="7"/>
      <c r="V798" s="350"/>
      <c r="AD798" s="280"/>
    </row>
    <row r="799" customHeight="1" spans="1:30">
      <c r="A799" s="222"/>
      <c r="B799" s="7"/>
      <c r="C799" s="7"/>
      <c r="E799" s="7"/>
      <c r="F799" s="7"/>
      <c r="G799" s="222"/>
      <c r="H799" s="7"/>
      <c r="I799" s="7"/>
      <c r="J799" s="7"/>
      <c r="K799" s="7"/>
      <c r="L799" s="222"/>
      <c r="M799" s="7"/>
      <c r="N799" s="7"/>
      <c r="O799" s="7"/>
      <c r="P799" s="7"/>
      <c r="Q799" s="257"/>
      <c r="U799" s="7"/>
      <c r="V799" s="350"/>
      <c r="AD799" s="280"/>
    </row>
    <row r="800" customHeight="1" spans="1:30">
      <c r="A800" s="222"/>
      <c r="B800" s="7"/>
      <c r="C800" s="7"/>
      <c r="E800" s="7"/>
      <c r="F800" s="7"/>
      <c r="G800" s="222"/>
      <c r="H800" s="7"/>
      <c r="I800" s="7"/>
      <c r="J800" s="7"/>
      <c r="K800" s="7"/>
      <c r="L800" s="222"/>
      <c r="M800" s="7"/>
      <c r="N800" s="7"/>
      <c r="O800" s="7"/>
      <c r="P800" s="7"/>
      <c r="Q800" s="257"/>
      <c r="U800" s="7"/>
      <c r="V800" s="350"/>
      <c r="AD800" s="280"/>
    </row>
    <row r="801" customHeight="1" spans="1:30">
      <c r="A801" s="222"/>
      <c r="B801" s="7"/>
      <c r="C801" s="7"/>
      <c r="E801" s="7"/>
      <c r="F801" s="7"/>
      <c r="G801" s="222"/>
      <c r="H801" s="7"/>
      <c r="I801" s="7"/>
      <c r="J801" s="7"/>
      <c r="K801" s="7"/>
      <c r="L801" s="222"/>
      <c r="M801" s="7"/>
      <c r="N801" s="7"/>
      <c r="O801" s="7"/>
      <c r="P801" s="7"/>
      <c r="Q801" s="257"/>
      <c r="U801" s="7"/>
      <c r="V801" s="350"/>
      <c r="AD801" s="280"/>
    </row>
    <row r="802" customHeight="1" spans="1:30">
      <c r="A802" s="222"/>
      <c r="B802" s="7"/>
      <c r="C802" s="7"/>
      <c r="E802" s="7"/>
      <c r="F802" s="7"/>
      <c r="G802" s="222"/>
      <c r="H802" s="7"/>
      <c r="I802" s="7"/>
      <c r="J802" s="7"/>
      <c r="K802" s="7"/>
      <c r="L802" s="222"/>
      <c r="M802" s="7"/>
      <c r="N802" s="7"/>
      <c r="O802" s="7"/>
      <c r="P802" s="7"/>
      <c r="Q802" s="257"/>
      <c r="U802" s="7"/>
      <c r="V802" s="350"/>
      <c r="AD802" s="280"/>
    </row>
    <row r="803" customHeight="1" spans="1:30">
      <c r="A803" s="222"/>
      <c r="B803" s="7"/>
      <c r="C803" s="7"/>
      <c r="E803" s="7"/>
      <c r="F803" s="7"/>
      <c r="G803" s="222"/>
      <c r="H803" s="7"/>
      <c r="I803" s="7"/>
      <c r="J803" s="7"/>
      <c r="K803" s="7"/>
      <c r="L803" s="222"/>
      <c r="M803" s="7"/>
      <c r="N803" s="7"/>
      <c r="O803" s="7"/>
      <c r="P803" s="7"/>
      <c r="Q803" s="257"/>
      <c r="U803" s="7"/>
      <c r="V803" s="350"/>
      <c r="AD803" s="280"/>
    </row>
    <row r="804" customHeight="1" spans="1:30">
      <c r="A804" s="222"/>
      <c r="B804" s="7"/>
      <c r="C804" s="7"/>
      <c r="E804" s="7"/>
      <c r="F804" s="7"/>
      <c r="G804" s="222"/>
      <c r="H804" s="7"/>
      <c r="I804" s="7"/>
      <c r="J804" s="7"/>
      <c r="K804" s="7"/>
      <c r="L804" s="222"/>
      <c r="M804" s="7"/>
      <c r="N804" s="7"/>
      <c r="O804" s="7"/>
      <c r="P804" s="7"/>
      <c r="Q804" s="257"/>
      <c r="U804" s="7"/>
      <c r="V804" s="350"/>
      <c r="AD804" s="280"/>
    </row>
    <row r="805" customHeight="1" spans="1:30">
      <c r="A805" s="222"/>
      <c r="B805" s="7"/>
      <c r="C805" s="7"/>
      <c r="E805" s="7"/>
      <c r="F805" s="7"/>
      <c r="G805" s="222"/>
      <c r="H805" s="7"/>
      <c r="I805" s="7"/>
      <c r="J805" s="7"/>
      <c r="K805" s="7"/>
      <c r="L805" s="222"/>
      <c r="M805" s="7"/>
      <c r="N805" s="7"/>
      <c r="O805" s="7"/>
      <c r="P805" s="7"/>
      <c r="Q805" s="257"/>
      <c r="U805" s="7"/>
      <c r="V805" s="350"/>
      <c r="AD805" s="280"/>
    </row>
    <row r="806" customHeight="1" spans="1:30">
      <c r="A806" s="222"/>
      <c r="B806" s="7"/>
      <c r="C806" s="7"/>
      <c r="E806" s="7"/>
      <c r="F806" s="7"/>
      <c r="G806" s="222"/>
      <c r="H806" s="7"/>
      <c r="I806" s="7"/>
      <c r="J806" s="7"/>
      <c r="K806" s="7"/>
      <c r="L806" s="222"/>
      <c r="M806" s="7"/>
      <c r="N806" s="7"/>
      <c r="O806" s="7"/>
      <c r="P806" s="7"/>
      <c r="Q806" s="257"/>
      <c r="U806" s="7"/>
      <c r="V806" s="350"/>
      <c r="AD806" s="280"/>
    </row>
    <row r="807" customHeight="1" spans="1:30">
      <c r="A807" s="222"/>
      <c r="B807" s="7"/>
      <c r="C807" s="7"/>
      <c r="E807" s="7"/>
      <c r="F807" s="7"/>
      <c r="G807" s="222"/>
      <c r="H807" s="7"/>
      <c r="I807" s="7"/>
      <c r="J807" s="7"/>
      <c r="K807" s="7"/>
      <c r="L807" s="222"/>
      <c r="M807" s="7"/>
      <c r="N807" s="7"/>
      <c r="O807" s="7"/>
      <c r="P807" s="7"/>
      <c r="Q807" s="257"/>
      <c r="U807" s="7"/>
      <c r="V807" s="350"/>
      <c r="AD807" s="280"/>
    </row>
    <row r="808" customHeight="1" spans="1:30">
      <c r="A808" s="222"/>
      <c r="B808" s="7"/>
      <c r="C808" s="7"/>
      <c r="E808" s="7"/>
      <c r="F808" s="7"/>
      <c r="G808" s="222"/>
      <c r="H808" s="7"/>
      <c r="I808" s="7"/>
      <c r="J808" s="7"/>
      <c r="K808" s="7"/>
      <c r="L808" s="222"/>
      <c r="M808" s="7"/>
      <c r="N808" s="7"/>
      <c r="O808" s="7"/>
      <c r="P808" s="7"/>
      <c r="Q808" s="257"/>
      <c r="U808" s="7"/>
      <c r="V808" s="350"/>
      <c r="AD808" s="280"/>
    </row>
    <row r="809" customHeight="1" spans="1:30">
      <c r="A809" s="222"/>
      <c r="B809" s="7"/>
      <c r="C809" s="7"/>
      <c r="E809" s="7"/>
      <c r="F809" s="7"/>
      <c r="G809" s="222"/>
      <c r="H809" s="7"/>
      <c r="I809" s="7"/>
      <c r="J809" s="7"/>
      <c r="K809" s="7"/>
      <c r="L809" s="222"/>
      <c r="M809" s="7"/>
      <c r="N809" s="7"/>
      <c r="O809" s="7"/>
      <c r="P809" s="7"/>
      <c r="Q809" s="257"/>
      <c r="U809" s="7"/>
      <c r="V809" s="350"/>
      <c r="AD809" s="280"/>
    </row>
    <row r="810" customHeight="1" spans="1:30">
      <c r="A810" s="222"/>
      <c r="B810" s="7"/>
      <c r="C810" s="7"/>
      <c r="E810" s="7"/>
      <c r="F810" s="7"/>
      <c r="G810" s="222"/>
      <c r="H810" s="7"/>
      <c r="I810" s="7"/>
      <c r="J810" s="7"/>
      <c r="K810" s="7"/>
      <c r="L810" s="222"/>
      <c r="M810" s="7"/>
      <c r="N810" s="7"/>
      <c r="O810" s="7"/>
      <c r="P810" s="7"/>
      <c r="Q810" s="257"/>
      <c r="U810" s="7"/>
      <c r="V810" s="350"/>
      <c r="AD810" s="280"/>
    </row>
    <row r="811" customHeight="1" spans="1:30">
      <c r="A811" s="222"/>
      <c r="B811" s="7"/>
      <c r="C811" s="7"/>
      <c r="E811" s="7"/>
      <c r="F811" s="7"/>
      <c r="G811" s="222"/>
      <c r="H811" s="7"/>
      <c r="I811" s="7"/>
      <c r="J811" s="7"/>
      <c r="K811" s="7"/>
      <c r="L811" s="222"/>
      <c r="M811" s="7"/>
      <c r="N811" s="7"/>
      <c r="O811" s="7"/>
      <c r="P811" s="7"/>
      <c r="Q811" s="257"/>
      <c r="U811" s="7"/>
      <c r="V811" s="350"/>
      <c r="AD811" s="280"/>
    </row>
    <row r="812" customHeight="1" spans="1:30">
      <c r="A812" s="222"/>
      <c r="B812" s="7"/>
      <c r="C812" s="7"/>
      <c r="E812" s="7"/>
      <c r="F812" s="7"/>
      <c r="G812" s="222"/>
      <c r="H812" s="7"/>
      <c r="I812" s="7"/>
      <c r="J812" s="7"/>
      <c r="K812" s="7"/>
      <c r="L812" s="222"/>
      <c r="M812" s="7"/>
      <c r="N812" s="7"/>
      <c r="O812" s="7"/>
      <c r="P812" s="7"/>
      <c r="Q812" s="257"/>
      <c r="U812" s="7"/>
      <c r="V812" s="350"/>
      <c r="AD812" s="280"/>
    </row>
    <row r="813" customHeight="1" spans="1:30">
      <c r="A813" s="222"/>
      <c r="B813" s="7"/>
      <c r="C813" s="7"/>
      <c r="E813" s="7"/>
      <c r="F813" s="7"/>
      <c r="G813" s="222"/>
      <c r="H813" s="7"/>
      <c r="I813" s="7"/>
      <c r="J813" s="7"/>
      <c r="K813" s="7"/>
      <c r="L813" s="222"/>
      <c r="M813" s="7"/>
      <c r="N813" s="7"/>
      <c r="O813" s="7"/>
      <c r="P813" s="7"/>
      <c r="Q813" s="257"/>
      <c r="U813" s="7"/>
      <c r="V813" s="350"/>
      <c r="AD813" s="280"/>
    </row>
    <row r="814" customHeight="1" spans="1:30">
      <c r="A814" s="222"/>
      <c r="B814" s="7"/>
      <c r="C814" s="7"/>
      <c r="E814" s="7"/>
      <c r="F814" s="7"/>
      <c r="G814" s="222"/>
      <c r="H814" s="7"/>
      <c r="I814" s="7"/>
      <c r="J814" s="7"/>
      <c r="K814" s="7"/>
      <c r="L814" s="222"/>
      <c r="M814" s="7"/>
      <c r="N814" s="7"/>
      <c r="O814" s="7"/>
      <c r="P814" s="7"/>
      <c r="Q814" s="257"/>
      <c r="U814" s="7"/>
      <c r="V814" s="350"/>
      <c r="AD814" s="280"/>
    </row>
    <row r="815" customHeight="1" spans="1:30">
      <c r="A815" s="222"/>
      <c r="B815" s="7"/>
      <c r="C815" s="7"/>
      <c r="E815" s="7"/>
      <c r="F815" s="7"/>
      <c r="G815" s="222"/>
      <c r="H815" s="7"/>
      <c r="I815" s="7"/>
      <c r="J815" s="7"/>
      <c r="K815" s="7"/>
      <c r="L815" s="222"/>
      <c r="M815" s="7"/>
      <c r="N815" s="7"/>
      <c r="O815" s="7"/>
      <c r="P815" s="7"/>
      <c r="Q815" s="257"/>
      <c r="U815" s="7"/>
      <c r="V815" s="350"/>
      <c r="AD815" s="280"/>
    </row>
    <row r="816" customHeight="1" spans="1:30">
      <c r="A816" s="222"/>
      <c r="B816" s="7"/>
      <c r="C816" s="7"/>
      <c r="E816" s="7"/>
      <c r="F816" s="7"/>
      <c r="G816" s="222"/>
      <c r="H816" s="7"/>
      <c r="I816" s="7"/>
      <c r="J816" s="7"/>
      <c r="K816" s="7"/>
      <c r="L816" s="222"/>
      <c r="M816" s="7"/>
      <c r="N816" s="7"/>
      <c r="O816" s="7"/>
      <c r="P816" s="7"/>
      <c r="Q816" s="257"/>
      <c r="U816" s="7"/>
      <c r="V816" s="350"/>
      <c r="AD816" s="280"/>
    </row>
    <row r="817" customHeight="1" spans="1:30">
      <c r="A817" s="222"/>
      <c r="B817" s="7"/>
      <c r="C817" s="7"/>
      <c r="E817" s="7"/>
      <c r="F817" s="7"/>
      <c r="G817" s="222"/>
      <c r="H817" s="7"/>
      <c r="I817" s="7"/>
      <c r="J817" s="7"/>
      <c r="K817" s="7"/>
      <c r="L817" s="222"/>
      <c r="M817" s="7"/>
      <c r="N817" s="7"/>
      <c r="O817" s="7"/>
      <c r="P817" s="7"/>
      <c r="Q817" s="257"/>
      <c r="U817" s="7"/>
      <c r="V817" s="350"/>
      <c r="AD817" s="280"/>
    </row>
    <row r="818" customHeight="1" spans="1:30">
      <c r="A818" s="222"/>
      <c r="B818" s="7"/>
      <c r="C818" s="7"/>
      <c r="E818" s="7"/>
      <c r="F818" s="7"/>
      <c r="G818" s="222"/>
      <c r="H818" s="7"/>
      <c r="I818" s="7"/>
      <c r="J818" s="7"/>
      <c r="K818" s="7"/>
      <c r="L818" s="222"/>
      <c r="M818" s="7"/>
      <c r="N818" s="7"/>
      <c r="O818" s="7"/>
      <c r="P818" s="7"/>
      <c r="Q818" s="257"/>
      <c r="U818" s="7"/>
      <c r="V818" s="350"/>
      <c r="AD818" s="280"/>
    </row>
    <row r="819" customHeight="1" spans="1:30">
      <c r="A819" s="222"/>
      <c r="B819" s="7"/>
      <c r="C819" s="7"/>
      <c r="E819" s="7"/>
      <c r="F819" s="7"/>
      <c r="G819" s="222"/>
      <c r="H819" s="7"/>
      <c r="I819" s="7"/>
      <c r="J819" s="7"/>
      <c r="K819" s="7"/>
      <c r="L819" s="222"/>
      <c r="M819" s="7"/>
      <c r="N819" s="7"/>
      <c r="O819" s="7"/>
      <c r="P819" s="7"/>
      <c r="Q819" s="257"/>
      <c r="U819" s="7"/>
      <c r="V819" s="350"/>
      <c r="AD819" s="280"/>
    </row>
    <row r="820" customHeight="1" spans="1:30">
      <c r="A820" s="222"/>
      <c r="B820" s="7"/>
      <c r="C820" s="7"/>
      <c r="E820" s="7"/>
      <c r="F820" s="7"/>
      <c r="G820" s="222"/>
      <c r="H820" s="7"/>
      <c r="I820" s="7"/>
      <c r="J820" s="7"/>
      <c r="K820" s="7"/>
      <c r="L820" s="222"/>
      <c r="M820" s="7"/>
      <c r="N820" s="7"/>
      <c r="O820" s="7"/>
      <c r="P820" s="7"/>
      <c r="Q820" s="257"/>
      <c r="U820" s="7"/>
      <c r="V820" s="350"/>
      <c r="AD820" s="280"/>
    </row>
    <row r="821" customHeight="1" spans="1:30">
      <c r="A821" s="222"/>
      <c r="B821" s="7"/>
      <c r="C821" s="7"/>
      <c r="E821" s="7"/>
      <c r="F821" s="7"/>
      <c r="G821" s="222"/>
      <c r="H821" s="7"/>
      <c r="I821" s="7"/>
      <c r="J821" s="7"/>
      <c r="K821" s="7"/>
      <c r="L821" s="222"/>
      <c r="M821" s="7"/>
      <c r="N821" s="7"/>
      <c r="O821" s="7"/>
      <c r="P821" s="7"/>
      <c r="Q821" s="257"/>
      <c r="U821" s="7"/>
      <c r="V821" s="350"/>
      <c r="AD821" s="280"/>
    </row>
    <row r="822" customHeight="1" spans="1:30">
      <c r="A822" s="222"/>
      <c r="B822" s="7"/>
      <c r="C822" s="7"/>
      <c r="E822" s="7"/>
      <c r="F822" s="7"/>
      <c r="G822" s="222"/>
      <c r="H822" s="7"/>
      <c r="I822" s="7"/>
      <c r="J822" s="7"/>
      <c r="K822" s="7"/>
      <c r="L822" s="222"/>
      <c r="M822" s="7"/>
      <c r="N822" s="7"/>
      <c r="O822" s="7"/>
      <c r="P822" s="7"/>
      <c r="Q822" s="257"/>
      <c r="U822" s="7"/>
      <c r="V822" s="350"/>
      <c r="AD822" s="280"/>
    </row>
    <row r="823" customHeight="1" spans="1:30">
      <c r="A823" s="222"/>
      <c r="B823" s="7"/>
      <c r="C823" s="7"/>
      <c r="E823" s="7"/>
      <c r="F823" s="7"/>
      <c r="G823" s="222"/>
      <c r="H823" s="7"/>
      <c r="I823" s="7"/>
      <c r="J823" s="7"/>
      <c r="K823" s="7"/>
      <c r="L823" s="222"/>
      <c r="M823" s="7"/>
      <c r="N823" s="7"/>
      <c r="O823" s="7"/>
      <c r="P823" s="7"/>
      <c r="Q823" s="257"/>
      <c r="U823" s="7"/>
      <c r="V823" s="350"/>
      <c r="AD823" s="280"/>
    </row>
    <row r="824" customHeight="1" spans="1:30">
      <c r="A824" s="222"/>
      <c r="B824" s="7"/>
      <c r="C824" s="7"/>
      <c r="E824" s="7"/>
      <c r="F824" s="7"/>
      <c r="G824" s="222"/>
      <c r="H824" s="7"/>
      <c r="I824" s="7"/>
      <c r="J824" s="7"/>
      <c r="K824" s="7"/>
      <c r="L824" s="222"/>
      <c r="M824" s="7"/>
      <c r="N824" s="7"/>
      <c r="O824" s="7"/>
      <c r="P824" s="7"/>
      <c r="Q824" s="257"/>
      <c r="U824" s="7"/>
      <c r="V824" s="350"/>
      <c r="AD824" s="280"/>
    </row>
    <row r="825" customHeight="1" spans="1:30">
      <c r="A825" s="222"/>
      <c r="B825" s="7"/>
      <c r="C825" s="7"/>
      <c r="E825" s="7"/>
      <c r="F825" s="7"/>
      <c r="G825" s="222"/>
      <c r="H825" s="7"/>
      <c r="I825" s="7"/>
      <c r="J825" s="7"/>
      <c r="K825" s="7"/>
      <c r="L825" s="222"/>
      <c r="M825" s="7"/>
      <c r="N825" s="7"/>
      <c r="O825" s="7"/>
      <c r="P825" s="7"/>
      <c r="Q825" s="257"/>
      <c r="U825" s="7"/>
      <c r="V825" s="350"/>
      <c r="AD825" s="280"/>
    </row>
    <row r="826" customHeight="1" spans="1:30">
      <c r="A826" s="222"/>
      <c r="B826" s="7"/>
      <c r="C826" s="7"/>
      <c r="E826" s="7"/>
      <c r="F826" s="7"/>
      <c r="G826" s="222"/>
      <c r="H826" s="7"/>
      <c r="I826" s="7"/>
      <c r="J826" s="7"/>
      <c r="K826" s="7"/>
      <c r="L826" s="222"/>
      <c r="M826" s="7"/>
      <c r="N826" s="7"/>
      <c r="O826" s="7"/>
      <c r="P826" s="7"/>
      <c r="Q826" s="257"/>
      <c r="U826" s="7"/>
      <c r="V826" s="350"/>
      <c r="AD826" s="280"/>
    </row>
    <row r="827" customHeight="1" spans="1:30">
      <c r="A827" s="222"/>
      <c r="B827" s="7"/>
      <c r="C827" s="7"/>
      <c r="E827" s="7"/>
      <c r="F827" s="7"/>
      <c r="G827" s="222"/>
      <c r="H827" s="7"/>
      <c r="I827" s="7"/>
      <c r="J827" s="7"/>
      <c r="K827" s="7"/>
      <c r="L827" s="222"/>
      <c r="M827" s="7"/>
      <c r="N827" s="7"/>
      <c r="O827" s="7"/>
      <c r="P827" s="7"/>
      <c r="Q827" s="257"/>
      <c r="U827" s="7"/>
      <c r="V827" s="350"/>
      <c r="AD827" s="280"/>
    </row>
    <row r="828" customHeight="1" spans="1:30">
      <c r="A828" s="222"/>
      <c r="B828" s="7"/>
      <c r="C828" s="7"/>
      <c r="E828" s="7"/>
      <c r="F828" s="7"/>
      <c r="G828" s="222"/>
      <c r="H828" s="7"/>
      <c r="I828" s="7"/>
      <c r="J828" s="7"/>
      <c r="K828" s="7"/>
      <c r="L828" s="222"/>
      <c r="M828" s="7"/>
      <c r="N828" s="7"/>
      <c r="O828" s="7"/>
      <c r="P828" s="7"/>
      <c r="Q828" s="257"/>
      <c r="U828" s="7"/>
      <c r="V828" s="350"/>
      <c r="AD828" s="280"/>
    </row>
    <row r="829" customHeight="1" spans="1:30">
      <c r="A829" s="222"/>
      <c r="B829" s="7"/>
      <c r="C829" s="7"/>
      <c r="E829" s="7"/>
      <c r="F829" s="7"/>
      <c r="G829" s="222"/>
      <c r="H829" s="7"/>
      <c r="I829" s="7"/>
      <c r="J829" s="7"/>
      <c r="K829" s="7"/>
      <c r="L829" s="222"/>
      <c r="M829" s="7"/>
      <c r="N829" s="7"/>
      <c r="O829" s="7"/>
      <c r="P829" s="7"/>
      <c r="Q829" s="257"/>
      <c r="U829" s="7"/>
      <c r="V829" s="350"/>
      <c r="AD829" s="280"/>
    </row>
    <row r="830" customHeight="1" spans="1:30">
      <c r="A830" s="222"/>
      <c r="B830" s="7"/>
      <c r="C830" s="7"/>
      <c r="E830" s="7"/>
      <c r="F830" s="7"/>
      <c r="G830" s="222"/>
      <c r="H830" s="7"/>
      <c r="I830" s="7"/>
      <c r="J830" s="7"/>
      <c r="K830" s="7"/>
      <c r="L830" s="222"/>
      <c r="M830" s="7"/>
      <c r="N830" s="7"/>
      <c r="O830" s="7"/>
      <c r="P830" s="7"/>
      <c r="Q830" s="257"/>
      <c r="U830" s="7"/>
      <c r="V830" s="350"/>
      <c r="AD830" s="280"/>
    </row>
    <row r="831" customHeight="1" spans="1:30">
      <c r="A831" s="222"/>
      <c r="B831" s="7"/>
      <c r="C831" s="7"/>
      <c r="E831" s="7"/>
      <c r="F831" s="7"/>
      <c r="G831" s="222"/>
      <c r="H831" s="7"/>
      <c r="I831" s="7"/>
      <c r="J831" s="7"/>
      <c r="K831" s="7"/>
      <c r="L831" s="222"/>
      <c r="M831" s="7"/>
      <c r="N831" s="7"/>
      <c r="O831" s="7"/>
      <c r="P831" s="7"/>
      <c r="Q831" s="257"/>
      <c r="U831" s="7"/>
      <c r="V831" s="350"/>
      <c r="AD831" s="280"/>
    </row>
    <row r="832" customHeight="1" spans="1:30">
      <c r="A832" s="222"/>
      <c r="B832" s="7"/>
      <c r="C832" s="7"/>
      <c r="E832" s="7"/>
      <c r="F832" s="7"/>
      <c r="G832" s="222"/>
      <c r="H832" s="7"/>
      <c r="I832" s="7"/>
      <c r="J832" s="7"/>
      <c r="K832" s="7"/>
      <c r="L832" s="222"/>
      <c r="M832" s="7"/>
      <c r="N832" s="7"/>
      <c r="O832" s="7"/>
      <c r="P832" s="7"/>
      <c r="Q832" s="257"/>
      <c r="U832" s="7"/>
      <c r="V832" s="350"/>
      <c r="AD832" s="280"/>
    </row>
    <row r="833" customHeight="1" spans="1:30">
      <c r="A833" s="222"/>
      <c r="B833" s="7"/>
      <c r="C833" s="7"/>
      <c r="E833" s="7"/>
      <c r="F833" s="7"/>
      <c r="G833" s="222"/>
      <c r="H833" s="7"/>
      <c r="I833" s="7"/>
      <c r="J833" s="7"/>
      <c r="K833" s="7"/>
      <c r="L833" s="222"/>
      <c r="M833" s="7"/>
      <c r="N833" s="7"/>
      <c r="O833" s="7"/>
      <c r="P833" s="7"/>
      <c r="Q833" s="257"/>
      <c r="U833" s="7"/>
      <c r="V833" s="350"/>
      <c r="AD833" s="280"/>
    </row>
    <row r="834" customHeight="1" spans="1:30">
      <c r="A834" s="222"/>
      <c r="B834" s="7"/>
      <c r="C834" s="7"/>
      <c r="E834" s="7"/>
      <c r="F834" s="7"/>
      <c r="G834" s="222"/>
      <c r="H834" s="7"/>
      <c r="I834" s="7"/>
      <c r="J834" s="7"/>
      <c r="K834" s="7"/>
      <c r="L834" s="222"/>
      <c r="M834" s="7"/>
      <c r="N834" s="7"/>
      <c r="O834" s="7"/>
      <c r="P834" s="7"/>
      <c r="Q834" s="257"/>
      <c r="U834" s="7"/>
      <c r="V834" s="350"/>
      <c r="AD834" s="280"/>
    </row>
    <row r="835" customHeight="1" spans="1:30">
      <c r="A835" s="222"/>
      <c r="B835" s="7"/>
      <c r="C835" s="7"/>
      <c r="E835" s="7"/>
      <c r="F835" s="7"/>
      <c r="G835" s="222"/>
      <c r="H835" s="7"/>
      <c r="I835" s="7"/>
      <c r="J835" s="7"/>
      <c r="K835" s="7"/>
      <c r="L835" s="222"/>
      <c r="M835" s="7"/>
      <c r="N835" s="7"/>
      <c r="O835" s="7"/>
      <c r="P835" s="7"/>
      <c r="Q835" s="257"/>
      <c r="U835" s="7"/>
      <c r="V835" s="350"/>
      <c r="AD835" s="280"/>
    </row>
    <row r="836" customHeight="1" spans="1:30">
      <c r="A836" s="222"/>
      <c r="B836" s="7"/>
      <c r="C836" s="7"/>
      <c r="E836" s="7"/>
      <c r="F836" s="7"/>
      <c r="G836" s="222"/>
      <c r="H836" s="7"/>
      <c r="I836" s="7"/>
      <c r="J836" s="7"/>
      <c r="K836" s="7"/>
      <c r="L836" s="222"/>
      <c r="M836" s="7"/>
      <c r="N836" s="7"/>
      <c r="O836" s="7"/>
      <c r="P836" s="7"/>
      <c r="Q836" s="257"/>
      <c r="U836" s="7"/>
      <c r="V836" s="350"/>
      <c r="AD836" s="280"/>
    </row>
    <row r="837" customHeight="1" spans="1:30">
      <c r="A837" s="222"/>
      <c r="B837" s="7"/>
      <c r="C837" s="7"/>
      <c r="E837" s="7"/>
      <c r="F837" s="7"/>
      <c r="G837" s="222"/>
      <c r="H837" s="7"/>
      <c r="I837" s="7"/>
      <c r="J837" s="7"/>
      <c r="K837" s="7"/>
      <c r="L837" s="222"/>
      <c r="M837" s="7"/>
      <c r="N837" s="7"/>
      <c r="O837" s="7"/>
      <c r="P837" s="7"/>
      <c r="Q837" s="257"/>
      <c r="U837" s="7"/>
      <c r="V837" s="350"/>
      <c r="AD837" s="280"/>
    </row>
    <row r="838" customHeight="1" spans="1:30">
      <c r="A838" s="222"/>
      <c r="B838" s="7"/>
      <c r="C838" s="7"/>
      <c r="E838" s="7"/>
      <c r="F838" s="7"/>
      <c r="G838" s="222"/>
      <c r="H838" s="7"/>
      <c r="I838" s="7"/>
      <c r="J838" s="7"/>
      <c r="K838" s="7"/>
      <c r="L838" s="222"/>
      <c r="M838" s="7"/>
      <c r="N838" s="7"/>
      <c r="O838" s="7"/>
      <c r="P838" s="7"/>
      <c r="Q838" s="257"/>
      <c r="U838" s="7"/>
      <c r="V838" s="350"/>
      <c r="AD838" s="280"/>
    </row>
    <row r="839" customHeight="1" spans="1:30">
      <c r="A839" s="222"/>
      <c r="B839" s="7"/>
      <c r="C839" s="7"/>
      <c r="E839" s="7"/>
      <c r="F839" s="7"/>
      <c r="G839" s="222"/>
      <c r="H839" s="7"/>
      <c r="I839" s="7"/>
      <c r="J839" s="7"/>
      <c r="K839" s="7"/>
      <c r="L839" s="222"/>
      <c r="M839" s="7"/>
      <c r="N839" s="7"/>
      <c r="O839" s="7"/>
      <c r="P839" s="7"/>
      <c r="Q839" s="257"/>
      <c r="U839" s="7"/>
      <c r="V839" s="350"/>
      <c r="AD839" s="280"/>
    </row>
    <row r="840" customHeight="1" spans="1:30">
      <c r="A840" s="222"/>
      <c r="B840" s="7"/>
      <c r="C840" s="7"/>
      <c r="E840" s="7"/>
      <c r="F840" s="7"/>
      <c r="G840" s="222"/>
      <c r="H840" s="7"/>
      <c r="I840" s="7"/>
      <c r="J840" s="7"/>
      <c r="K840" s="7"/>
      <c r="L840" s="222"/>
      <c r="M840" s="7"/>
      <c r="N840" s="7"/>
      <c r="O840" s="7"/>
      <c r="P840" s="7"/>
      <c r="Q840" s="257"/>
      <c r="U840" s="7"/>
      <c r="V840" s="350"/>
      <c r="AD840" s="280"/>
    </row>
    <row r="841" customHeight="1" spans="1:30">
      <c r="A841" s="222"/>
      <c r="B841" s="7"/>
      <c r="C841" s="7"/>
      <c r="E841" s="7"/>
      <c r="F841" s="7"/>
      <c r="G841" s="222"/>
      <c r="H841" s="7"/>
      <c r="I841" s="7"/>
      <c r="J841" s="7"/>
      <c r="K841" s="7"/>
      <c r="L841" s="222"/>
      <c r="M841" s="7"/>
      <c r="N841" s="7"/>
      <c r="O841" s="7"/>
      <c r="P841" s="7"/>
      <c r="Q841" s="257"/>
      <c r="U841" s="7"/>
      <c r="V841" s="350"/>
      <c r="AD841" s="280"/>
    </row>
    <row r="842" customHeight="1" spans="1:30">
      <c r="A842" s="222"/>
      <c r="B842" s="7"/>
      <c r="C842" s="7"/>
      <c r="E842" s="7"/>
      <c r="F842" s="7"/>
      <c r="G842" s="222"/>
      <c r="H842" s="7"/>
      <c r="I842" s="7"/>
      <c r="J842" s="7"/>
      <c r="K842" s="7"/>
      <c r="L842" s="222"/>
      <c r="M842" s="7"/>
      <c r="N842" s="7"/>
      <c r="O842" s="7"/>
      <c r="P842" s="7"/>
      <c r="Q842" s="257"/>
      <c r="U842" s="7"/>
      <c r="V842" s="350"/>
      <c r="AD842" s="280"/>
    </row>
    <row r="843" customHeight="1" spans="1:30">
      <c r="A843" s="222"/>
      <c r="B843" s="7"/>
      <c r="C843" s="7"/>
      <c r="E843" s="7"/>
      <c r="F843" s="7"/>
      <c r="G843" s="222"/>
      <c r="H843" s="7"/>
      <c r="I843" s="7"/>
      <c r="J843" s="7"/>
      <c r="K843" s="7"/>
      <c r="L843" s="222"/>
      <c r="M843" s="7"/>
      <c r="N843" s="7"/>
      <c r="O843" s="7"/>
      <c r="P843" s="7"/>
      <c r="Q843" s="257"/>
      <c r="U843" s="7"/>
      <c r="V843" s="350"/>
      <c r="AD843" s="280"/>
    </row>
    <row r="844" customHeight="1" spans="1:30">
      <c r="A844" s="222"/>
      <c r="B844" s="7"/>
      <c r="C844" s="7"/>
      <c r="E844" s="7"/>
      <c r="F844" s="7"/>
      <c r="G844" s="222"/>
      <c r="H844" s="7"/>
      <c r="I844" s="7"/>
      <c r="J844" s="7"/>
      <c r="K844" s="7"/>
      <c r="L844" s="222"/>
      <c r="M844" s="7"/>
      <c r="N844" s="7"/>
      <c r="O844" s="7"/>
      <c r="P844" s="7"/>
      <c r="Q844" s="257"/>
      <c r="U844" s="7"/>
      <c r="V844" s="350"/>
      <c r="AD844" s="280"/>
    </row>
    <row r="845" customHeight="1" spans="1:30">
      <c r="A845" s="222"/>
      <c r="B845" s="7"/>
      <c r="C845" s="7"/>
      <c r="E845" s="7"/>
      <c r="F845" s="7"/>
      <c r="G845" s="222"/>
      <c r="H845" s="7"/>
      <c r="I845" s="7"/>
      <c r="J845" s="7"/>
      <c r="K845" s="7"/>
      <c r="L845" s="222"/>
      <c r="M845" s="7"/>
      <c r="N845" s="7"/>
      <c r="O845" s="7"/>
      <c r="P845" s="7"/>
      <c r="Q845" s="257"/>
      <c r="U845" s="7"/>
      <c r="V845" s="350"/>
      <c r="AD845" s="280"/>
    </row>
    <row r="846" customHeight="1" spans="1:30">
      <c r="A846" s="222"/>
      <c r="B846" s="7"/>
      <c r="C846" s="7"/>
      <c r="E846" s="7"/>
      <c r="F846" s="7"/>
      <c r="G846" s="222"/>
      <c r="H846" s="7"/>
      <c r="I846" s="7"/>
      <c r="J846" s="7"/>
      <c r="K846" s="7"/>
      <c r="L846" s="222"/>
      <c r="M846" s="7"/>
      <c r="N846" s="7"/>
      <c r="O846" s="7"/>
      <c r="P846" s="7"/>
      <c r="Q846" s="257"/>
      <c r="U846" s="7"/>
      <c r="V846" s="350"/>
      <c r="AD846" s="280"/>
    </row>
    <row r="847" customHeight="1" spans="1:30">
      <c r="A847" s="222"/>
      <c r="B847" s="7"/>
      <c r="C847" s="7"/>
      <c r="E847" s="7"/>
      <c r="F847" s="7"/>
      <c r="G847" s="222"/>
      <c r="H847" s="7"/>
      <c r="I847" s="7"/>
      <c r="J847" s="7"/>
      <c r="K847" s="7"/>
      <c r="L847" s="222"/>
      <c r="M847" s="7"/>
      <c r="N847" s="7"/>
      <c r="O847" s="7"/>
      <c r="P847" s="7"/>
      <c r="Q847" s="257"/>
      <c r="U847" s="7"/>
      <c r="V847" s="350"/>
      <c r="AD847" s="280"/>
    </row>
    <row r="848" customHeight="1" spans="1:30">
      <c r="A848" s="222"/>
      <c r="B848" s="7"/>
      <c r="C848" s="7"/>
      <c r="E848" s="7"/>
      <c r="F848" s="7"/>
      <c r="G848" s="222"/>
      <c r="H848" s="7"/>
      <c r="I848" s="7"/>
      <c r="J848" s="7"/>
      <c r="K848" s="7"/>
      <c r="L848" s="222"/>
      <c r="M848" s="7"/>
      <c r="N848" s="7"/>
      <c r="O848" s="7"/>
      <c r="P848" s="7"/>
      <c r="Q848" s="257"/>
      <c r="U848" s="7"/>
      <c r="V848" s="350"/>
      <c r="AD848" s="280"/>
    </row>
    <row r="849" customHeight="1" spans="1:30">
      <c r="A849" s="222"/>
      <c r="B849" s="7"/>
      <c r="C849" s="7"/>
      <c r="E849" s="7"/>
      <c r="F849" s="7"/>
      <c r="G849" s="222"/>
      <c r="H849" s="7"/>
      <c r="I849" s="7"/>
      <c r="J849" s="7"/>
      <c r="K849" s="7"/>
      <c r="L849" s="222"/>
      <c r="M849" s="7"/>
      <c r="N849" s="7"/>
      <c r="O849" s="7"/>
      <c r="P849" s="7"/>
      <c r="Q849" s="257"/>
      <c r="U849" s="7"/>
      <c r="V849" s="350"/>
      <c r="AD849" s="280"/>
    </row>
    <row r="850" customHeight="1" spans="1:30">
      <c r="A850" s="222"/>
      <c r="B850" s="7"/>
      <c r="C850" s="7"/>
      <c r="E850" s="7"/>
      <c r="F850" s="7"/>
      <c r="G850" s="222"/>
      <c r="H850" s="7"/>
      <c r="I850" s="7"/>
      <c r="J850" s="7"/>
      <c r="K850" s="7"/>
      <c r="L850" s="222"/>
      <c r="M850" s="7"/>
      <c r="N850" s="7"/>
      <c r="O850" s="7"/>
      <c r="P850" s="7"/>
      <c r="Q850" s="257"/>
      <c r="U850" s="7"/>
      <c r="V850" s="350"/>
      <c r="AD850" s="280"/>
    </row>
    <row r="851" customHeight="1" spans="1:30">
      <c r="A851" s="222"/>
      <c r="B851" s="7"/>
      <c r="C851" s="7"/>
      <c r="E851" s="7"/>
      <c r="F851" s="7"/>
      <c r="G851" s="222"/>
      <c r="H851" s="7"/>
      <c r="I851" s="7"/>
      <c r="J851" s="7"/>
      <c r="K851" s="7"/>
      <c r="L851" s="222"/>
      <c r="M851" s="7"/>
      <c r="N851" s="7"/>
      <c r="O851" s="7"/>
      <c r="P851" s="7"/>
      <c r="Q851" s="257"/>
      <c r="U851" s="7"/>
      <c r="V851" s="350"/>
      <c r="AD851" s="280"/>
    </row>
    <row r="852" customHeight="1" spans="1:30">
      <c r="A852" s="222"/>
      <c r="B852" s="7"/>
      <c r="C852" s="7"/>
      <c r="E852" s="7"/>
      <c r="F852" s="7"/>
      <c r="G852" s="222"/>
      <c r="H852" s="7"/>
      <c r="I852" s="7"/>
      <c r="J852" s="7"/>
      <c r="K852" s="7"/>
      <c r="L852" s="222"/>
      <c r="M852" s="7"/>
      <c r="N852" s="7"/>
      <c r="O852" s="7"/>
      <c r="P852" s="7"/>
      <c r="Q852" s="257"/>
      <c r="U852" s="7"/>
      <c r="V852" s="350"/>
      <c r="AD852" s="280"/>
    </row>
    <row r="853" customHeight="1" spans="1:30">
      <c r="A853" s="222"/>
      <c r="B853" s="7"/>
      <c r="C853" s="7"/>
      <c r="E853" s="7"/>
      <c r="F853" s="7"/>
      <c r="G853" s="222"/>
      <c r="H853" s="7"/>
      <c r="I853" s="7"/>
      <c r="J853" s="7"/>
      <c r="K853" s="7"/>
      <c r="L853" s="222"/>
      <c r="M853" s="7"/>
      <c r="N853" s="7"/>
      <c r="O853" s="7"/>
      <c r="P853" s="7"/>
      <c r="Q853" s="257"/>
      <c r="U853" s="7"/>
      <c r="V853" s="350"/>
      <c r="AD853" s="280"/>
    </row>
    <row r="854" customHeight="1" spans="1:30">
      <c r="A854" s="222"/>
      <c r="B854" s="7"/>
      <c r="C854" s="7"/>
      <c r="E854" s="7"/>
      <c r="F854" s="7"/>
      <c r="G854" s="222"/>
      <c r="H854" s="7"/>
      <c r="I854" s="7"/>
      <c r="J854" s="7"/>
      <c r="K854" s="7"/>
      <c r="L854" s="222"/>
      <c r="M854" s="7"/>
      <c r="N854" s="7"/>
      <c r="O854" s="7"/>
      <c r="P854" s="7"/>
      <c r="Q854" s="257"/>
      <c r="U854" s="7"/>
      <c r="V854" s="350"/>
      <c r="AD854" s="280"/>
    </row>
    <row r="855" customHeight="1" spans="1:30">
      <c r="A855" s="222"/>
      <c r="B855" s="7"/>
      <c r="C855" s="7"/>
      <c r="E855" s="7"/>
      <c r="F855" s="7"/>
      <c r="G855" s="222"/>
      <c r="H855" s="7"/>
      <c r="I855" s="7"/>
      <c r="J855" s="7"/>
      <c r="K855" s="7"/>
      <c r="L855" s="222"/>
      <c r="M855" s="7"/>
      <c r="N855" s="7"/>
      <c r="O855" s="7"/>
      <c r="P855" s="7"/>
      <c r="Q855" s="257"/>
      <c r="U855" s="7"/>
      <c r="V855" s="350"/>
      <c r="AD855" s="280"/>
    </row>
    <row r="856" customHeight="1" spans="1:30">
      <c r="A856" s="222"/>
      <c r="B856" s="7"/>
      <c r="C856" s="7"/>
      <c r="E856" s="7"/>
      <c r="F856" s="7"/>
      <c r="G856" s="222"/>
      <c r="H856" s="7"/>
      <c r="I856" s="7"/>
      <c r="J856" s="7"/>
      <c r="K856" s="7"/>
      <c r="L856" s="222"/>
      <c r="M856" s="7"/>
      <c r="N856" s="7"/>
      <c r="O856" s="7"/>
      <c r="P856" s="7"/>
      <c r="Q856" s="257"/>
      <c r="U856" s="7"/>
      <c r="V856" s="350"/>
      <c r="AD856" s="280"/>
    </row>
    <row r="857" customHeight="1" spans="1:30">
      <c r="A857" s="222"/>
      <c r="B857" s="7"/>
      <c r="C857" s="7"/>
      <c r="E857" s="7"/>
      <c r="F857" s="7"/>
      <c r="G857" s="222"/>
      <c r="H857" s="7"/>
      <c r="I857" s="7"/>
      <c r="J857" s="7"/>
      <c r="K857" s="7"/>
      <c r="L857" s="222"/>
      <c r="M857" s="7"/>
      <c r="N857" s="7"/>
      <c r="O857" s="7"/>
      <c r="P857" s="7"/>
      <c r="Q857" s="257"/>
      <c r="U857" s="7"/>
      <c r="V857" s="350"/>
      <c r="AD857" s="280"/>
    </row>
    <row r="858" customHeight="1" spans="1:30">
      <c r="A858" s="222"/>
      <c r="B858" s="7"/>
      <c r="C858" s="7"/>
      <c r="E858" s="7"/>
      <c r="F858" s="7"/>
      <c r="G858" s="222"/>
      <c r="H858" s="7"/>
      <c r="I858" s="7"/>
      <c r="J858" s="7"/>
      <c r="K858" s="7"/>
      <c r="L858" s="222"/>
      <c r="M858" s="7"/>
      <c r="N858" s="7"/>
      <c r="O858" s="7"/>
      <c r="P858" s="7"/>
      <c r="Q858" s="257"/>
      <c r="U858" s="7"/>
      <c r="V858" s="350"/>
      <c r="AD858" s="280"/>
    </row>
    <row r="859" customHeight="1" spans="1:30">
      <c r="A859" s="222"/>
      <c r="B859" s="7"/>
      <c r="C859" s="7"/>
      <c r="E859" s="7"/>
      <c r="F859" s="7"/>
      <c r="G859" s="222"/>
      <c r="H859" s="7"/>
      <c r="I859" s="7"/>
      <c r="J859" s="7"/>
      <c r="K859" s="7"/>
      <c r="L859" s="222"/>
      <c r="M859" s="7"/>
      <c r="N859" s="7"/>
      <c r="O859" s="7"/>
      <c r="P859" s="7"/>
      <c r="Q859" s="257"/>
      <c r="U859" s="7"/>
      <c r="V859" s="350"/>
      <c r="AD859" s="280"/>
    </row>
    <row r="860" customHeight="1" spans="1:30">
      <c r="A860" s="222"/>
      <c r="B860" s="7"/>
      <c r="C860" s="7"/>
      <c r="E860" s="7"/>
      <c r="F860" s="7"/>
      <c r="G860" s="222"/>
      <c r="H860" s="7"/>
      <c r="I860" s="7"/>
      <c r="J860" s="7"/>
      <c r="K860" s="7"/>
      <c r="L860" s="222"/>
      <c r="M860" s="7"/>
      <c r="N860" s="7"/>
      <c r="O860" s="7"/>
      <c r="P860" s="7"/>
      <c r="Q860" s="257"/>
      <c r="U860" s="7"/>
      <c r="V860" s="350"/>
      <c r="AD860" s="280"/>
    </row>
    <row r="861" customHeight="1" spans="1:30">
      <c r="A861" s="222"/>
      <c r="B861" s="7"/>
      <c r="C861" s="7"/>
      <c r="E861" s="7"/>
      <c r="F861" s="7"/>
      <c r="G861" s="222"/>
      <c r="H861" s="7"/>
      <c r="I861" s="7"/>
      <c r="J861" s="7"/>
      <c r="K861" s="7"/>
      <c r="L861" s="222"/>
      <c r="M861" s="7"/>
      <c r="N861" s="7"/>
      <c r="O861" s="7"/>
      <c r="P861" s="7"/>
      <c r="Q861" s="257"/>
      <c r="U861" s="7"/>
      <c r="V861" s="350"/>
      <c r="AD861" s="280"/>
    </row>
    <row r="862" customHeight="1" spans="1:30">
      <c r="A862" s="222"/>
      <c r="B862" s="7"/>
      <c r="C862" s="7"/>
      <c r="E862" s="7"/>
      <c r="F862" s="7"/>
      <c r="G862" s="222"/>
      <c r="H862" s="7"/>
      <c r="I862" s="7"/>
      <c r="J862" s="7"/>
      <c r="K862" s="7"/>
      <c r="L862" s="222"/>
      <c r="M862" s="7"/>
      <c r="N862" s="7"/>
      <c r="O862" s="7"/>
      <c r="P862" s="7"/>
      <c r="Q862" s="257"/>
      <c r="U862" s="7"/>
      <c r="V862" s="350"/>
      <c r="AD862" s="280"/>
    </row>
    <row r="863" customHeight="1" spans="1:30">
      <c r="A863" s="222"/>
      <c r="B863" s="7"/>
      <c r="C863" s="7"/>
      <c r="E863" s="7"/>
      <c r="F863" s="7"/>
      <c r="G863" s="222"/>
      <c r="H863" s="7"/>
      <c r="I863" s="7"/>
      <c r="J863" s="7"/>
      <c r="K863" s="7"/>
      <c r="L863" s="222"/>
      <c r="M863" s="7"/>
      <c r="N863" s="7"/>
      <c r="O863" s="7"/>
      <c r="P863" s="7"/>
      <c r="Q863" s="257"/>
      <c r="U863" s="7"/>
      <c r="V863" s="350"/>
      <c r="AD863" s="280"/>
    </row>
    <row r="864" customHeight="1" spans="1:30">
      <c r="A864" s="222"/>
      <c r="B864" s="7"/>
      <c r="C864" s="7"/>
      <c r="E864" s="7"/>
      <c r="F864" s="7"/>
      <c r="G864" s="222"/>
      <c r="H864" s="7"/>
      <c r="I864" s="7"/>
      <c r="J864" s="7"/>
      <c r="K864" s="7"/>
      <c r="L864" s="222"/>
      <c r="M864" s="7"/>
      <c r="N864" s="7"/>
      <c r="O864" s="7"/>
      <c r="P864" s="7"/>
      <c r="Q864" s="257"/>
      <c r="U864" s="7"/>
      <c r="V864" s="350"/>
      <c r="AD864" s="280"/>
    </row>
    <row r="865" customHeight="1" spans="1:30">
      <c r="A865" s="222"/>
      <c r="B865" s="7"/>
      <c r="C865" s="7"/>
      <c r="E865" s="7"/>
      <c r="F865" s="7"/>
      <c r="G865" s="222"/>
      <c r="H865" s="7"/>
      <c r="I865" s="7"/>
      <c r="J865" s="7"/>
      <c r="K865" s="7"/>
      <c r="L865" s="222"/>
      <c r="M865" s="7"/>
      <c r="N865" s="7"/>
      <c r="O865" s="7"/>
      <c r="P865" s="7"/>
      <c r="Q865" s="257"/>
      <c r="U865" s="7"/>
      <c r="V865" s="350"/>
      <c r="AD865" s="280"/>
    </row>
    <row r="866" customHeight="1" spans="1:30">
      <c r="A866" s="222"/>
      <c r="B866" s="7"/>
      <c r="C866" s="7"/>
      <c r="E866" s="7"/>
      <c r="F866" s="7"/>
      <c r="G866" s="222"/>
      <c r="H866" s="7"/>
      <c r="I866" s="7"/>
      <c r="J866" s="7"/>
      <c r="K866" s="7"/>
      <c r="L866" s="222"/>
      <c r="M866" s="7"/>
      <c r="N866" s="7"/>
      <c r="O866" s="7"/>
      <c r="P866" s="7"/>
      <c r="Q866" s="257"/>
      <c r="U866" s="7"/>
      <c r="V866" s="350"/>
      <c r="AD866" s="280"/>
    </row>
    <row r="867" customHeight="1" spans="1:30">
      <c r="A867" s="222"/>
      <c r="B867" s="7"/>
      <c r="C867" s="7"/>
      <c r="E867" s="7"/>
      <c r="F867" s="7"/>
      <c r="G867" s="222"/>
      <c r="H867" s="7"/>
      <c r="I867" s="7"/>
      <c r="J867" s="7"/>
      <c r="K867" s="7"/>
      <c r="L867" s="222"/>
      <c r="M867" s="7"/>
      <c r="N867" s="7"/>
      <c r="O867" s="7"/>
      <c r="P867" s="7"/>
      <c r="Q867" s="257"/>
      <c r="U867" s="7"/>
      <c r="V867" s="350"/>
      <c r="AD867" s="280"/>
    </row>
    <row r="868" customHeight="1" spans="1:30">
      <c r="A868" s="222"/>
      <c r="B868" s="7"/>
      <c r="C868" s="7"/>
      <c r="E868" s="7"/>
      <c r="F868" s="7"/>
      <c r="G868" s="222"/>
      <c r="H868" s="7"/>
      <c r="I868" s="7"/>
      <c r="J868" s="7"/>
      <c r="K868" s="7"/>
      <c r="L868" s="222"/>
      <c r="M868" s="7"/>
      <c r="N868" s="7"/>
      <c r="O868" s="7"/>
      <c r="P868" s="7"/>
      <c r="Q868" s="257"/>
      <c r="U868" s="7"/>
      <c r="V868" s="350"/>
      <c r="AD868" s="280"/>
    </row>
    <row r="869" customHeight="1" spans="1:30">
      <c r="A869" s="222"/>
      <c r="B869" s="7"/>
      <c r="C869" s="7"/>
      <c r="E869" s="7"/>
      <c r="F869" s="7"/>
      <c r="G869" s="222"/>
      <c r="H869" s="7"/>
      <c r="I869" s="7"/>
      <c r="J869" s="7"/>
      <c r="K869" s="7"/>
      <c r="L869" s="222"/>
      <c r="M869" s="7"/>
      <c r="N869" s="7"/>
      <c r="O869" s="7"/>
      <c r="P869" s="7"/>
      <c r="Q869" s="257"/>
      <c r="U869" s="7"/>
      <c r="V869" s="350"/>
      <c r="AD869" s="280"/>
    </row>
    <row r="870" customHeight="1" spans="1:30">
      <c r="A870" s="222"/>
      <c r="B870" s="7"/>
      <c r="C870" s="7"/>
      <c r="E870" s="7"/>
      <c r="F870" s="7"/>
      <c r="G870" s="222"/>
      <c r="H870" s="7"/>
      <c r="I870" s="7"/>
      <c r="J870" s="7"/>
      <c r="K870" s="7"/>
      <c r="L870" s="222"/>
      <c r="M870" s="7"/>
      <c r="N870" s="7"/>
      <c r="O870" s="7"/>
      <c r="P870" s="7"/>
      <c r="Q870" s="257"/>
      <c r="U870" s="7"/>
      <c r="V870" s="350"/>
      <c r="AD870" s="280"/>
    </row>
    <row r="871" customHeight="1" spans="1:30">
      <c r="A871" s="222"/>
      <c r="B871" s="7"/>
      <c r="C871" s="7"/>
      <c r="E871" s="7"/>
      <c r="F871" s="7"/>
      <c r="G871" s="222"/>
      <c r="H871" s="7"/>
      <c r="I871" s="7"/>
      <c r="J871" s="7"/>
      <c r="K871" s="7"/>
      <c r="L871" s="222"/>
      <c r="M871" s="7"/>
      <c r="N871" s="7"/>
      <c r="O871" s="7"/>
      <c r="P871" s="7"/>
      <c r="Q871" s="257"/>
      <c r="U871" s="7"/>
      <c r="V871" s="350"/>
      <c r="AD871" s="280"/>
    </row>
    <row r="872" customHeight="1" spans="1:30">
      <c r="A872" s="222"/>
      <c r="B872" s="7"/>
      <c r="C872" s="7"/>
      <c r="E872" s="7"/>
      <c r="F872" s="7"/>
      <c r="G872" s="222"/>
      <c r="H872" s="7"/>
      <c r="I872" s="7"/>
      <c r="J872" s="7"/>
      <c r="K872" s="7"/>
      <c r="L872" s="222"/>
      <c r="M872" s="7"/>
      <c r="N872" s="7"/>
      <c r="O872" s="7"/>
      <c r="P872" s="7"/>
      <c r="Q872" s="257"/>
      <c r="U872" s="7"/>
      <c r="V872" s="350"/>
      <c r="AD872" s="280"/>
    </row>
    <row r="873" customHeight="1" spans="1:30">
      <c r="A873" s="222"/>
      <c r="B873" s="7"/>
      <c r="C873" s="7"/>
      <c r="E873" s="7"/>
      <c r="F873" s="7"/>
      <c r="G873" s="222"/>
      <c r="H873" s="7"/>
      <c r="I873" s="7"/>
      <c r="J873" s="7"/>
      <c r="K873" s="7"/>
      <c r="L873" s="222"/>
      <c r="M873" s="7"/>
      <c r="N873" s="7"/>
      <c r="O873" s="7"/>
      <c r="P873" s="7"/>
      <c r="Q873" s="257"/>
      <c r="U873" s="7"/>
      <c r="V873" s="350"/>
      <c r="AD873" s="280"/>
    </row>
    <row r="874" customHeight="1" spans="1:30">
      <c r="A874" s="222"/>
      <c r="B874" s="7"/>
      <c r="C874" s="7"/>
      <c r="E874" s="7"/>
      <c r="F874" s="7"/>
      <c r="G874" s="222"/>
      <c r="H874" s="7"/>
      <c r="I874" s="7"/>
      <c r="J874" s="7"/>
      <c r="K874" s="7"/>
      <c r="L874" s="222"/>
      <c r="M874" s="7"/>
      <c r="N874" s="7"/>
      <c r="O874" s="7"/>
      <c r="P874" s="7"/>
      <c r="Q874" s="257"/>
      <c r="U874" s="7"/>
      <c r="V874" s="350"/>
      <c r="AD874" s="280"/>
    </row>
    <row r="875" customHeight="1" spans="1:30">
      <c r="A875" s="222"/>
      <c r="B875" s="7"/>
      <c r="C875" s="7"/>
      <c r="E875" s="7"/>
      <c r="F875" s="7"/>
      <c r="G875" s="222"/>
      <c r="H875" s="7"/>
      <c r="I875" s="7"/>
      <c r="J875" s="7"/>
      <c r="K875" s="7"/>
      <c r="L875" s="222"/>
      <c r="M875" s="7"/>
      <c r="N875" s="7"/>
      <c r="O875" s="7"/>
      <c r="P875" s="7"/>
      <c r="Q875" s="257"/>
      <c r="U875" s="7"/>
      <c r="V875" s="350"/>
      <c r="AD875" s="280"/>
    </row>
    <row r="876" customHeight="1" spans="1:30">
      <c r="A876" s="222"/>
      <c r="B876" s="7"/>
      <c r="C876" s="7"/>
      <c r="E876" s="7"/>
      <c r="F876" s="7"/>
      <c r="G876" s="222"/>
      <c r="H876" s="7"/>
      <c r="I876" s="7"/>
      <c r="J876" s="7"/>
      <c r="K876" s="7"/>
      <c r="L876" s="222"/>
      <c r="M876" s="7"/>
      <c r="N876" s="7"/>
      <c r="O876" s="7"/>
      <c r="P876" s="7"/>
      <c r="Q876" s="257"/>
      <c r="U876" s="7"/>
      <c r="V876" s="350"/>
      <c r="AD876" s="280"/>
    </row>
    <row r="877" customHeight="1" spans="1:30">
      <c r="A877" s="222"/>
      <c r="B877" s="7"/>
      <c r="C877" s="7"/>
      <c r="E877" s="7"/>
      <c r="F877" s="7"/>
      <c r="G877" s="222"/>
      <c r="H877" s="7"/>
      <c r="I877" s="7"/>
      <c r="J877" s="7"/>
      <c r="K877" s="7"/>
      <c r="L877" s="222"/>
      <c r="M877" s="7"/>
      <c r="N877" s="7"/>
      <c r="O877" s="7"/>
      <c r="P877" s="7"/>
      <c r="Q877" s="257"/>
      <c r="U877" s="7"/>
      <c r="V877" s="350"/>
      <c r="AD877" s="280"/>
    </row>
    <row r="878" customHeight="1" spans="1:30">
      <c r="A878" s="222"/>
      <c r="B878" s="7"/>
      <c r="C878" s="7"/>
      <c r="E878" s="7"/>
      <c r="F878" s="7"/>
      <c r="G878" s="222"/>
      <c r="H878" s="7"/>
      <c r="I878" s="7"/>
      <c r="J878" s="7"/>
      <c r="K878" s="7"/>
      <c r="L878" s="222"/>
      <c r="M878" s="7"/>
      <c r="N878" s="7"/>
      <c r="O878" s="7"/>
      <c r="P878" s="7"/>
      <c r="Q878" s="257"/>
      <c r="U878" s="7"/>
      <c r="V878" s="350"/>
      <c r="AD878" s="280"/>
    </row>
    <row r="879" customHeight="1" spans="1:30">
      <c r="A879" s="222"/>
      <c r="B879" s="7"/>
      <c r="C879" s="7"/>
      <c r="E879" s="7"/>
      <c r="F879" s="7"/>
      <c r="G879" s="222"/>
      <c r="H879" s="7"/>
      <c r="I879" s="7"/>
      <c r="J879" s="7"/>
      <c r="K879" s="7"/>
      <c r="L879" s="222"/>
      <c r="M879" s="7"/>
      <c r="N879" s="7"/>
      <c r="O879" s="7"/>
      <c r="P879" s="7"/>
      <c r="Q879" s="257"/>
      <c r="U879" s="7"/>
      <c r="V879" s="350"/>
      <c r="AD879" s="280"/>
    </row>
    <row r="880" customHeight="1" spans="1:30">
      <c r="A880" s="222"/>
      <c r="B880" s="7"/>
      <c r="C880" s="7"/>
      <c r="E880" s="7"/>
      <c r="F880" s="7"/>
      <c r="G880" s="222"/>
      <c r="H880" s="7"/>
      <c r="I880" s="7"/>
      <c r="J880" s="7"/>
      <c r="K880" s="7"/>
      <c r="L880" s="222"/>
      <c r="M880" s="7"/>
      <c r="N880" s="7"/>
      <c r="O880" s="7"/>
      <c r="P880" s="7"/>
      <c r="Q880" s="257"/>
      <c r="U880" s="7"/>
      <c r="V880" s="350"/>
      <c r="AD880" s="280"/>
    </row>
    <row r="881" customHeight="1" spans="1:30">
      <c r="A881" s="222"/>
      <c r="B881" s="7"/>
      <c r="C881" s="7"/>
      <c r="E881" s="7"/>
      <c r="F881" s="7"/>
      <c r="G881" s="222"/>
      <c r="H881" s="7"/>
      <c r="I881" s="7"/>
      <c r="J881" s="7"/>
      <c r="K881" s="7"/>
      <c r="L881" s="222"/>
      <c r="M881" s="7"/>
      <c r="N881" s="7"/>
      <c r="O881" s="7"/>
      <c r="P881" s="7"/>
      <c r="Q881" s="257"/>
      <c r="U881" s="7"/>
      <c r="V881" s="350"/>
      <c r="AD881" s="280"/>
    </row>
    <row r="882" customHeight="1" spans="1:30">
      <c r="A882" s="222"/>
      <c r="B882" s="7"/>
      <c r="C882" s="7"/>
      <c r="E882" s="7"/>
      <c r="F882" s="7"/>
      <c r="G882" s="222"/>
      <c r="H882" s="7"/>
      <c r="I882" s="7"/>
      <c r="J882" s="7"/>
      <c r="K882" s="7"/>
      <c r="L882" s="222"/>
      <c r="M882" s="7"/>
      <c r="N882" s="7"/>
      <c r="O882" s="7"/>
      <c r="P882" s="7"/>
      <c r="Q882" s="257"/>
      <c r="U882" s="7"/>
      <c r="V882" s="350"/>
      <c r="AD882" s="280"/>
    </row>
    <row r="883" customHeight="1" spans="1:30">
      <c r="A883" s="222"/>
      <c r="B883" s="7"/>
      <c r="C883" s="7"/>
      <c r="E883" s="7"/>
      <c r="F883" s="7"/>
      <c r="G883" s="222"/>
      <c r="H883" s="7"/>
      <c r="I883" s="7"/>
      <c r="J883" s="7"/>
      <c r="K883" s="7"/>
      <c r="L883" s="222"/>
      <c r="M883" s="7"/>
      <c r="N883" s="7"/>
      <c r="O883" s="7"/>
      <c r="P883" s="7"/>
      <c r="Q883" s="257"/>
      <c r="U883" s="7"/>
      <c r="V883" s="350"/>
      <c r="AD883" s="280"/>
    </row>
    <row r="884" customHeight="1" spans="1:30">
      <c r="A884" s="222"/>
      <c r="B884" s="7"/>
      <c r="C884" s="7"/>
      <c r="E884" s="7"/>
      <c r="F884" s="7"/>
      <c r="G884" s="222"/>
      <c r="H884" s="7"/>
      <c r="I884" s="7"/>
      <c r="J884" s="7"/>
      <c r="K884" s="7"/>
      <c r="L884" s="222"/>
      <c r="M884" s="7"/>
      <c r="N884" s="7"/>
      <c r="O884" s="7"/>
      <c r="P884" s="7"/>
      <c r="Q884" s="257"/>
      <c r="U884" s="7"/>
      <c r="V884" s="350"/>
      <c r="AD884" s="280"/>
    </row>
    <row r="885" customHeight="1" spans="1:30">
      <c r="A885" s="222"/>
      <c r="B885" s="7"/>
      <c r="C885" s="7"/>
      <c r="E885" s="7"/>
      <c r="F885" s="7"/>
      <c r="G885" s="222"/>
      <c r="H885" s="7"/>
      <c r="I885" s="7"/>
      <c r="J885" s="7"/>
      <c r="K885" s="7"/>
      <c r="L885" s="222"/>
      <c r="M885" s="7"/>
      <c r="N885" s="7"/>
      <c r="O885" s="7"/>
      <c r="P885" s="7"/>
      <c r="Q885" s="257"/>
      <c r="U885" s="7"/>
      <c r="V885" s="350"/>
      <c r="AD885" s="280"/>
    </row>
    <row r="886" customHeight="1" spans="1:30">
      <c r="A886" s="222"/>
      <c r="B886" s="7"/>
      <c r="C886" s="7"/>
      <c r="E886" s="7"/>
      <c r="F886" s="7"/>
      <c r="G886" s="222"/>
      <c r="H886" s="7"/>
      <c r="I886" s="7"/>
      <c r="J886" s="7"/>
      <c r="K886" s="7"/>
      <c r="L886" s="222"/>
      <c r="M886" s="7"/>
      <c r="N886" s="7"/>
      <c r="O886" s="7"/>
      <c r="P886" s="7"/>
      <c r="Q886" s="257"/>
      <c r="U886" s="7"/>
      <c r="V886" s="350"/>
      <c r="AD886" s="280"/>
    </row>
    <row r="887" customHeight="1" spans="1:30">
      <c r="A887" s="222"/>
      <c r="B887" s="7"/>
      <c r="C887" s="7"/>
      <c r="E887" s="7"/>
      <c r="F887" s="7"/>
      <c r="G887" s="222"/>
      <c r="H887" s="7"/>
      <c r="I887" s="7"/>
      <c r="J887" s="7"/>
      <c r="K887" s="7"/>
      <c r="L887" s="222"/>
      <c r="M887" s="7"/>
      <c r="N887" s="7"/>
      <c r="O887" s="7"/>
      <c r="P887" s="7"/>
      <c r="Q887" s="257"/>
      <c r="U887" s="7"/>
      <c r="V887" s="350"/>
      <c r="AD887" s="280"/>
    </row>
    <row r="888" customHeight="1" spans="1:30">
      <c r="A888" s="222"/>
      <c r="B888" s="7"/>
      <c r="C888" s="7"/>
      <c r="E888" s="7"/>
      <c r="F888" s="7"/>
      <c r="G888" s="222"/>
      <c r="H888" s="7"/>
      <c r="I888" s="7"/>
      <c r="J888" s="7"/>
      <c r="K888" s="7"/>
      <c r="L888" s="222"/>
      <c r="M888" s="7"/>
      <c r="N888" s="7"/>
      <c r="O888" s="7"/>
      <c r="P888" s="7"/>
      <c r="Q888" s="257"/>
      <c r="U888" s="7"/>
      <c r="V888" s="350"/>
      <c r="AD888" s="280"/>
    </row>
    <row r="889" customHeight="1" spans="1:30">
      <c r="A889" s="222"/>
      <c r="B889" s="7"/>
      <c r="C889" s="7"/>
      <c r="E889" s="7"/>
      <c r="F889" s="7"/>
      <c r="G889" s="222"/>
      <c r="H889" s="7"/>
      <c r="I889" s="7"/>
      <c r="J889" s="7"/>
      <c r="K889" s="7"/>
      <c r="L889" s="222"/>
      <c r="M889" s="7"/>
      <c r="N889" s="7"/>
      <c r="O889" s="7"/>
      <c r="P889" s="7"/>
      <c r="Q889" s="257"/>
      <c r="U889" s="7"/>
      <c r="V889" s="350"/>
      <c r="AD889" s="280"/>
    </row>
    <row r="890" customHeight="1" spans="1:30">
      <c r="A890" s="222"/>
      <c r="B890" s="7"/>
      <c r="C890" s="7"/>
      <c r="E890" s="7"/>
      <c r="F890" s="7"/>
      <c r="G890" s="222"/>
      <c r="H890" s="7"/>
      <c r="I890" s="7"/>
      <c r="J890" s="7"/>
      <c r="K890" s="7"/>
      <c r="L890" s="222"/>
      <c r="M890" s="7"/>
      <c r="N890" s="7"/>
      <c r="O890" s="7"/>
      <c r="P890" s="7"/>
      <c r="Q890" s="257"/>
      <c r="U890" s="7"/>
      <c r="V890" s="350"/>
      <c r="AD890" s="280"/>
    </row>
    <row r="891" customHeight="1" spans="1:30">
      <c r="A891" s="222"/>
      <c r="B891" s="7"/>
      <c r="C891" s="7"/>
      <c r="E891" s="7"/>
      <c r="F891" s="7"/>
      <c r="G891" s="222"/>
      <c r="H891" s="7"/>
      <c r="I891" s="7"/>
      <c r="J891" s="7"/>
      <c r="K891" s="7"/>
      <c r="L891" s="222"/>
      <c r="M891" s="7"/>
      <c r="N891" s="7"/>
      <c r="O891" s="7"/>
      <c r="P891" s="7"/>
      <c r="Q891" s="257"/>
      <c r="U891" s="7"/>
      <c r="V891" s="350"/>
      <c r="AD891" s="280"/>
    </row>
    <row r="892" customHeight="1" spans="1:30">
      <c r="A892" s="222"/>
      <c r="B892" s="7"/>
      <c r="C892" s="7"/>
      <c r="E892" s="7"/>
      <c r="F892" s="7"/>
      <c r="G892" s="222"/>
      <c r="H892" s="7"/>
      <c r="I892" s="7"/>
      <c r="J892" s="7"/>
      <c r="K892" s="7"/>
      <c r="L892" s="222"/>
      <c r="M892" s="7"/>
      <c r="N892" s="7"/>
      <c r="O892" s="7"/>
      <c r="P892" s="7"/>
      <c r="Q892" s="257"/>
      <c r="U892" s="7"/>
      <c r="V892" s="350"/>
      <c r="AD892" s="280"/>
    </row>
    <row r="893" customHeight="1" spans="1:30">
      <c r="A893" s="222"/>
      <c r="B893" s="7"/>
      <c r="C893" s="7"/>
      <c r="E893" s="7"/>
      <c r="F893" s="7"/>
      <c r="G893" s="222"/>
      <c r="H893" s="7"/>
      <c r="I893" s="7"/>
      <c r="J893" s="7"/>
      <c r="K893" s="7"/>
      <c r="L893" s="222"/>
      <c r="M893" s="7"/>
      <c r="N893" s="7"/>
      <c r="O893" s="7"/>
      <c r="P893" s="7"/>
      <c r="Q893" s="257"/>
      <c r="U893" s="7"/>
      <c r="V893" s="350"/>
      <c r="AD893" s="280"/>
    </row>
    <row r="894" customHeight="1" spans="1:30">
      <c r="A894" s="222"/>
      <c r="B894" s="7"/>
      <c r="C894" s="7"/>
      <c r="E894" s="7"/>
      <c r="F894" s="7"/>
      <c r="G894" s="222"/>
      <c r="H894" s="7"/>
      <c r="I894" s="7"/>
      <c r="J894" s="7"/>
      <c r="K894" s="7"/>
      <c r="L894" s="222"/>
      <c r="M894" s="7"/>
      <c r="N894" s="7"/>
      <c r="O894" s="7"/>
      <c r="P894" s="7"/>
      <c r="Q894" s="257"/>
      <c r="U894" s="7"/>
      <c r="V894" s="350"/>
      <c r="AD894" s="280"/>
    </row>
    <row r="895" customHeight="1" spans="1:30">
      <c r="A895" s="222"/>
      <c r="B895" s="7"/>
      <c r="C895" s="7"/>
      <c r="E895" s="7"/>
      <c r="F895" s="7"/>
      <c r="G895" s="222"/>
      <c r="H895" s="7"/>
      <c r="I895" s="7"/>
      <c r="J895" s="7"/>
      <c r="K895" s="7"/>
      <c r="L895" s="222"/>
      <c r="M895" s="7"/>
      <c r="N895" s="7"/>
      <c r="O895" s="7"/>
      <c r="P895" s="7"/>
      <c r="Q895" s="257"/>
      <c r="U895" s="7"/>
      <c r="V895" s="350"/>
      <c r="AD895" s="280"/>
    </row>
    <row r="896" customHeight="1" spans="1:30">
      <c r="A896" s="222"/>
      <c r="B896" s="7"/>
      <c r="C896" s="7"/>
      <c r="E896" s="7"/>
      <c r="F896" s="7"/>
      <c r="G896" s="222"/>
      <c r="H896" s="7"/>
      <c r="I896" s="7"/>
      <c r="J896" s="7"/>
      <c r="K896" s="7"/>
      <c r="L896" s="222"/>
      <c r="M896" s="7"/>
      <c r="N896" s="7"/>
      <c r="O896" s="7"/>
      <c r="P896" s="7"/>
      <c r="Q896" s="257"/>
      <c r="U896" s="7"/>
      <c r="V896" s="350"/>
      <c r="AD896" s="280"/>
    </row>
    <row r="897" customHeight="1" spans="1:30">
      <c r="A897" s="222"/>
      <c r="B897" s="7"/>
      <c r="C897" s="7"/>
      <c r="E897" s="7"/>
      <c r="F897" s="7"/>
      <c r="G897" s="222"/>
      <c r="H897" s="7"/>
      <c r="I897" s="7"/>
      <c r="J897" s="7"/>
      <c r="K897" s="7"/>
      <c r="L897" s="222"/>
      <c r="M897" s="7"/>
      <c r="N897" s="7"/>
      <c r="O897" s="7"/>
      <c r="P897" s="7"/>
      <c r="Q897" s="257"/>
      <c r="U897" s="7"/>
      <c r="V897" s="350"/>
      <c r="AD897" s="280"/>
    </row>
    <row r="898" customHeight="1" spans="1:30">
      <c r="A898" s="222"/>
      <c r="B898" s="7"/>
      <c r="C898" s="7"/>
      <c r="E898" s="7"/>
      <c r="F898" s="7"/>
      <c r="G898" s="222"/>
      <c r="H898" s="7"/>
      <c r="I898" s="7"/>
      <c r="J898" s="7"/>
      <c r="K898" s="7"/>
      <c r="L898" s="222"/>
      <c r="M898" s="7"/>
      <c r="N898" s="7"/>
      <c r="O898" s="7"/>
      <c r="P898" s="7"/>
      <c r="Q898" s="257"/>
      <c r="U898" s="7"/>
      <c r="V898" s="350"/>
      <c r="AD898" s="280"/>
    </row>
    <row r="899" customHeight="1" spans="1:30">
      <c r="A899" s="222"/>
      <c r="B899" s="7"/>
      <c r="C899" s="7"/>
      <c r="E899" s="7"/>
      <c r="F899" s="7"/>
      <c r="G899" s="222"/>
      <c r="H899" s="7"/>
      <c r="I899" s="7"/>
      <c r="J899" s="7"/>
      <c r="K899" s="7"/>
      <c r="L899" s="222"/>
      <c r="M899" s="7"/>
      <c r="N899" s="7"/>
      <c r="O899" s="7"/>
      <c r="P899" s="7"/>
      <c r="Q899" s="257"/>
      <c r="U899" s="7"/>
      <c r="V899" s="350"/>
      <c r="AD899" s="280"/>
    </row>
    <row r="900" customHeight="1" spans="1:30">
      <c r="A900" s="222"/>
      <c r="B900" s="7"/>
      <c r="C900" s="7"/>
      <c r="E900" s="7"/>
      <c r="F900" s="7"/>
      <c r="G900" s="222"/>
      <c r="H900" s="7"/>
      <c r="I900" s="7"/>
      <c r="J900" s="7"/>
      <c r="K900" s="7"/>
      <c r="L900" s="222"/>
      <c r="M900" s="7"/>
      <c r="N900" s="7"/>
      <c r="O900" s="7"/>
      <c r="P900" s="7"/>
      <c r="Q900" s="257"/>
      <c r="U900" s="7"/>
      <c r="V900" s="350"/>
      <c r="AD900" s="280"/>
    </row>
    <row r="901" customHeight="1" spans="1:30">
      <c r="A901" s="222"/>
      <c r="B901" s="7"/>
      <c r="C901" s="7"/>
      <c r="E901" s="7"/>
      <c r="F901" s="7"/>
      <c r="G901" s="222"/>
      <c r="H901" s="7"/>
      <c r="I901" s="7"/>
      <c r="J901" s="7"/>
      <c r="K901" s="7"/>
      <c r="L901" s="222"/>
      <c r="M901" s="7"/>
      <c r="N901" s="7"/>
      <c r="O901" s="7"/>
      <c r="P901" s="7"/>
      <c r="Q901" s="257"/>
      <c r="U901" s="7"/>
      <c r="V901" s="350"/>
      <c r="AD901" s="280"/>
    </row>
    <row r="902" customHeight="1" spans="1:30">
      <c r="A902" s="222"/>
      <c r="B902" s="7"/>
      <c r="C902" s="7"/>
      <c r="E902" s="7"/>
      <c r="F902" s="7"/>
      <c r="G902" s="222"/>
      <c r="H902" s="7"/>
      <c r="I902" s="7"/>
      <c r="J902" s="7"/>
      <c r="K902" s="7"/>
      <c r="L902" s="222"/>
      <c r="M902" s="7"/>
      <c r="N902" s="7"/>
      <c r="O902" s="7"/>
      <c r="P902" s="7"/>
      <c r="Q902" s="257"/>
      <c r="U902" s="7"/>
      <c r="V902" s="350"/>
      <c r="AD902" s="280"/>
    </row>
    <row r="903" customHeight="1" spans="1:30">
      <c r="A903" s="222"/>
      <c r="B903" s="7"/>
      <c r="C903" s="7"/>
      <c r="E903" s="7"/>
      <c r="F903" s="7"/>
      <c r="G903" s="222"/>
      <c r="H903" s="7"/>
      <c r="I903" s="7"/>
      <c r="J903" s="7"/>
      <c r="K903" s="7"/>
      <c r="L903" s="222"/>
      <c r="M903" s="7"/>
      <c r="N903" s="7"/>
      <c r="O903" s="7"/>
      <c r="P903" s="7"/>
      <c r="Q903" s="257"/>
      <c r="U903" s="7"/>
      <c r="V903" s="350"/>
      <c r="AD903" s="280"/>
    </row>
    <row r="904" customHeight="1" spans="1:30">
      <c r="A904" s="222"/>
      <c r="B904" s="7"/>
      <c r="C904" s="7"/>
      <c r="E904" s="7"/>
      <c r="F904" s="7"/>
      <c r="G904" s="222"/>
      <c r="H904" s="7"/>
      <c r="I904" s="7"/>
      <c r="J904" s="7"/>
      <c r="K904" s="7"/>
      <c r="L904" s="222"/>
      <c r="M904" s="7"/>
      <c r="N904" s="7"/>
      <c r="O904" s="7"/>
      <c r="P904" s="7"/>
      <c r="Q904" s="257"/>
      <c r="U904" s="7"/>
      <c r="V904" s="350"/>
      <c r="AD904" s="280"/>
    </row>
    <row r="905" customHeight="1" spans="1:30">
      <c r="A905" s="222"/>
      <c r="B905" s="7"/>
      <c r="C905" s="7"/>
      <c r="E905" s="7"/>
      <c r="F905" s="7"/>
      <c r="G905" s="222"/>
      <c r="H905" s="7"/>
      <c r="I905" s="7"/>
      <c r="J905" s="7"/>
      <c r="K905" s="7"/>
      <c r="L905" s="222"/>
      <c r="M905" s="7"/>
      <c r="N905" s="7"/>
      <c r="O905" s="7"/>
      <c r="P905" s="7"/>
      <c r="Q905" s="257"/>
      <c r="U905" s="7"/>
      <c r="V905" s="350"/>
      <c r="AD905" s="280"/>
    </row>
    <row r="906" customHeight="1" spans="1:30">
      <c r="A906" s="222"/>
      <c r="B906" s="7"/>
      <c r="C906" s="7"/>
      <c r="E906" s="7"/>
      <c r="F906" s="7"/>
      <c r="G906" s="222"/>
      <c r="H906" s="7"/>
      <c r="I906" s="7"/>
      <c r="J906" s="7"/>
      <c r="K906" s="7"/>
      <c r="L906" s="222"/>
      <c r="M906" s="7"/>
      <c r="N906" s="7"/>
      <c r="O906" s="7"/>
      <c r="P906" s="7"/>
      <c r="Q906" s="257"/>
      <c r="U906" s="7"/>
      <c r="V906" s="350"/>
      <c r="AD906" s="280"/>
    </row>
    <row r="907" customHeight="1" spans="1:30">
      <c r="A907" s="222"/>
      <c r="B907" s="7"/>
      <c r="C907" s="7"/>
      <c r="E907" s="7"/>
      <c r="F907" s="7"/>
      <c r="G907" s="222"/>
      <c r="H907" s="7"/>
      <c r="I907" s="7"/>
      <c r="J907" s="7"/>
      <c r="K907" s="7"/>
      <c r="L907" s="222"/>
      <c r="M907" s="7"/>
      <c r="N907" s="7"/>
      <c r="O907" s="7"/>
      <c r="P907" s="7"/>
      <c r="Q907" s="257"/>
      <c r="U907" s="7"/>
      <c r="V907" s="350"/>
      <c r="AD907" s="280"/>
    </row>
    <row r="908" customHeight="1" spans="1:30">
      <c r="A908" s="222"/>
      <c r="B908" s="7"/>
      <c r="C908" s="7"/>
      <c r="E908" s="7"/>
      <c r="F908" s="7"/>
      <c r="G908" s="222"/>
      <c r="H908" s="7"/>
      <c r="I908" s="7"/>
      <c r="J908" s="7"/>
      <c r="K908" s="7"/>
      <c r="L908" s="222"/>
      <c r="M908" s="7"/>
      <c r="N908" s="7"/>
      <c r="O908" s="7"/>
      <c r="P908" s="7"/>
      <c r="Q908" s="257"/>
      <c r="U908" s="7"/>
      <c r="V908" s="350"/>
      <c r="AD908" s="280"/>
    </row>
    <row r="909" customHeight="1" spans="1:30">
      <c r="A909" s="222"/>
      <c r="B909" s="7"/>
      <c r="C909" s="7"/>
      <c r="E909" s="7"/>
      <c r="F909" s="7"/>
      <c r="G909" s="222"/>
      <c r="H909" s="7"/>
      <c r="I909" s="7"/>
      <c r="J909" s="7"/>
      <c r="K909" s="7"/>
      <c r="L909" s="222"/>
      <c r="M909" s="7"/>
      <c r="N909" s="7"/>
      <c r="O909" s="7"/>
      <c r="P909" s="7"/>
      <c r="Q909" s="257"/>
      <c r="U909" s="7"/>
      <c r="V909" s="350"/>
      <c r="AD909" s="280"/>
    </row>
    <row r="910" customHeight="1" spans="1:30">
      <c r="A910" s="222"/>
      <c r="B910" s="7"/>
      <c r="C910" s="7"/>
      <c r="E910" s="7"/>
      <c r="F910" s="7"/>
      <c r="G910" s="222"/>
      <c r="H910" s="7"/>
      <c r="I910" s="7"/>
      <c r="J910" s="7"/>
      <c r="K910" s="7"/>
      <c r="L910" s="222"/>
      <c r="M910" s="7"/>
      <c r="N910" s="7"/>
      <c r="O910" s="7"/>
      <c r="P910" s="7"/>
      <c r="Q910" s="257"/>
      <c r="U910" s="7"/>
      <c r="V910" s="350"/>
      <c r="AD910" s="280"/>
    </row>
    <row r="911" customHeight="1" spans="1:30">
      <c r="A911" s="222"/>
      <c r="B911" s="7"/>
      <c r="C911" s="7"/>
      <c r="E911" s="7"/>
      <c r="F911" s="7"/>
      <c r="G911" s="222"/>
      <c r="H911" s="7"/>
      <c r="I911" s="7"/>
      <c r="J911" s="7"/>
      <c r="K911" s="7"/>
      <c r="L911" s="222"/>
      <c r="M911" s="7"/>
      <c r="N911" s="7"/>
      <c r="O911" s="7"/>
      <c r="P911" s="7"/>
      <c r="Q911" s="257"/>
      <c r="U911" s="7"/>
      <c r="V911" s="350"/>
      <c r="AD911" s="280"/>
    </row>
    <row r="912" customHeight="1" spans="1:30">
      <c r="A912" s="222"/>
      <c r="B912" s="7"/>
      <c r="C912" s="7"/>
      <c r="E912" s="7"/>
      <c r="F912" s="7"/>
      <c r="G912" s="222"/>
      <c r="H912" s="7"/>
      <c r="I912" s="7"/>
      <c r="J912" s="7"/>
      <c r="K912" s="7"/>
      <c r="L912" s="222"/>
      <c r="M912" s="7"/>
      <c r="N912" s="7"/>
      <c r="O912" s="7"/>
      <c r="P912" s="7"/>
      <c r="Q912" s="257"/>
      <c r="U912" s="7"/>
      <c r="V912" s="350"/>
      <c r="AD912" s="280"/>
    </row>
    <row r="913" customHeight="1" spans="1:30">
      <c r="A913" s="222"/>
      <c r="B913" s="7"/>
      <c r="C913" s="7"/>
      <c r="E913" s="7"/>
      <c r="F913" s="7"/>
      <c r="G913" s="222"/>
      <c r="H913" s="7"/>
      <c r="I913" s="7"/>
      <c r="J913" s="7"/>
      <c r="K913" s="7"/>
      <c r="L913" s="222"/>
      <c r="M913" s="7"/>
      <c r="N913" s="7"/>
      <c r="O913" s="7"/>
      <c r="P913" s="7"/>
      <c r="Q913" s="257"/>
      <c r="U913" s="7"/>
      <c r="V913" s="350"/>
      <c r="AD913" s="280"/>
    </row>
    <row r="914" customHeight="1" spans="1:30">
      <c r="A914" s="222"/>
      <c r="B914" s="7"/>
      <c r="C914" s="7"/>
      <c r="E914" s="7"/>
      <c r="F914" s="7"/>
      <c r="G914" s="222"/>
      <c r="H914" s="7"/>
      <c r="I914" s="7"/>
      <c r="J914" s="7"/>
      <c r="K914" s="7"/>
      <c r="L914" s="222"/>
      <c r="M914" s="7"/>
      <c r="N914" s="7"/>
      <c r="O914" s="7"/>
      <c r="P914" s="7"/>
      <c r="Q914" s="257"/>
      <c r="U914" s="7"/>
      <c r="V914" s="350"/>
      <c r="AD914" s="280"/>
    </row>
    <row r="915" customHeight="1" spans="1:30">
      <c r="A915" s="222"/>
      <c r="B915" s="7"/>
      <c r="C915" s="7"/>
      <c r="E915" s="7"/>
      <c r="F915" s="7"/>
      <c r="G915" s="222"/>
      <c r="H915" s="7"/>
      <c r="I915" s="7"/>
      <c r="J915" s="7"/>
      <c r="K915" s="7"/>
      <c r="L915" s="222"/>
      <c r="M915" s="7"/>
      <c r="N915" s="7"/>
      <c r="O915" s="7"/>
      <c r="P915" s="7"/>
      <c r="Q915" s="257"/>
      <c r="U915" s="7"/>
      <c r="V915" s="350"/>
      <c r="AD915" s="280"/>
    </row>
    <row r="916" customHeight="1" spans="1:30">
      <c r="A916" s="222"/>
      <c r="B916" s="7"/>
      <c r="C916" s="7"/>
      <c r="E916" s="7"/>
      <c r="F916" s="7"/>
      <c r="G916" s="222"/>
      <c r="H916" s="7"/>
      <c r="I916" s="7"/>
      <c r="J916" s="7"/>
      <c r="K916" s="7"/>
      <c r="L916" s="222"/>
      <c r="M916" s="7"/>
      <c r="N916" s="7"/>
      <c r="O916" s="7"/>
      <c r="P916" s="7"/>
      <c r="Q916" s="257"/>
      <c r="U916" s="7"/>
      <c r="V916" s="350"/>
      <c r="AD916" s="280"/>
    </row>
    <row r="917" customHeight="1" spans="1:30">
      <c r="A917" s="222"/>
      <c r="B917" s="7"/>
      <c r="C917" s="7"/>
      <c r="E917" s="7"/>
      <c r="F917" s="7"/>
      <c r="G917" s="222"/>
      <c r="H917" s="7"/>
      <c r="I917" s="7"/>
      <c r="J917" s="7"/>
      <c r="K917" s="7"/>
      <c r="L917" s="222"/>
      <c r="M917" s="7"/>
      <c r="N917" s="7"/>
      <c r="O917" s="7"/>
      <c r="P917" s="7"/>
      <c r="Q917" s="257"/>
      <c r="U917" s="7"/>
      <c r="V917" s="350"/>
      <c r="AD917" s="280"/>
    </row>
    <row r="918" customHeight="1" spans="1:30">
      <c r="A918" s="222"/>
      <c r="B918" s="7"/>
      <c r="C918" s="7"/>
      <c r="E918" s="7"/>
      <c r="F918" s="7"/>
      <c r="G918" s="222"/>
      <c r="H918" s="7"/>
      <c r="I918" s="7"/>
      <c r="J918" s="7"/>
      <c r="K918" s="7"/>
      <c r="L918" s="222"/>
      <c r="M918" s="7"/>
      <c r="N918" s="7"/>
      <c r="O918" s="7"/>
      <c r="P918" s="7"/>
      <c r="Q918" s="257"/>
      <c r="U918" s="7"/>
      <c r="V918" s="350"/>
      <c r="AD918" s="280"/>
    </row>
    <row r="919" customHeight="1" spans="1:30">
      <c r="A919" s="222"/>
      <c r="B919" s="7"/>
      <c r="C919" s="7"/>
      <c r="E919" s="7"/>
      <c r="F919" s="7"/>
      <c r="G919" s="222"/>
      <c r="H919" s="7"/>
      <c r="I919" s="7"/>
      <c r="J919" s="7"/>
      <c r="K919" s="7"/>
      <c r="L919" s="222"/>
      <c r="M919" s="7"/>
      <c r="N919" s="7"/>
      <c r="O919" s="7"/>
      <c r="P919" s="7"/>
      <c r="Q919" s="257"/>
      <c r="U919" s="7"/>
      <c r="V919" s="350"/>
      <c r="AD919" s="280"/>
    </row>
    <row r="920" customHeight="1" spans="1:30">
      <c r="A920" s="222"/>
      <c r="B920" s="7"/>
      <c r="C920" s="7"/>
      <c r="E920" s="7"/>
      <c r="F920" s="7"/>
      <c r="G920" s="222"/>
      <c r="H920" s="7"/>
      <c r="I920" s="7"/>
      <c r="J920" s="7"/>
      <c r="K920" s="7"/>
      <c r="L920" s="222"/>
      <c r="M920" s="7"/>
      <c r="N920" s="7"/>
      <c r="O920" s="7"/>
      <c r="P920" s="7"/>
      <c r="Q920" s="257"/>
      <c r="U920" s="7"/>
      <c r="V920" s="350"/>
      <c r="AD920" s="280"/>
    </row>
    <row r="921" customHeight="1" spans="1:30">
      <c r="A921" s="222"/>
      <c r="B921" s="7"/>
      <c r="C921" s="7"/>
      <c r="E921" s="7"/>
      <c r="F921" s="7"/>
      <c r="G921" s="222"/>
      <c r="H921" s="7"/>
      <c r="I921" s="7"/>
      <c r="J921" s="7"/>
      <c r="K921" s="7"/>
      <c r="L921" s="222"/>
      <c r="M921" s="7"/>
      <c r="N921" s="7"/>
      <c r="O921" s="7"/>
      <c r="P921" s="7"/>
      <c r="Q921" s="257"/>
      <c r="U921" s="7"/>
      <c r="V921" s="350"/>
      <c r="AD921" s="280"/>
    </row>
    <row r="922" customHeight="1" spans="1:30">
      <c r="A922" s="222"/>
      <c r="B922" s="7"/>
      <c r="C922" s="7"/>
      <c r="E922" s="7"/>
      <c r="F922" s="7"/>
      <c r="G922" s="222"/>
      <c r="H922" s="7"/>
      <c r="I922" s="7"/>
      <c r="J922" s="7"/>
      <c r="K922" s="7"/>
      <c r="L922" s="222"/>
      <c r="M922" s="7"/>
      <c r="N922" s="7"/>
      <c r="O922" s="7"/>
      <c r="P922" s="7"/>
      <c r="Q922" s="257"/>
      <c r="U922" s="7"/>
      <c r="V922" s="350"/>
      <c r="AD922" s="280"/>
    </row>
    <row r="923" customHeight="1" spans="1:30">
      <c r="A923" s="222"/>
      <c r="B923" s="7"/>
      <c r="C923" s="7"/>
      <c r="E923" s="7"/>
      <c r="F923" s="7"/>
      <c r="G923" s="222"/>
      <c r="H923" s="7"/>
      <c r="I923" s="7"/>
      <c r="J923" s="7"/>
      <c r="K923" s="7"/>
      <c r="L923" s="222"/>
      <c r="M923" s="7"/>
      <c r="N923" s="7"/>
      <c r="O923" s="7"/>
      <c r="P923" s="7"/>
      <c r="Q923" s="257"/>
      <c r="U923" s="7"/>
      <c r="V923" s="350"/>
      <c r="AD923" s="280"/>
    </row>
    <row r="924" customHeight="1" spans="1:30">
      <c r="A924" s="222"/>
      <c r="B924" s="7"/>
      <c r="C924" s="7"/>
      <c r="E924" s="7"/>
      <c r="F924" s="7"/>
      <c r="G924" s="222"/>
      <c r="H924" s="7"/>
      <c r="I924" s="7"/>
      <c r="J924" s="7"/>
      <c r="K924" s="7"/>
      <c r="L924" s="222"/>
      <c r="M924" s="7"/>
      <c r="N924" s="7"/>
      <c r="O924" s="7"/>
      <c r="P924" s="7"/>
      <c r="Q924" s="257"/>
      <c r="U924" s="7"/>
      <c r="V924" s="350"/>
      <c r="AD924" s="280"/>
    </row>
    <row r="925" customHeight="1" spans="1:30">
      <c r="A925" s="222"/>
      <c r="B925" s="7"/>
      <c r="C925" s="7"/>
      <c r="E925" s="7"/>
      <c r="F925" s="7"/>
      <c r="G925" s="222"/>
      <c r="H925" s="7"/>
      <c r="I925" s="7"/>
      <c r="J925" s="7"/>
      <c r="K925" s="7"/>
      <c r="L925" s="222"/>
      <c r="M925" s="7"/>
      <c r="N925" s="7"/>
      <c r="O925" s="7"/>
      <c r="P925" s="7"/>
      <c r="Q925" s="257"/>
      <c r="U925" s="7"/>
      <c r="V925" s="350"/>
      <c r="AD925" s="280"/>
    </row>
    <row r="926" customHeight="1" spans="1:30">
      <c r="A926" s="222"/>
      <c r="B926" s="7"/>
      <c r="C926" s="7"/>
      <c r="E926" s="7"/>
      <c r="F926" s="7"/>
      <c r="G926" s="222"/>
      <c r="H926" s="7"/>
      <c r="I926" s="7"/>
      <c r="J926" s="7"/>
      <c r="K926" s="7"/>
      <c r="L926" s="222"/>
      <c r="M926" s="7"/>
      <c r="N926" s="7"/>
      <c r="O926" s="7"/>
      <c r="P926" s="7"/>
      <c r="Q926" s="257"/>
      <c r="U926" s="7"/>
      <c r="V926" s="350"/>
      <c r="AD926" s="280"/>
    </row>
    <row r="927" customHeight="1" spans="1:30">
      <c r="A927" s="222"/>
      <c r="B927" s="7"/>
      <c r="C927" s="7"/>
      <c r="E927" s="7"/>
      <c r="F927" s="7"/>
      <c r="G927" s="222"/>
      <c r="H927" s="7"/>
      <c r="I927" s="7"/>
      <c r="J927" s="7"/>
      <c r="K927" s="7"/>
      <c r="L927" s="222"/>
      <c r="M927" s="7"/>
      <c r="N927" s="7"/>
      <c r="O927" s="7"/>
      <c r="P927" s="7"/>
      <c r="Q927" s="257"/>
      <c r="U927" s="7"/>
      <c r="V927" s="350"/>
      <c r="AD927" s="280"/>
    </row>
    <row r="928" customHeight="1" spans="1:30">
      <c r="A928" s="222"/>
      <c r="B928" s="7"/>
      <c r="C928" s="7"/>
      <c r="E928" s="7"/>
      <c r="F928" s="7"/>
      <c r="G928" s="222"/>
      <c r="H928" s="7"/>
      <c r="I928" s="7"/>
      <c r="J928" s="7"/>
      <c r="K928" s="7"/>
      <c r="L928" s="222"/>
      <c r="M928" s="7"/>
      <c r="N928" s="7"/>
      <c r="O928" s="7"/>
      <c r="P928" s="7"/>
      <c r="Q928" s="257"/>
      <c r="U928" s="7"/>
      <c r="V928" s="350"/>
      <c r="AD928" s="280"/>
    </row>
    <row r="929" customHeight="1" spans="1:30">
      <c r="A929" s="222"/>
      <c r="B929" s="7"/>
      <c r="C929" s="7"/>
      <c r="E929" s="7"/>
      <c r="F929" s="7"/>
      <c r="G929" s="222"/>
      <c r="H929" s="7"/>
      <c r="I929" s="7"/>
      <c r="J929" s="7"/>
      <c r="K929" s="7"/>
      <c r="L929" s="222"/>
      <c r="M929" s="7"/>
      <c r="N929" s="7"/>
      <c r="O929" s="7"/>
      <c r="P929" s="7"/>
      <c r="Q929" s="257"/>
      <c r="U929" s="7"/>
      <c r="V929" s="350"/>
      <c r="AD929" s="280"/>
    </row>
    <row r="930" customHeight="1" spans="1:30">
      <c r="A930" s="222"/>
      <c r="B930" s="7"/>
      <c r="C930" s="7"/>
      <c r="E930" s="7"/>
      <c r="F930" s="7"/>
      <c r="G930" s="222"/>
      <c r="H930" s="7"/>
      <c r="I930" s="7"/>
      <c r="J930" s="7"/>
      <c r="K930" s="7"/>
      <c r="L930" s="222"/>
      <c r="M930" s="7"/>
      <c r="N930" s="7"/>
      <c r="O930" s="7"/>
      <c r="P930" s="7"/>
      <c r="Q930" s="257"/>
      <c r="U930" s="7"/>
      <c r="V930" s="350"/>
      <c r="AD930" s="280"/>
    </row>
    <row r="931" customHeight="1" spans="1:30">
      <c r="A931" s="222"/>
      <c r="B931" s="7"/>
      <c r="C931" s="7"/>
      <c r="E931" s="7"/>
      <c r="F931" s="7"/>
      <c r="G931" s="222"/>
      <c r="H931" s="7"/>
      <c r="I931" s="7"/>
      <c r="J931" s="7"/>
      <c r="K931" s="7"/>
      <c r="L931" s="222"/>
      <c r="M931" s="7"/>
      <c r="N931" s="7"/>
      <c r="O931" s="7"/>
      <c r="P931" s="7"/>
      <c r="Q931" s="257"/>
      <c r="U931" s="7"/>
      <c r="V931" s="350"/>
      <c r="AD931" s="280"/>
    </row>
    <row r="932" customHeight="1" spans="1:30">
      <c r="A932" s="222"/>
      <c r="B932" s="7"/>
      <c r="C932" s="7"/>
      <c r="E932" s="7"/>
      <c r="F932" s="7"/>
      <c r="G932" s="222"/>
      <c r="H932" s="7"/>
      <c r="I932" s="7"/>
      <c r="J932" s="7"/>
      <c r="K932" s="7"/>
      <c r="L932" s="222"/>
      <c r="M932" s="7"/>
      <c r="N932" s="7"/>
      <c r="O932" s="7"/>
      <c r="P932" s="7"/>
      <c r="Q932" s="257"/>
      <c r="U932" s="7"/>
      <c r="V932" s="350"/>
      <c r="AD932" s="280"/>
    </row>
    <row r="933" customHeight="1" spans="1:30">
      <c r="A933" s="222"/>
      <c r="B933" s="7"/>
      <c r="C933" s="7"/>
      <c r="E933" s="7"/>
      <c r="F933" s="7"/>
      <c r="G933" s="222"/>
      <c r="H933" s="7"/>
      <c r="I933" s="7"/>
      <c r="J933" s="7"/>
      <c r="K933" s="7"/>
      <c r="L933" s="222"/>
      <c r="M933" s="7"/>
      <c r="N933" s="7"/>
      <c r="O933" s="7"/>
      <c r="P933" s="7"/>
      <c r="Q933" s="257"/>
      <c r="U933" s="7"/>
      <c r="V933" s="350"/>
      <c r="AD933" s="280"/>
    </row>
    <row r="934" customHeight="1" spans="1:30">
      <c r="A934" s="222"/>
      <c r="B934" s="7"/>
      <c r="C934" s="7"/>
      <c r="E934" s="7"/>
      <c r="F934" s="7"/>
      <c r="G934" s="222"/>
      <c r="H934" s="7"/>
      <c r="I934" s="7"/>
      <c r="J934" s="7"/>
      <c r="K934" s="7"/>
      <c r="L934" s="222"/>
      <c r="M934" s="7"/>
      <c r="N934" s="7"/>
      <c r="O934" s="7"/>
      <c r="P934" s="7"/>
      <c r="Q934" s="257"/>
      <c r="U934" s="7"/>
      <c r="V934" s="350"/>
      <c r="AD934" s="280"/>
    </row>
    <row r="935" customHeight="1" spans="1:30">
      <c r="A935" s="222"/>
      <c r="B935" s="7"/>
      <c r="C935" s="7"/>
      <c r="E935" s="7"/>
      <c r="F935" s="7"/>
      <c r="G935" s="222"/>
      <c r="H935" s="7"/>
      <c r="I935" s="7"/>
      <c r="J935" s="7"/>
      <c r="K935" s="7"/>
      <c r="L935" s="222"/>
      <c r="M935" s="7"/>
      <c r="N935" s="7"/>
      <c r="O935" s="7"/>
      <c r="P935" s="7"/>
      <c r="Q935" s="257"/>
      <c r="U935" s="7"/>
      <c r="V935" s="350"/>
      <c r="AD935" s="280"/>
    </row>
    <row r="936" customHeight="1" spans="1:30">
      <c r="A936" s="222"/>
      <c r="B936" s="7"/>
      <c r="C936" s="7"/>
      <c r="E936" s="7"/>
      <c r="F936" s="7"/>
      <c r="G936" s="222"/>
      <c r="H936" s="7"/>
      <c r="I936" s="7"/>
      <c r="J936" s="7"/>
      <c r="K936" s="7"/>
      <c r="L936" s="222"/>
      <c r="M936" s="7"/>
      <c r="N936" s="7"/>
      <c r="O936" s="7"/>
      <c r="P936" s="7"/>
      <c r="Q936" s="257"/>
      <c r="U936" s="7"/>
      <c r="V936" s="350"/>
      <c r="AD936" s="280"/>
    </row>
    <row r="937" customHeight="1" spans="1:30">
      <c r="A937" s="222"/>
      <c r="B937" s="7"/>
      <c r="C937" s="7"/>
      <c r="E937" s="7"/>
      <c r="F937" s="7"/>
      <c r="G937" s="222"/>
      <c r="H937" s="7"/>
      <c r="I937" s="7"/>
      <c r="J937" s="7"/>
      <c r="K937" s="7"/>
      <c r="L937" s="222"/>
      <c r="M937" s="7"/>
      <c r="N937" s="7"/>
      <c r="O937" s="7"/>
      <c r="P937" s="7"/>
      <c r="Q937" s="257"/>
      <c r="U937" s="7"/>
      <c r="V937" s="350"/>
      <c r="AD937" s="280"/>
    </row>
    <row r="938" customHeight="1" spans="1:30">
      <c r="A938" s="222"/>
      <c r="B938" s="7"/>
      <c r="C938" s="7"/>
      <c r="E938" s="7"/>
      <c r="F938" s="7"/>
      <c r="G938" s="222"/>
      <c r="H938" s="7"/>
      <c r="I938" s="7"/>
      <c r="J938" s="7"/>
      <c r="K938" s="7"/>
      <c r="L938" s="222"/>
      <c r="M938" s="7"/>
      <c r="N938" s="7"/>
      <c r="O938" s="7"/>
      <c r="P938" s="7"/>
      <c r="Q938" s="257"/>
      <c r="U938" s="7"/>
      <c r="V938" s="350"/>
      <c r="AD938" s="280"/>
    </row>
    <row r="939" customHeight="1" spans="1:30">
      <c r="A939" s="222"/>
      <c r="B939" s="7"/>
      <c r="C939" s="7"/>
      <c r="E939" s="7"/>
      <c r="F939" s="7"/>
      <c r="G939" s="222"/>
      <c r="H939" s="7"/>
      <c r="I939" s="7"/>
      <c r="J939" s="7"/>
      <c r="K939" s="7"/>
      <c r="L939" s="222"/>
      <c r="M939" s="7"/>
      <c r="N939" s="7"/>
      <c r="O939" s="7"/>
      <c r="P939" s="7"/>
      <c r="Q939" s="257"/>
      <c r="U939" s="7"/>
      <c r="V939" s="350"/>
      <c r="AD939" s="280"/>
    </row>
    <row r="940" customHeight="1" spans="1:30">
      <c r="A940" s="222"/>
      <c r="B940" s="7"/>
      <c r="C940" s="7"/>
      <c r="E940" s="7"/>
      <c r="F940" s="7"/>
      <c r="G940" s="222"/>
      <c r="H940" s="7"/>
      <c r="I940" s="7"/>
      <c r="J940" s="7"/>
      <c r="K940" s="7"/>
      <c r="L940" s="222"/>
      <c r="M940" s="7"/>
      <c r="N940" s="7"/>
      <c r="O940" s="7"/>
      <c r="P940" s="7"/>
      <c r="Q940" s="257"/>
      <c r="U940" s="7"/>
      <c r="V940" s="350"/>
      <c r="AD940" s="280"/>
    </row>
    <row r="941" customHeight="1" spans="1:30">
      <c r="A941" s="222"/>
      <c r="B941" s="7"/>
      <c r="C941" s="7"/>
      <c r="E941" s="7"/>
      <c r="F941" s="7"/>
      <c r="G941" s="222"/>
      <c r="H941" s="7"/>
      <c r="I941" s="7"/>
      <c r="J941" s="7"/>
      <c r="K941" s="7"/>
      <c r="L941" s="222"/>
      <c r="M941" s="7"/>
      <c r="N941" s="7"/>
      <c r="O941" s="7"/>
      <c r="P941" s="7"/>
      <c r="Q941" s="257"/>
      <c r="U941" s="7"/>
      <c r="V941" s="350"/>
      <c r="AD941" s="280"/>
    </row>
    <row r="942" customHeight="1" spans="1:30">
      <c r="A942" s="222"/>
      <c r="B942" s="7"/>
      <c r="C942" s="7"/>
      <c r="E942" s="7"/>
      <c r="F942" s="7"/>
      <c r="G942" s="222"/>
      <c r="H942" s="7"/>
      <c r="I942" s="7"/>
      <c r="J942" s="7"/>
      <c r="K942" s="7"/>
      <c r="L942" s="222"/>
      <c r="M942" s="7"/>
      <c r="N942" s="7"/>
      <c r="O942" s="7"/>
      <c r="P942" s="7"/>
      <c r="Q942" s="257"/>
      <c r="U942" s="7"/>
      <c r="V942" s="350"/>
      <c r="AD942" s="280"/>
    </row>
    <row r="943" customHeight="1" spans="1:30">
      <c r="A943" s="222"/>
      <c r="B943" s="7"/>
      <c r="C943" s="7"/>
      <c r="E943" s="7"/>
      <c r="F943" s="7"/>
      <c r="G943" s="222"/>
      <c r="H943" s="7"/>
      <c r="I943" s="7"/>
      <c r="J943" s="7"/>
      <c r="K943" s="7"/>
      <c r="L943" s="222"/>
      <c r="M943" s="7"/>
      <c r="N943" s="7"/>
      <c r="O943" s="7"/>
      <c r="P943" s="7"/>
      <c r="Q943" s="257"/>
      <c r="U943" s="7"/>
      <c r="V943" s="350"/>
      <c r="AD943" s="280"/>
    </row>
    <row r="944" customHeight="1" spans="1:30">
      <c r="A944" s="222"/>
      <c r="B944" s="7"/>
      <c r="C944" s="7"/>
      <c r="E944" s="7"/>
      <c r="F944" s="7"/>
      <c r="G944" s="222"/>
      <c r="H944" s="7"/>
      <c r="I944" s="7"/>
      <c r="J944" s="7"/>
      <c r="K944" s="7"/>
      <c r="L944" s="222"/>
      <c r="M944" s="7"/>
      <c r="N944" s="7"/>
      <c r="O944" s="7"/>
      <c r="P944" s="7"/>
      <c r="Q944" s="257"/>
      <c r="U944" s="7"/>
      <c r="V944" s="350"/>
      <c r="AD944" s="280"/>
    </row>
    <row r="945" customHeight="1" spans="1:30">
      <c r="A945" s="222"/>
      <c r="B945" s="7"/>
      <c r="C945" s="7"/>
      <c r="E945" s="7"/>
      <c r="F945" s="7"/>
      <c r="G945" s="222"/>
      <c r="H945" s="7"/>
      <c r="I945" s="7"/>
      <c r="J945" s="7"/>
      <c r="K945" s="7"/>
      <c r="L945" s="222"/>
      <c r="M945" s="7"/>
      <c r="N945" s="7"/>
      <c r="O945" s="7"/>
      <c r="P945" s="7"/>
      <c r="Q945" s="257"/>
      <c r="U945" s="7"/>
      <c r="V945" s="350"/>
      <c r="AD945" s="280"/>
    </row>
    <row r="946" customHeight="1" spans="1:30">
      <c r="A946" s="222"/>
      <c r="B946" s="7"/>
      <c r="C946" s="7"/>
      <c r="E946" s="7"/>
      <c r="F946" s="7"/>
      <c r="G946" s="222"/>
      <c r="H946" s="7"/>
      <c r="I946" s="7"/>
      <c r="J946" s="7"/>
      <c r="K946" s="7"/>
      <c r="L946" s="222"/>
      <c r="M946" s="7"/>
      <c r="N946" s="7"/>
      <c r="O946" s="7"/>
      <c r="P946" s="7"/>
      <c r="Q946" s="257"/>
      <c r="U946" s="7"/>
      <c r="V946" s="350"/>
      <c r="AD946" s="280"/>
    </row>
    <row r="947" customHeight="1" spans="1:30">
      <c r="A947" s="222"/>
      <c r="B947" s="7"/>
      <c r="C947" s="7"/>
      <c r="E947" s="7"/>
      <c r="F947" s="7"/>
      <c r="G947" s="222"/>
      <c r="H947" s="7"/>
      <c r="I947" s="7"/>
      <c r="J947" s="7"/>
      <c r="K947" s="7"/>
      <c r="L947" s="222"/>
      <c r="M947" s="7"/>
      <c r="N947" s="7"/>
      <c r="O947" s="7"/>
      <c r="P947" s="7"/>
      <c r="Q947" s="257"/>
      <c r="U947" s="7"/>
      <c r="V947" s="350"/>
      <c r="AD947" s="280"/>
    </row>
    <row r="948" customHeight="1" spans="1:30">
      <c r="A948" s="222"/>
      <c r="B948" s="7"/>
      <c r="C948" s="7"/>
      <c r="E948" s="7"/>
      <c r="F948" s="7"/>
      <c r="G948" s="222"/>
      <c r="H948" s="7"/>
      <c r="I948" s="7"/>
      <c r="J948" s="7"/>
      <c r="K948" s="7"/>
      <c r="L948" s="222"/>
      <c r="M948" s="7"/>
      <c r="N948" s="7"/>
      <c r="O948" s="7"/>
      <c r="P948" s="7"/>
      <c r="Q948" s="257"/>
      <c r="U948" s="7"/>
      <c r="V948" s="350"/>
      <c r="AD948" s="280"/>
    </row>
    <row r="949" customHeight="1" spans="1:30">
      <c r="A949" s="222"/>
      <c r="B949" s="7"/>
      <c r="C949" s="7"/>
      <c r="E949" s="7"/>
      <c r="F949" s="7"/>
      <c r="G949" s="222"/>
      <c r="H949" s="7"/>
      <c r="I949" s="7"/>
      <c r="J949" s="7"/>
      <c r="K949" s="7"/>
      <c r="L949" s="222"/>
      <c r="M949" s="7"/>
      <c r="N949" s="7"/>
      <c r="O949" s="7"/>
      <c r="P949" s="7"/>
      <c r="Q949" s="257"/>
      <c r="U949" s="7"/>
      <c r="V949" s="350"/>
      <c r="AD949" s="280"/>
    </row>
    <row r="950" customHeight="1" spans="1:30">
      <c r="A950" s="222"/>
      <c r="B950" s="7"/>
      <c r="C950" s="7"/>
      <c r="E950" s="7"/>
      <c r="F950" s="7"/>
      <c r="G950" s="222"/>
      <c r="H950" s="7"/>
      <c r="I950" s="7"/>
      <c r="J950" s="7"/>
      <c r="K950" s="7"/>
      <c r="L950" s="222"/>
      <c r="M950" s="7"/>
      <c r="N950" s="7"/>
      <c r="O950" s="7"/>
      <c r="P950" s="7"/>
      <c r="Q950" s="257"/>
      <c r="U950" s="7"/>
      <c r="V950" s="350"/>
      <c r="AD950" s="280"/>
    </row>
    <row r="951" customHeight="1" spans="1:30">
      <c r="A951" s="222"/>
      <c r="B951" s="7"/>
      <c r="C951" s="7"/>
      <c r="E951" s="7"/>
      <c r="F951" s="7"/>
      <c r="G951" s="222"/>
      <c r="H951" s="7"/>
      <c r="I951" s="7"/>
      <c r="J951" s="7"/>
      <c r="K951" s="7"/>
      <c r="L951" s="222"/>
      <c r="M951" s="7"/>
      <c r="N951" s="7"/>
      <c r="O951" s="7"/>
      <c r="P951" s="7"/>
      <c r="Q951" s="257"/>
      <c r="U951" s="7"/>
      <c r="V951" s="350"/>
      <c r="AD951" s="280"/>
    </row>
    <row r="952" customHeight="1" spans="1:30">
      <c r="A952" s="222"/>
      <c r="B952" s="7"/>
      <c r="C952" s="7"/>
      <c r="E952" s="7"/>
      <c r="F952" s="7"/>
      <c r="G952" s="222"/>
      <c r="H952" s="7"/>
      <c r="I952" s="7"/>
      <c r="J952" s="7"/>
      <c r="K952" s="7"/>
      <c r="L952" s="222"/>
      <c r="M952" s="7"/>
      <c r="N952" s="7"/>
      <c r="O952" s="7"/>
      <c r="P952" s="7"/>
      <c r="Q952" s="257"/>
      <c r="U952" s="7"/>
      <c r="V952" s="350"/>
      <c r="AD952" s="280"/>
    </row>
    <row r="953" customHeight="1" spans="1:30">
      <c r="A953" s="222"/>
      <c r="B953" s="7"/>
      <c r="C953" s="7"/>
      <c r="E953" s="7"/>
      <c r="F953" s="7"/>
      <c r="G953" s="222"/>
      <c r="H953" s="7"/>
      <c r="I953" s="7"/>
      <c r="J953" s="7"/>
      <c r="K953" s="7"/>
      <c r="L953" s="222"/>
      <c r="M953" s="7"/>
      <c r="N953" s="7"/>
      <c r="O953" s="7"/>
      <c r="P953" s="7"/>
      <c r="Q953" s="257"/>
      <c r="U953" s="7"/>
      <c r="V953" s="350"/>
      <c r="AD953" s="280"/>
    </row>
    <row r="954" customHeight="1" spans="1:30">
      <c r="A954" s="222"/>
      <c r="B954" s="7"/>
      <c r="C954" s="7"/>
      <c r="E954" s="7"/>
      <c r="F954" s="7"/>
      <c r="G954" s="222"/>
      <c r="H954" s="7"/>
      <c r="I954" s="7"/>
      <c r="J954" s="7"/>
      <c r="K954" s="7"/>
      <c r="L954" s="222"/>
      <c r="M954" s="7"/>
      <c r="N954" s="7"/>
      <c r="O954" s="7"/>
      <c r="P954" s="7"/>
      <c r="Q954" s="257"/>
      <c r="U954" s="7"/>
      <c r="V954" s="350"/>
      <c r="AD954" s="280"/>
    </row>
    <row r="955" customHeight="1" spans="1:30">
      <c r="A955" s="222"/>
      <c r="B955" s="7"/>
      <c r="C955" s="7"/>
      <c r="E955" s="7"/>
      <c r="F955" s="7"/>
      <c r="G955" s="222"/>
      <c r="H955" s="7"/>
      <c r="I955" s="7"/>
      <c r="J955" s="7"/>
      <c r="K955" s="7"/>
      <c r="L955" s="222"/>
      <c r="M955" s="7"/>
      <c r="N955" s="7"/>
      <c r="O955" s="7"/>
      <c r="P955" s="7"/>
      <c r="Q955" s="257"/>
      <c r="U955" s="7"/>
      <c r="V955" s="350"/>
      <c r="AD955" s="280"/>
    </row>
    <row r="956" customHeight="1" spans="1:30">
      <c r="A956" s="222"/>
      <c r="B956" s="7"/>
      <c r="C956" s="7"/>
      <c r="E956" s="7"/>
      <c r="F956" s="7"/>
      <c r="G956" s="222"/>
      <c r="H956" s="7"/>
      <c r="I956" s="7"/>
      <c r="J956" s="7"/>
      <c r="K956" s="7"/>
      <c r="L956" s="222"/>
      <c r="M956" s="7"/>
      <c r="N956" s="7"/>
      <c r="O956" s="7"/>
      <c r="P956" s="7"/>
      <c r="Q956" s="257"/>
      <c r="U956" s="7"/>
      <c r="V956" s="350"/>
      <c r="AD956" s="280"/>
    </row>
    <row r="957" customHeight="1" spans="1:30">
      <c r="A957" s="222"/>
      <c r="B957" s="7"/>
      <c r="C957" s="7"/>
      <c r="E957" s="7"/>
      <c r="F957" s="7"/>
      <c r="G957" s="222"/>
      <c r="H957" s="7"/>
      <c r="I957" s="7"/>
      <c r="J957" s="7"/>
      <c r="K957" s="7"/>
      <c r="L957" s="222"/>
      <c r="M957" s="7"/>
      <c r="N957" s="7"/>
      <c r="O957" s="7"/>
      <c r="P957" s="7"/>
      <c r="Q957" s="257"/>
      <c r="U957" s="7"/>
      <c r="V957" s="350"/>
      <c r="AD957" s="280"/>
    </row>
    <row r="958" customHeight="1" spans="1:30">
      <c r="A958" s="222"/>
      <c r="B958" s="7"/>
      <c r="C958" s="7"/>
      <c r="E958" s="7"/>
      <c r="F958" s="7"/>
      <c r="G958" s="222"/>
      <c r="H958" s="7"/>
      <c r="I958" s="7"/>
      <c r="J958" s="7"/>
      <c r="K958" s="7"/>
      <c r="L958" s="222"/>
      <c r="M958" s="7"/>
      <c r="N958" s="7"/>
      <c r="O958" s="7"/>
      <c r="P958" s="7"/>
      <c r="Q958" s="257"/>
      <c r="U958" s="7"/>
      <c r="V958" s="350"/>
      <c r="AD958" s="280"/>
    </row>
    <row r="959" customHeight="1" spans="1:30">
      <c r="A959" s="222"/>
      <c r="B959" s="7"/>
      <c r="C959" s="7"/>
      <c r="E959" s="7"/>
      <c r="F959" s="7"/>
      <c r="G959" s="222"/>
      <c r="H959" s="7"/>
      <c r="I959" s="7"/>
      <c r="J959" s="7"/>
      <c r="K959" s="7"/>
      <c r="L959" s="222"/>
      <c r="M959" s="7"/>
      <c r="N959" s="7"/>
      <c r="O959" s="7"/>
      <c r="P959" s="7"/>
      <c r="Q959" s="257"/>
      <c r="U959" s="7"/>
      <c r="V959" s="350"/>
      <c r="AD959" s="280"/>
    </row>
    <row r="960" customHeight="1" spans="1:30">
      <c r="A960" s="222"/>
      <c r="B960" s="7"/>
      <c r="C960" s="7"/>
      <c r="E960" s="7"/>
      <c r="F960" s="7"/>
      <c r="G960" s="222"/>
      <c r="H960" s="7"/>
      <c r="I960" s="7"/>
      <c r="J960" s="7"/>
      <c r="K960" s="7"/>
      <c r="L960" s="222"/>
      <c r="M960" s="7"/>
      <c r="N960" s="7"/>
      <c r="O960" s="7"/>
      <c r="P960" s="7"/>
      <c r="Q960" s="257"/>
      <c r="U960" s="7"/>
      <c r="V960" s="350"/>
      <c r="AD960" s="280"/>
    </row>
    <row r="961" customHeight="1" spans="1:30">
      <c r="A961" s="222"/>
      <c r="B961" s="7"/>
      <c r="C961" s="7"/>
      <c r="E961" s="7"/>
      <c r="F961" s="7"/>
      <c r="G961" s="222"/>
      <c r="H961" s="7"/>
      <c r="I961" s="7"/>
      <c r="J961" s="7"/>
      <c r="K961" s="7"/>
      <c r="L961" s="222"/>
      <c r="M961" s="7"/>
      <c r="N961" s="7"/>
      <c r="O961" s="7"/>
      <c r="P961" s="7"/>
      <c r="Q961" s="257"/>
      <c r="U961" s="7"/>
      <c r="V961" s="350"/>
      <c r="AD961" s="280"/>
    </row>
    <row r="962" customHeight="1" spans="1:30">
      <c r="A962" s="222"/>
      <c r="B962" s="7"/>
      <c r="C962" s="7"/>
      <c r="E962" s="7"/>
      <c r="F962" s="7"/>
      <c r="G962" s="222"/>
      <c r="H962" s="7"/>
      <c r="I962" s="7"/>
      <c r="J962" s="7"/>
      <c r="K962" s="7"/>
      <c r="L962" s="222"/>
      <c r="M962" s="7"/>
      <c r="N962" s="7"/>
      <c r="O962" s="7"/>
      <c r="P962" s="7"/>
      <c r="Q962" s="257"/>
      <c r="U962" s="7"/>
      <c r="V962" s="350"/>
      <c r="AD962" s="280"/>
    </row>
    <row r="963" customHeight="1" spans="1:30">
      <c r="A963" s="222"/>
      <c r="B963" s="7"/>
      <c r="C963" s="7"/>
      <c r="E963" s="7"/>
      <c r="F963" s="7"/>
      <c r="G963" s="222"/>
      <c r="H963" s="7"/>
      <c r="I963" s="7"/>
      <c r="J963" s="7"/>
      <c r="K963" s="7"/>
      <c r="L963" s="222"/>
      <c r="M963" s="7"/>
      <c r="N963" s="7"/>
      <c r="O963" s="7"/>
      <c r="P963" s="7"/>
      <c r="Q963" s="257"/>
      <c r="U963" s="7"/>
      <c r="V963" s="350"/>
      <c r="AD963" s="280"/>
    </row>
    <row r="964" customHeight="1" spans="1:30">
      <c r="A964" s="222"/>
      <c r="B964" s="7"/>
      <c r="C964" s="7"/>
      <c r="E964" s="7"/>
      <c r="F964" s="7"/>
      <c r="G964" s="222"/>
      <c r="H964" s="7"/>
      <c r="I964" s="7"/>
      <c r="J964" s="7"/>
      <c r="K964" s="7"/>
      <c r="L964" s="222"/>
      <c r="M964" s="7"/>
      <c r="N964" s="7"/>
      <c r="O964" s="7"/>
      <c r="P964" s="7"/>
      <c r="Q964" s="257"/>
      <c r="U964" s="7"/>
      <c r="V964" s="350"/>
      <c r="AD964" s="280"/>
    </row>
    <row r="965" customHeight="1" spans="1:30">
      <c r="A965" s="222"/>
      <c r="B965" s="7"/>
      <c r="C965" s="7"/>
      <c r="E965" s="7"/>
      <c r="F965" s="7"/>
      <c r="G965" s="222"/>
      <c r="H965" s="7"/>
      <c r="I965" s="7"/>
      <c r="J965" s="7"/>
      <c r="K965" s="7"/>
      <c r="L965" s="222"/>
      <c r="M965" s="7"/>
      <c r="N965" s="7"/>
      <c r="O965" s="7"/>
      <c r="P965" s="7"/>
      <c r="Q965" s="257"/>
      <c r="U965" s="7"/>
      <c r="V965" s="350"/>
      <c r="AD965" s="280"/>
    </row>
    <row r="966" customHeight="1" spans="1:30">
      <c r="A966" s="222"/>
      <c r="B966" s="7"/>
      <c r="C966" s="7"/>
      <c r="E966" s="7"/>
      <c r="F966" s="7"/>
      <c r="G966" s="222"/>
      <c r="H966" s="7"/>
      <c r="I966" s="7"/>
      <c r="J966" s="7"/>
      <c r="K966" s="7"/>
      <c r="L966" s="222"/>
      <c r="M966" s="7"/>
      <c r="N966" s="7"/>
      <c r="O966" s="7"/>
      <c r="P966" s="7"/>
      <c r="Q966" s="257"/>
      <c r="U966" s="7"/>
      <c r="V966" s="350"/>
      <c r="AD966" s="280"/>
    </row>
    <row r="967" customHeight="1" spans="1:30">
      <c r="A967" s="222"/>
      <c r="B967" s="7"/>
      <c r="C967" s="7"/>
      <c r="E967" s="7"/>
      <c r="F967" s="7"/>
      <c r="G967" s="222"/>
      <c r="H967" s="7"/>
      <c r="I967" s="7"/>
      <c r="J967" s="7"/>
      <c r="K967" s="7"/>
      <c r="L967" s="222"/>
      <c r="M967" s="7"/>
      <c r="N967" s="7"/>
      <c r="O967" s="7"/>
      <c r="P967" s="7"/>
      <c r="Q967" s="257"/>
      <c r="U967" s="7"/>
      <c r="V967" s="350"/>
      <c r="AD967" s="280"/>
    </row>
    <row r="968" customHeight="1" spans="1:30">
      <c r="A968" s="222"/>
      <c r="B968" s="7"/>
      <c r="C968" s="7"/>
      <c r="E968" s="7"/>
      <c r="F968" s="7"/>
      <c r="G968" s="222"/>
      <c r="H968" s="7"/>
      <c r="I968" s="7"/>
      <c r="J968" s="7"/>
      <c r="K968" s="7"/>
      <c r="L968" s="222"/>
      <c r="M968" s="7"/>
      <c r="N968" s="7"/>
      <c r="O968" s="7"/>
      <c r="P968" s="7"/>
      <c r="Q968" s="257"/>
      <c r="U968" s="7"/>
      <c r="V968" s="350"/>
      <c r="AD968" s="280"/>
    </row>
    <row r="969" customHeight="1" spans="1:30">
      <c r="A969" s="222"/>
      <c r="B969" s="7"/>
      <c r="C969" s="7"/>
      <c r="E969" s="7"/>
      <c r="F969" s="7"/>
      <c r="G969" s="222"/>
      <c r="H969" s="7"/>
      <c r="I969" s="7"/>
      <c r="J969" s="7"/>
      <c r="K969" s="7"/>
      <c r="L969" s="222"/>
      <c r="M969" s="7"/>
      <c r="N969" s="7"/>
      <c r="O969" s="7"/>
      <c r="P969" s="7"/>
      <c r="Q969" s="257"/>
      <c r="U969" s="7"/>
      <c r="V969" s="350"/>
      <c r="AD969" s="280"/>
    </row>
    <row r="970" customHeight="1" spans="1:30">
      <c r="A970" s="222"/>
      <c r="B970" s="7"/>
      <c r="C970" s="7"/>
      <c r="E970" s="7"/>
      <c r="F970" s="7"/>
      <c r="G970" s="222"/>
      <c r="H970" s="7"/>
      <c r="I970" s="7"/>
      <c r="J970" s="7"/>
      <c r="K970" s="7"/>
      <c r="L970" s="222"/>
      <c r="M970" s="7"/>
      <c r="N970" s="7"/>
      <c r="O970" s="7"/>
      <c r="P970" s="7"/>
      <c r="Q970" s="257"/>
      <c r="U970" s="7"/>
      <c r="V970" s="350"/>
      <c r="AD970" s="280"/>
    </row>
    <row r="971" customHeight="1" spans="1:30">
      <c r="A971" s="222"/>
      <c r="B971" s="7"/>
      <c r="C971" s="7"/>
      <c r="E971" s="7"/>
      <c r="F971" s="7"/>
      <c r="G971" s="222"/>
      <c r="H971" s="7"/>
      <c r="I971" s="7"/>
      <c r="J971" s="7"/>
      <c r="K971" s="7"/>
      <c r="L971" s="222"/>
      <c r="M971" s="7"/>
      <c r="N971" s="7"/>
      <c r="O971" s="7"/>
      <c r="P971" s="7"/>
      <c r="Q971" s="257"/>
      <c r="U971" s="7"/>
      <c r="V971" s="350"/>
      <c r="AD971" s="280"/>
    </row>
    <row r="972" customHeight="1" spans="1:30">
      <c r="A972" s="222"/>
      <c r="B972" s="7"/>
      <c r="C972" s="7"/>
      <c r="E972" s="7"/>
      <c r="F972" s="7"/>
      <c r="G972" s="222"/>
      <c r="H972" s="7"/>
      <c r="I972" s="7"/>
      <c r="J972" s="7"/>
      <c r="K972" s="7"/>
      <c r="L972" s="222"/>
      <c r="M972" s="7"/>
      <c r="N972" s="7"/>
      <c r="O972" s="7"/>
      <c r="P972" s="7"/>
      <c r="Q972" s="257"/>
      <c r="U972" s="7"/>
      <c r="V972" s="350"/>
      <c r="AD972" s="280"/>
    </row>
    <row r="973" customHeight="1" spans="1:30">
      <c r="A973" s="222"/>
      <c r="B973" s="7"/>
      <c r="C973" s="7"/>
      <c r="E973" s="7"/>
      <c r="F973" s="7"/>
      <c r="G973" s="222"/>
      <c r="H973" s="7"/>
      <c r="I973" s="7"/>
      <c r="J973" s="7"/>
      <c r="K973" s="7"/>
      <c r="L973" s="222"/>
      <c r="M973" s="7"/>
      <c r="N973" s="7"/>
      <c r="O973" s="7"/>
      <c r="P973" s="7"/>
      <c r="Q973" s="257"/>
      <c r="U973" s="7"/>
      <c r="V973" s="350"/>
      <c r="AD973" s="280"/>
    </row>
    <row r="974" customHeight="1" spans="1:30">
      <c r="A974" s="222"/>
      <c r="B974" s="7"/>
      <c r="C974" s="7"/>
      <c r="E974" s="7"/>
      <c r="F974" s="7"/>
      <c r="G974" s="222"/>
      <c r="H974" s="7"/>
      <c r="I974" s="7"/>
      <c r="J974" s="7"/>
      <c r="K974" s="7"/>
      <c r="L974" s="222"/>
      <c r="M974" s="7"/>
      <c r="N974" s="7"/>
      <c r="O974" s="7"/>
      <c r="P974" s="7"/>
      <c r="Q974" s="257"/>
      <c r="U974" s="7"/>
      <c r="V974" s="350"/>
      <c r="AD974" s="280"/>
    </row>
    <row r="975" customHeight="1" spans="1:30">
      <c r="A975" s="222"/>
      <c r="B975" s="7"/>
      <c r="C975" s="7"/>
      <c r="E975" s="7"/>
      <c r="F975" s="7"/>
      <c r="G975" s="222"/>
      <c r="H975" s="7"/>
      <c r="I975" s="7"/>
      <c r="J975" s="7"/>
      <c r="K975" s="7"/>
      <c r="L975" s="222"/>
      <c r="M975" s="7"/>
      <c r="N975" s="7"/>
      <c r="O975" s="7"/>
      <c r="P975" s="7"/>
      <c r="Q975" s="257"/>
      <c r="U975" s="7"/>
      <c r="V975" s="350"/>
      <c r="AD975" s="280"/>
    </row>
    <row r="976" customHeight="1" spans="1:30">
      <c r="A976" s="222"/>
      <c r="B976" s="7"/>
      <c r="C976" s="7"/>
      <c r="E976" s="7"/>
      <c r="F976" s="7"/>
      <c r="G976" s="222"/>
      <c r="H976" s="7"/>
      <c r="I976" s="7"/>
      <c r="J976" s="7"/>
      <c r="K976" s="7"/>
      <c r="L976" s="222"/>
      <c r="M976" s="7"/>
      <c r="N976" s="7"/>
      <c r="O976" s="7"/>
      <c r="P976" s="7"/>
      <c r="Q976" s="257"/>
      <c r="U976" s="7"/>
      <c r="V976" s="350"/>
      <c r="AD976" s="280"/>
    </row>
    <row r="977" customHeight="1" spans="1:30">
      <c r="A977" s="222"/>
      <c r="B977" s="7"/>
      <c r="C977" s="7"/>
      <c r="E977" s="7"/>
      <c r="F977" s="7"/>
      <c r="G977" s="222"/>
      <c r="H977" s="7"/>
      <c r="I977" s="7"/>
      <c r="J977" s="7"/>
      <c r="K977" s="7"/>
      <c r="L977" s="222"/>
      <c r="M977" s="7"/>
      <c r="N977" s="7"/>
      <c r="O977" s="7"/>
      <c r="P977" s="7"/>
      <c r="Q977" s="257"/>
      <c r="U977" s="7"/>
      <c r="V977" s="350"/>
      <c r="AD977" s="280"/>
    </row>
    <row r="978" customHeight="1" spans="1:30">
      <c r="A978" s="222"/>
      <c r="B978" s="7"/>
      <c r="C978" s="7"/>
      <c r="E978" s="7"/>
      <c r="F978" s="7"/>
      <c r="G978" s="222"/>
      <c r="H978" s="7"/>
      <c r="I978" s="7"/>
      <c r="J978" s="7"/>
      <c r="K978" s="7"/>
      <c r="L978" s="222"/>
      <c r="M978" s="7"/>
      <c r="N978" s="7"/>
      <c r="O978" s="7"/>
      <c r="P978" s="7"/>
      <c r="Q978" s="257"/>
      <c r="U978" s="7"/>
      <c r="V978" s="350"/>
      <c r="AD978" s="280"/>
    </row>
    <row r="979" customHeight="1" spans="1:30">
      <c r="A979" s="222"/>
      <c r="B979" s="7"/>
      <c r="C979" s="7"/>
      <c r="E979" s="7"/>
      <c r="F979" s="7"/>
      <c r="G979" s="222"/>
      <c r="H979" s="7"/>
      <c r="I979" s="7"/>
      <c r="J979" s="7"/>
      <c r="K979" s="7"/>
      <c r="L979" s="222"/>
      <c r="M979" s="7"/>
      <c r="N979" s="7"/>
      <c r="O979" s="7"/>
      <c r="P979" s="7"/>
      <c r="Q979" s="257"/>
      <c r="U979" s="7"/>
      <c r="V979" s="350"/>
      <c r="AD979" s="280"/>
    </row>
    <row r="980" customHeight="1" spans="1:30">
      <c r="A980" s="222"/>
      <c r="B980" s="7"/>
      <c r="C980" s="7"/>
      <c r="E980" s="7"/>
      <c r="F980" s="7"/>
      <c r="G980" s="222"/>
      <c r="H980" s="7"/>
      <c r="I980" s="7"/>
      <c r="J980" s="7"/>
      <c r="K980" s="7"/>
      <c r="L980" s="222"/>
      <c r="M980" s="7"/>
      <c r="N980" s="7"/>
      <c r="O980" s="7"/>
      <c r="P980" s="7"/>
      <c r="Q980" s="257"/>
      <c r="U980" s="7"/>
      <c r="V980" s="350"/>
      <c r="AD980" s="280"/>
    </row>
    <row r="981" customHeight="1" spans="1:30">
      <c r="A981" s="222"/>
      <c r="B981" s="7"/>
      <c r="C981" s="7"/>
      <c r="E981" s="7"/>
      <c r="F981" s="7"/>
      <c r="G981" s="222"/>
      <c r="H981" s="7"/>
      <c r="I981" s="7"/>
      <c r="J981" s="7"/>
      <c r="K981" s="7"/>
      <c r="L981" s="222"/>
      <c r="M981" s="7"/>
      <c r="N981" s="7"/>
      <c r="O981" s="7"/>
      <c r="P981" s="7"/>
      <c r="Q981" s="257"/>
      <c r="U981" s="7"/>
      <c r="V981" s="350"/>
      <c r="AD981" s="280"/>
    </row>
    <row r="982" customHeight="1" spans="1:30">
      <c r="A982" s="222"/>
      <c r="B982" s="7"/>
      <c r="C982" s="7"/>
      <c r="E982" s="7"/>
      <c r="F982" s="7"/>
      <c r="G982" s="222"/>
      <c r="H982" s="7"/>
      <c r="I982" s="7"/>
      <c r="J982" s="7"/>
      <c r="K982" s="7"/>
      <c r="L982" s="222"/>
      <c r="M982" s="7"/>
      <c r="N982" s="7"/>
      <c r="O982" s="7"/>
      <c r="P982" s="7"/>
      <c r="Q982" s="257"/>
      <c r="U982" s="7"/>
      <c r="V982" s="350"/>
      <c r="AD982" s="280"/>
    </row>
    <row r="983" customHeight="1" spans="1:30">
      <c r="A983" s="222"/>
      <c r="B983" s="7"/>
      <c r="C983" s="7"/>
      <c r="E983" s="7"/>
      <c r="F983" s="7"/>
      <c r="G983" s="222"/>
      <c r="H983" s="7"/>
      <c r="I983" s="7"/>
      <c r="J983" s="7"/>
      <c r="K983" s="7"/>
      <c r="L983" s="222"/>
      <c r="M983" s="7"/>
      <c r="N983" s="7"/>
      <c r="O983" s="7"/>
      <c r="P983" s="7"/>
      <c r="Q983" s="257"/>
      <c r="U983" s="7"/>
      <c r="V983" s="350"/>
      <c r="AD983" s="280"/>
    </row>
    <row r="984" customHeight="1" spans="1:30">
      <c r="A984" s="222"/>
      <c r="B984" s="7"/>
      <c r="C984" s="7"/>
      <c r="E984" s="7"/>
      <c r="F984" s="7"/>
      <c r="G984" s="222"/>
      <c r="H984" s="7"/>
      <c r="I984" s="7"/>
      <c r="J984" s="7"/>
      <c r="K984" s="7"/>
      <c r="L984" s="222"/>
      <c r="M984" s="7"/>
      <c r="N984" s="7"/>
      <c r="O984" s="7"/>
      <c r="P984" s="7"/>
      <c r="Q984" s="257"/>
      <c r="U984" s="7"/>
      <c r="V984" s="350"/>
      <c r="AD984" s="280"/>
    </row>
    <row r="985" customHeight="1" spans="1:30">
      <c r="A985" s="222"/>
      <c r="B985" s="7"/>
      <c r="C985" s="7"/>
      <c r="E985" s="7"/>
      <c r="F985" s="7"/>
      <c r="G985" s="222"/>
      <c r="H985" s="7"/>
      <c r="I985" s="7"/>
      <c r="J985" s="7"/>
      <c r="K985" s="7"/>
      <c r="L985" s="222"/>
      <c r="M985" s="7"/>
      <c r="N985" s="7"/>
      <c r="O985" s="7"/>
      <c r="P985" s="7"/>
      <c r="Q985" s="257"/>
      <c r="U985" s="7"/>
      <c r="V985" s="350"/>
      <c r="AD985" s="280"/>
    </row>
    <row r="986" customHeight="1" spans="1:30">
      <c r="A986" s="222"/>
      <c r="B986" s="7"/>
      <c r="C986" s="7"/>
      <c r="E986" s="7"/>
      <c r="F986" s="7"/>
      <c r="G986" s="222"/>
      <c r="H986" s="7"/>
      <c r="I986" s="7"/>
      <c r="J986" s="7"/>
      <c r="K986" s="7"/>
      <c r="L986" s="222"/>
      <c r="M986" s="7"/>
      <c r="N986" s="7"/>
      <c r="O986" s="7"/>
      <c r="P986" s="7"/>
      <c r="Q986" s="257"/>
      <c r="U986" s="7"/>
      <c r="V986" s="350"/>
      <c r="AD986" s="280"/>
    </row>
    <row r="987" customHeight="1" spans="1:30">
      <c r="A987" s="222"/>
      <c r="B987" s="7"/>
      <c r="C987" s="7"/>
      <c r="E987" s="7"/>
      <c r="F987" s="7"/>
      <c r="G987" s="222"/>
      <c r="H987" s="7"/>
      <c r="I987" s="7"/>
      <c r="J987" s="7"/>
      <c r="K987" s="7"/>
      <c r="L987" s="222"/>
      <c r="M987" s="7"/>
      <c r="N987" s="7"/>
      <c r="O987" s="7"/>
      <c r="P987" s="7"/>
      <c r="Q987" s="257"/>
      <c r="U987" s="7"/>
      <c r="V987" s="350"/>
      <c r="AD987" s="280"/>
    </row>
    <row r="988" customHeight="1" spans="1:30">
      <c r="A988" s="222"/>
      <c r="B988" s="7"/>
      <c r="C988" s="7"/>
      <c r="E988" s="7"/>
      <c r="F988" s="7"/>
      <c r="G988" s="222"/>
      <c r="H988" s="7"/>
      <c r="I988" s="7"/>
      <c r="J988" s="7"/>
      <c r="K988" s="7"/>
      <c r="L988" s="222"/>
      <c r="M988" s="7"/>
      <c r="N988" s="7"/>
      <c r="O988" s="7"/>
      <c r="P988" s="7"/>
      <c r="Q988" s="257"/>
      <c r="U988" s="7"/>
      <c r="V988" s="350"/>
      <c r="AD988" s="280"/>
    </row>
    <row r="989" customHeight="1" spans="1:30">
      <c r="Q989" s="257"/>
      <c r="V989" s="350"/>
      <c r="AD989" s="280"/>
    </row>
    <row r="990" customHeight="1" spans="1:30">
      <c r="Q990" s="257"/>
      <c r="V990" s="350"/>
      <c r="AD990" s="280"/>
    </row>
    <row r="991" customHeight="1" spans="1:30">
      <c r="Q991" s="257"/>
      <c r="V991" s="350"/>
      <c r="AD991" s="280"/>
    </row>
    <row r="992" customHeight="1" spans="1:30">
      <c r="Q992" s="257"/>
      <c r="V992" s="350"/>
      <c r="AD992" s="280"/>
    </row>
    <row r="993" customHeight="1" spans="17:30">
      <c r="Q993" s="257"/>
      <c r="V993" s="350"/>
      <c r="AD993" s="280"/>
    </row>
    <row r="994" customHeight="1" spans="17:30">
      <c r="Q994" s="257"/>
      <c r="V994" s="350"/>
      <c r="AD994" s="280"/>
    </row>
    <row r="995" customHeight="1" spans="17:30">
      <c r="Q995" s="257"/>
      <c r="V995" s="350"/>
      <c r="AD995" s="280"/>
    </row>
    <row r="996" customHeight="1" spans="17:30">
      <c r="Q996" s="257"/>
      <c r="V996" s="350"/>
      <c r="AD996" s="280"/>
    </row>
    <row r="997" customHeight="1" spans="17:30">
      <c r="Q997" s="257"/>
      <c r="V997" s="350"/>
      <c r="AD997" s="280"/>
    </row>
    <row r="998" customHeight="1" spans="17:30">
      <c r="Q998" s="257"/>
      <c r="V998" s="350"/>
      <c r="AD998" s="280"/>
    </row>
    <row r="999" customHeight="1" spans="17:30">
      <c r="Q999" s="257"/>
      <c r="V999" s="350"/>
      <c r="AD999" s="280"/>
    </row>
    <row r="1000" customHeight="1" spans="17:30">
      <c r="Q1000" s="257"/>
      <c r="V1000" s="350"/>
      <c r="AD1000" s="280"/>
    </row>
  </sheetData>
  <conditionalFormatting sqref="AI2:AI253;AL2:AL253">
    <cfRule type="cellIs" dxfId="0" priority="1" stopIfTrue="1" operator="equal">
      <formula>"JEP"</formula>
    </cfRule>
    <cfRule type="cellIs" dxfId="1" priority="2" stopIfTrue="1" operator="equal">
      <formula>"Pichincha"</formula>
    </cfRule>
    <cfRule type="cellIs" dxfId="2" priority="3" stopIfTrue="1" operator="equal">
      <formula>"Efectivo"</formula>
    </cfRule>
    <cfRule type="cellIs" dxfId="2" priority="4" stopIfTrue="1" operator="equal">
      <formula>"Extra Efectivo"</formula>
    </cfRule>
    <cfRule type="cellIs" dxfId="0" priority="5" stopIfTrue="1" operator="equal">
      <formula>"Extra JEP"</formula>
    </cfRule>
    <cfRule type="cellIs" dxfId="1" priority="6" stopIfTrue="1" operator="equal">
      <formula>"Extra Pichincha"</formula>
    </cfRule>
    <cfRule type="cellIs" dxfId="1" priority="7" stopIfTrue="1" operator="equal">
      <formula>"Reserva Pichincha"</formula>
    </cfRule>
    <cfRule type="cellIs" dxfId="2" priority="8" stopIfTrue="1" operator="equal">
      <formula>"Reserva Efectivo"</formula>
    </cfRule>
    <cfRule type="cellIs" dxfId="3" priority="9" stopIfTrue="1" operator="equal">
      <formula>"JOHN"</formula>
    </cfRule>
    <cfRule type="cellIs" dxfId="4" priority="10" stopIfTrue="1" operator="equal">
      <formula>"SOLANO"</formula>
    </cfRule>
    <cfRule type="cellIs" dxfId="5" priority="11" stopIfTrue="1" operator="equal">
      <formula>"PATRICIO"</formula>
    </cfRule>
    <cfRule type="cellIs" dxfId="6" priority="12" stopIfTrue="1" operator="equal">
      <formula>"SOPORTE"</formula>
    </cfRule>
  </conditionalFormatting>
  <conditionalFormatting sqref="AT2:AT263;AW2:AW263">
    <cfRule type="cellIs" dxfId="0" priority="13" stopIfTrue="1" operator="equal">
      <formula>"JEP"</formula>
    </cfRule>
    <cfRule type="cellIs" dxfId="1" priority="14" stopIfTrue="1" operator="equal">
      <formula>"Pichincha"</formula>
    </cfRule>
    <cfRule type="cellIs" dxfId="2" priority="15" stopIfTrue="1" operator="equal">
      <formula>"Efectivo"</formula>
    </cfRule>
    <cfRule type="cellIs" dxfId="2" priority="16" stopIfTrue="1" operator="equal">
      <formula>"Extra Efectivo"</formula>
    </cfRule>
    <cfRule type="cellIs" dxfId="0" priority="17" stopIfTrue="1" operator="equal">
      <formula>"Extra JEP"</formula>
    </cfRule>
    <cfRule type="cellIs" dxfId="1" priority="18" stopIfTrue="1" operator="equal">
      <formula>"Extra Pichincha"</formula>
    </cfRule>
    <cfRule type="cellIs" dxfId="1" priority="19" stopIfTrue="1" operator="equal">
      <formula>"Reserva Pichincha"</formula>
    </cfRule>
    <cfRule type="cellIs" dxfId="2" priority="20" stopIfTrue="1" operator="equal">
      <formula>"Reserva Efectivo"</formula>
    </cfRule>
    <cfRule type="cellIs" dxfId="3" priority="21" stopIfTrue="1" operator="equal">
      <formula>"JOHN"</formula>
    </cfRule>
    <cfRule type="cellIs" dxfId="4" priority="22" stopIfTrue="1" operator="equal">
      <formula>"SOLANO"</formula>
    </cfRule>
    <cfRule type="cellIs" dxfId="5" priority="23" stopIfTrue="1" operator="equal">
      <formula>"PATRICIO"</formula>
    </cfRule>
    <cfRule type="cellIs" dxfId="6" priority="24" stopIfTrue="1" operator="equal">
      <formula>"SOPORTE"</formula>
    </cfRule>
  </conditionalFormatting>
  <conditionalFormatting sqref="BE2:BE268;BH2:BH268">
    <cfRule type="cellIs" dxfId="0" priority="25" stopIfTrue="1" operator="equal">
      <formula>"JEP"</formula>
    </cfRule>
    <cfRule type="cellIs" dxfId="1" priority="26" stopIfTrue="1" operator="equal">
      <formula>"Pichincha"</formula>
    </cfRule>
    <cfRule type="cellIs" dxfId="2" priority="27" stopIfTrue="1" operator="equal">
      <formula>"Efectivo"</formula>
    </cfRule>
    <cfRule type="cellIs" dxfId="2" priority="28" stopIfTrue="1" operator="equal">
      <formula>"Extra Efectivo"</formula>
    </cfRule>
    <cfRule type="cellIs" dxfId="0" priority="29" stopIfTrue="1" operator="equal">
      <formula>"Extra JEP"</formula>
    </cfRule>
    <cfRule type="cellIs" dxfId="1" priority="30" stopIfTrue="1" operator="equal">
      <formula>"Extra Pichincha"</formula>
    </cfRule>
    <cfRule type="cellIs" dxfId="1" priority="31" stopIfTrue="1" operator="equal">
      <formula>"Reserva Pichincha"</formula>
    </cfRule>
    <cfRule type="cellIs" dxfId="2" priority="32" stopIfTrue="1" operator="equal">
      <formula>"Reserva Efectivo"</formula>
    </cfRule>
    <cfRule type="cellIs" dxfId="3" priority="33" stopIfTrue="1" operator="equal">
      <formula>"JOHN"</formula>
    </cfRule>
    <cfRule type="cellIs" dxfId="4" priority="34" stopIfTrue="1" operator="equal">
      <formula>"SOLANO"</formula>
    </cfRule>
    <cfRule type="cellIs" dxfId="5" priority="35" stopIfTrue="1" operator="equal">
      <formula>"PATRICIO"</formula>
    </cfRule>
    <cfRule type="cellIs" dxfId="6" priority="36" stopIfTrue="1" operator="equal">
      <formula>"SOPORTE"</formula>
    </cfRule>
  </conditionalFormatting>
  <conditionalFormatting sqref="BP2:BP270;BS2:BS270">
    <cfRule type="cellIs" dxfId="0" priority="37" stopIfTrue="1" operator="equal">
      <formula>"JEP"</formula>
    </cfRule>
    <cfRule type="cellIs" dxfId="1" priority="38" stopIfTrue="1" operator="equal">
      <formula>"Pichincha"</formula>
    </cfRule>
    <cfRule type="cellIs" dxfId="2" priority="39" stopIfTrue="1" operator="equal">
      <formula>"Efectivo"</formula>
    </cfRule>
    <cfRule type="cellIs" dxfId="2" priority="40" stopIfTrue="1" operator="equal">
      <formula>"Extra Efectivo"</formula>
    </cfRule>
    <cfRule type="cellIs" dxfId="0" priority="41" stopIfTrue="1" operator="equal">
      <formula>"Extra JEP"</formula>
    </cfRule>
    <cfRule type="cellIs" dxfId="1" priority="42" stopIfTrue="1" operator="equal">
      <formula>"Extra Pichincha"</formula>
    </cfRule>
    <cfRule type="cellIs" dxfId="1" priority="43" stopIfTrue="1" operator="equal">
      <formula>"Reserva Pichincha"</formula>
    </cfRule>
    <cfRule type="cellIs" dxfId="2" priority="44" stopIfTrue="1" operator="equal">
      <formula>"Reserva Efectivo"</formula>
    </cfRule>
    <cfRule type="cellIs" dxfId="3" priority="45" stopIfTrue="1" operator="equal">
      <formula>"JOHN"</formula>
    </cfRule>
    <cfRule type="cellIs" dxfId="4" priority="46" stopIfTrue="1" operator="equal">
      <formula>"SOLANO"</formula>
    </cfRule>
    <cfRule type="cellIs" dxfId="5" priority="47" stopIfTrue="1" operator="equal">
      <formula>"PATRICIO"</formula>
    </cfRule>
    <cfRule type="cellIs" dxfId="6" priority="48" stopIfTrue="1" operator="equal">
      <formula>"SOPORTE"</formula>
    </cfRule>
  </conditionalFormatting>
  <dataValidations count="1">
    <dataValidation type="list" allowBlank="1" showErrorMessage="1" sqref="X2:X247 AA2:AA247 AI2:AI253 AL2:AL253 AT2:AT263 AW2:AW263 BE2:BE268 BH2:BH268 BP2:BP270 BS2:BS270">
      <formula1>"JEP,Pichincha,Efectivo,Extra Efectivo,Extra JEP,Extra Pichincha,Reserva Pichincha,Reserva Efectivo,JOHN,SOLANO,PATRICIO,SOPORTE"</formula1>
    </dataValidation>
  </dataValidations>
  <hyperlinks>
    <hyperlink ref="K18" r:id="rId3" display="facturas.labsll@gmail.com"/>
    <hyperlink ref="K33" r:id="rId4" display="macasaida7@gmail.com"/>
    <hyperlink ref="M73" r:id="rId5" display="090_5bacabrerak"/>
    <hyperlink ref="M149" r:id="rId6" display="165bapabloy"/>
    <hyperlink ref="M150" r:id="rId7" display="166bajessicap"/>
    <hyperlink ref="M159" r:id="rId8" display="175bamargaritad"/>
    <hyperlink ref="M165" r:id="rId9" display="181bajohnnyl"/>
  </hyperlink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U1001"/>
  <sheetViews>
    <sheetView workbookViewId="0">
      <pane xSplit="4" ySplit="1" topLeftCell="E2" activePane="bottomRight" state="frozen"/>
      <selection/>
      <selection pane="topRight"/>
      <selection pane="bottomLeft"/>
      <selection pane="bottomRight" activeCell="E2" sqref="E2"/>
    </sheetView>
  </sheetViews>
  <sheetFormatPr defaultColWidth="12.6296296296296" defaultRowHeight="15.75" customHeight="1"/>
  <cols>
    <col min="1" max="1" width="4" customWidth="1"/>
    <col min="2" max="2" width="41.1296296296296" customWidth="1"/>
    <col min="10" max="10" width="44.6296296296296" customWidth="1"/>
    <col min="11" max="11" width="28.5" customWidth="1"/>
    <col min="14" max="14" width="17.3796296296296" customWidth="1"/>
    <col min="20" max="20" width="5.12962962962963" customWidth="1"/>
    <col min="24" max="24" width="13.25" customWidth="1"/>
    <col min="27" max="27" width="12.8796296296296" customWidth="1"/>
    <col min="30" max="30" width="16.25" customWidth="1"/>
    <col min="31" max="31" width="5" customWidth="1"/>
    <col min="32" max="32" width="12.6296296296296" customWidth="1"/>
    <col min="33" max="33" width="18.3796296296296" customWidth="1"/>
    <col min="34" max="34" width="16.25" customWidth="1"/>
    <col min="35" max="35" width="13.75" customWidth="1"/>
    <col min="36" max="36" width="8.12962962962963" customWidth="1"/>
    <col min="37" max="37" width="4.87962962962963" customWidth="1"/>
    <col min="38" max="38" width="11.3796296296296" customWidth="1"/>
    <col min="39" max="39" width="6.12962962962963" customWidth="1"/>
    <col min="40" max="40" width="12" customWidth="1"/>
    <col min="41" max="41" width="16.25" customWidth="1"/>
    <col min="42" max="42" width="5" customWidth="1"/>
    <col min="43" max="43" width="12.6296296296296" customWidth="1"/>
    <col min="44" max="44" width="12.1296296296296" customWidth="1"/>
    <col min="45" max="45" width="12.3796296296296" customWidth="1"/>
    <col min="46" max="46" width="11.5" customWidth="1"/>
    <col min="47" max="47" width="7.62962962962963" customWidth="1"/>
    <col min="48" max="48" width="4.87962962962963" customWidth="1"/>
    <col min="49" max="49" width="10" customWidth="1"/>
    <col min="50" max="50" width="6.12962962962963" customWidth="1"/>
    <col min="51" max="51" width="9" customWidth="1"/>
    <col min="52" max="52" width="16.25" customWidth="1"/>
    <col min="53" max="53" width="5" customWidth="1"/>
    <col min="54" max="54" width="12.6296296296296" customWidth="1"/>
    <col min="55" max="55" width="13" customWidth="1"/>
    <col min="56" max="56" width="7.62962962962963" customWidth="1"/>
    <col min="57" max="57" width="10.8796296296296" customWidth="1"/>
    <col min="58" max="58" width="7.37962962962963" customWidth="1"/>
    <col min="59" max="59" width="4.87962962962963" customWidth="1"/>
    <col min="60" max="60" width="10" customWidth="1"/>
    <col min="61" max="61" width="6.12962962962963" customWidth="1"/>
    <col min="62" max="62" width="9" customWidth="1"/>
    <col min="63" max="63" width="16.25" customWidth="1"/>
    <col min="64" max="64" width="5" customWidth="1"/>
    <col min="65" max="65" width="12.6296296296296" customWidth="1"/>
    <col min="66" max="66" width="18.3796296296296" customWidth="1"/>
    <col min="67" max="67" width="13.3796296296296" customWidth="1"/>
    <col min="68" max="68" width="12.25" customWidth="1"/>
    <col min="69" max="69" width="4.12962962962963" customWidth="1"/>
    <col min="70" max="70" width="4.87962962962963" customWidth="1"/>
    <col min="71" max="71" width="10" customWidth="1"/>
    <col min="72" max="72" width="6.12962962962963" customWidth="1"/>
    <col min="73" max="73" width="9" customWidth="1"/>
  </cols>
  <sheetData>
    <row r="1" ht="13.2" spans="1:73">
      <c r="A1" s="310"/>
      <c r="B1" s="311" t="s">
        <v>174</v>
      </c>
      <c r="C1" s="312" t="s">
        <v>175</v>
      </c>
      <c r="D1" s="311" t="s">
        <v>176</v>
      </c>
      <c r="E1" s="312" t="s">
        <v>177</v>
      </c>
      <c r="F1" s="312" t="s">
        <v>2607</v>
      </c>
      <c r="G1" s="312" t="s">
        <v>179</v>
      </c>
      <c r="H1" s="311" t="s">
        <v>180</v>
      </c>
      <c r="I1" s="311" t="s">
        <v>181</v>
      </c>
      <c r="J1" s="311" t="s">
        <v>182</v>
      </c>
      <c r="K1" s="311" t="s">
        <v>183</v>
      </c>
      <c r="L1" s="313" t="s">
        <v>184</v>
      </c>
      <c r="M1" s="313" t="s">
        <v>185</v>
      </c>
      <c r="N1" s="311" t="s">
        <v>186</v>
      </c>
      <c r="O1" s="314" t="s">
        <v>187</v>
      </c>
      <c r="P1" s="311" t="s">
        <v>188</v>
      </c>
      <c r="Q1" s="315" t="s">
        <v>189</v>
      </c>
      <c r="R1" s="316" t="s">
        <v>2608</v>
      </c>
      <c r="S1" s="317" t="s">
        <v>2609</v>
      </c>
      <c r="T1" s="318" t="s">
        <v>192</v>
      </c>
      <c r="U1" s="319" t="s">
        <v>193</v>
      </c>
      <c r="V1" s="320" t="s">
        <v>194</v>
      </c>
      <c r="W1" s="321" t="s">
        <v>191</v>
      </c>
      <c r="X1" s="322" t="s">
        <v>71</v>
      </c>
      <c r="Y1" s="321" t="s">
        <v>195</v>
      </c>
      <c r="Z1" s="321" t="s">
        <v>2610</v>
      </c>
      <c r="AA1" s="322" t="s">
        <v>71</v>
      </c>
      <c r="AB1" s="321" t="s">
        <v>189</v>
      </c>
      <c r="AC1" s="318" t="s">
        <v>197</v>
      </c>
      <c r="AD1" s="318" t="s">
        <v>191</v>
      </c>
      <c r="AE1" s="318" t="s">
        <v>192</v>
      </c>
      <c r="AF1" s="318" t="s">
        <v>193</v>
      </c>
      <c r="AG1" s="318" t="s">
        <v>194</v>
      </c>
      <c r="AH1" s="323" t="s">
        <v>191</v>
      </c>
      <c r="AI1" s="323" t="s">
        <v>71</v>
      </c>
      <c r="AJ1" s="323" t="s">
        <v>195</v>
      </c>
      <c r="AK1" s="323" t="s">
        <v>33</v>
      </c>
      <c r="AL1" s="323" t="s">
        <v>196</v>
      </c>
      <c r="AM1" s="323" t="s">
        <v>189</v>
      </c>
      <c r="AN1" s="318" t="s">
        <v>198</v>
      </c>
      <c r="AO1" s="318" t="s">
        <v>191</v>
      </c>
      <c r="AP1" s="318" t="s">
        <v>192</v>
      </c>
      <c r="AQ1" s="318" t="s">
        <v>193</v>
      </c>
      <c r="AR1" s="318" t="s">
        <v>194</v>
      </c>
      <c r="AS1" s="323" t="s">
        <v>191</v>
      </c>
      <c r="AT1" s="323" t="s">
        <v>71</v>
      </c>
      <c r="AU1" s="323" t="s">
        <v>195</v>
      </c>
      <c r="AV1" s="323" t="s">
        <v>33</v>
      </c>
      <c r="AW1" s="323" t="s">
        <v>196</v>
      </c>
      <c r="AX1" s="323" t="s">
        <v>189</v>
      </c>
      <c r="AY1" s="318" t="s">
        <v>198</v>
      </c>
      <c r="AZ1" s="318" t="s">
        <v>191</v>
      </c>
      <c r="BA1" s="318" t="s">
        <v>192</v>
      </c>
      <c r="BB1" s="318" t="s">
        <v>193</v>
      </c>
      <c r="BC1" s="318" t="s">
        <v>194</v>
      </c>
      <c r="BD1" s="323" t="s">
        <v>191</v>
      </c>
      <c r="BE1" s="323" t="s">
        <v>71</v>
      </c>
      <c r="BF1" s="323" t="s">
        <v>195</v>
      </c>
      <c r="BG1" s="323" t="s">
        <v>33</v>
      </c>
      <c r="BH1" s="323" t="s">
        <v>196</v>
      </c>
      <c r="BI1" s="323" t="s">
        <v>189</v>
      </c>
      <c r="BJ1" s="318" t="s">
        <v>198</v>
      </c>
      <c r="BK1" s="318" t="s">
        <v>191</v>
      </c>
      <c r="BL1" s="318" t="s">
        <v>192</v>
      </c>
      <c r="BM1" s="318" t="s">
        <v>193</v>
      </c>
      <c r="BN1" s="318" t="s">
        <v>194</v>
      </c>
      <c r="BO1" s="323" t="s">
        <v>191</v>
      </c>
      <c r="BP1" s="323" t="s">
        <v>71</v>
      </c>
      <c r="BQ1" s="323" t="s">
        <v>195</v>
      </c>
      <c r="BR1" s="323" t="s">
        <v>33</v>
      </c>
      <c r="BS1" s="323" t="s">
        <v>196</v>
      </c>
      <c r="BT1" s="323" t="s">
        <v>189</v>
      </c>
      <c r="BU1" s="318" t="s">
        <v>198</v>
      </c>
    </row>
    <row r="2" ht="13.2" spans="1:73">
      <c r="A2" s="324" t="s">
        <v>2611</v>
      </c>
      <c r="B2" s="12" t="s">
        <v>2612</v>
      </c>
      <c r="C2" s="325" t="s">
        <v>2613</v>
      </c>
      <c r="D2" s="250" t="s">
        <v>201</v>
      </c>
      <c r="E2" s="325" t="s">
        <v>206</v>
      </c>
      <c r="F2" s="50" t="s">
        <v>227</v>
      </c>
      <c r="G2" s="325" t="s">
        <v>2614</v>
      </c>
      <c r="H2" s="12" t="s">
        <v>2615</v>
      </c>
      <c r="I2" s="12" t="s">
        <v>220</v>
      </c>
      <c r="J2" s="12" t="s">
        <v>2616</v>
      </c>
      <c r="K2" s="12" t="s">
        <v>2617</v>
      </c>
      <c r="L2" s="50" t="s">
        <v>2618</v>
      </c>
      <c r="M2" s="50"/>
      <c r="N2" s="326">
        <v>46051</v>
      </c>
      <c r="O2" s="327" t="s">
        <v>384</v>
      </c>
      <c r="P2" s="328">
        <v>16.8</v>
      </c>
      <c r="Q2" s="329">
        <v>0</v>
      </c>
      <c r="S2" s="282">
        <v>17.25</v>
      </c>
      <c r="U2" s="330">
        <v>46032</v>
      </c>
      <c r="V2" s="331">
        <v>46038</v>
      </c>
      <c r="W2" s="329">
        <v>17.25</v>
      </c>
      <c r="X2" s="332" t="s">
        <v>23</v>
      </c>
      <c r="Y2" s="333">
        <v>120476</v>
      </c>
      <c r="Z2" s="334"/>
      <c r="AA2" s="332"/>
      <c r="AB2" s="334">
        <f>S2+T2-W2-Z2</f>
        <v>0</v>
      </c>
      <c r="AC2" s="250" t="s">
        <v>213</v>
      </c>
      <c r="AD2" s="282">
        <v>20.54</v>
      </c>
      <c r="AF2" s="330">
        <v>46063</v>
      </c>
      <c r="AG2" s="251">
        <v>46067</v>
      </c>
      <c r="AH2" s="335">
        <v>20.54</v>
      </c>
      <c r="AI2" s="336" t="s">
        <v>23</v>
      </c>
      <c r="AJ2" s="337" t="s">
        <v>2619</v>
      </c>
      <c r="AK2" s="338"/>
      <c r="AL2" s="339"/>
      <c r="AM2" s="338">
        <f t="shared" ref="AM2:AM150" si="0">(AB2+AD2+AE2)-(AH2+AK2)</f>
        <v>0</v>
      </c>
      <c r="AN2" s="340" t="s">
        <v>213</v>
      </c>
      <c r="AO2" s="282">
        <v>20.54</v>
      </c>
      <c r="AQ2" s="330">
        <v>46091</v>
      </c>
      <c r="AR2" s="340" t="s">
        <v>723</v>
      </c>
      <c r="AS2" s="335">
        <v>20.54</v>
      </c>
      <c r="AT2" s="337" t="s">
        <v>23</v>
      </c>
      <c r="AU2" s="337" t="s">
        <v>2620</v>
      </c>
      <c r="AV2" s="335"/>
      <c r="AW2" s="337"/>
      <c r="AX2" s="335">
        <f t="shared" ref="AX2:AX174" si="1">(AM2+AO2+AP2)-(AS2+AV2)</f>
        <v>0</v>
      </c>
      <c r="AY2" s="340" t="s">
        <v>213</v>
      </c>
      <c r="AZ2" s="282">
        <v>20.54</v>
      </c>
      <c r="BB2" s="330">
        <v>46122</v>
      </c>
      <c r="BC2" s="340" t="s">
        <v>2621</v>
      </c>
      <c r="BD2" s="335">
        <v>20.54</v>
      </c>
      <c r="BE2" s="337" t="s">
        <v>23</v>
      </c>
      <c r="BF2" s="337" t="s">
        <v>2622</v>
      </c>
      <c r="BG2" s="335"/>
      <c r="BH2" s="337"/>
      <c r="BI2" s="335">
        <f t="shared" ref="BI2:BI175" si="2">(AX2+AZ2+BA2)-(BD2+BG2)</f>
        <v>0</v>
      </c>
      <c r="BJ2" s="340"/>
      <c r="BK2" s="282">
        <v>20.54</v>
      </c>
      <c r="BM2" s="330">
        <v>46152</v>
      </c>
      <c r="BN2" s="340"/>
      <c r="BO2" s="335"/>
      <c r="BP2" s="337"/>
      <c r="BQ2" s="337"/>
      <c r="BR2" s="335"/>
      <c r="BS2" s="337"/>
      <c r="BT2" s="335">
        <f t="shared" ref="BT2:BT175" si="3">(BI2+BK2+BL2)-(BO2+BR2)</f>
        <v>20.54</v>
      </c>
      <c r="BU2" s="340"/>
    </row>
    <row r="3" ht="13.8" spans="1:73">
      <c r="A3" s="324" t="s">
        <v>248</v>
      </c>
      <c r="B3" s="12" t="s">
        <v>2623</v>
      </c>
      <c r="C3" s="325" t="s">
        <v>2624</v>
      </c>
      <c r="D3" s="250" t="s">
        <v>201</v>
      </c>
      <c r="E3" s="325" t="s">
        <v>226</v>
      </c>
      <c r="F3" s="50"/>
      <c r="G3" s="325" t="s">
        <v>2625</v>
      </c>
      <c r="H3" s="12" t="s">
        <v>2615</v>
      </c>
      <c r="I3" s="12" t="s">
        <v>206</v>
      </c>
      <c r="J3" s="12" t="s">
        <v>2626</v>
      </c>
      <c r="K3" s="341" t="s">
        <v>335</v>
      </c>
      <c r="L3" s="50" t="s">
        <v>2627</v>
      </c>
      <c r="M3" s="342" t="s">
        <v>2628</v>
      </c>
      <c r="N3" s="326">
        <v>44481</v>
      </c>
      <c r="O3" s="343" t="s">
        <v>210</v>
      </c>
      <c r="P3" s="12" t="s">
        <v>242</v>
      </c>
      <c r="Q3" s="329">
        <v>2.75</v>
      </c>
      <c r="S3" s="282">
        <v>17.25</v>
      </c>
      <c r="U3" s="260">
        <v>46041</v>
      </c>
      <c r="V3" s="331">
        <v>46045</v>
      </c>
      <c r="W3" s="329">
        <v>20</v>
      </c>
      <c r="X3" s="332" t="s">
        <v>23</v>
      </c>
      <c r="Y3" s="344"/>
      <c r="Z3" s="334"/>
      <c r="AA3" s="332"/>
      <c r="AB3" s="334">
        <f>Q3+S3+T3-W3-Z3</f>
        <v>0</v>
      </c>
      <c r="AC3" s="250" t="s">
        <v>213</v>
      </c>
      <c r="AD3" s="282">
        <v>17.25</v>
      </c>
      <c r="AF3" s="260">
        <v>46072</v>
      </c>
      <c r="AG3" s="251">
        <v>46080</v>
      </c>
      <c r="AH3" s="335">
        <v>20</v>
      </c>
      <c r="AI3" s="336" t="s">
        <v>23</v>
      </c>
      <c r="AJ3" s="345"/>
      <c r="AK3" s="338"/>
      <c r="AL3" s="339"/>
      <c r="AM3" s="338">
        <f t="shared" si="0"/>
        <v>-2.75</v>
      </c>
      <c r="AN3" s="340" t="s">
        <v>213</v>
      </c>
      <c r="AO3" s="282">
        <v>17.25</v>
      </c>
      <c r="AQ3" s="260">
        <v>46100</v>
      </c>
      <c r="AR3" s="340" t="s">
        <v>1463</v>
      </c>
      <c r="AS3" s="335">
        <v>20</v>
      </c>
      <c r="AT3" s="337" t="s">
        <v>23</v>
      </c>
      <c r="AU3" s="337"/>
      <c r="AV3" s="335"/>
      <c r="AW3" s="337"/>
      <c r="AX3" s="335">
        <f t="shared" si="1"/>
        <v>-5.5</v>
      </c>
      <c r="AY3" s="340" t="s">
        <v>213</v>
      </c>
      <c r="AZ3" s="282">
        <v>17.25</v>
      </c>
      <c r="BB3" s="260">
        <v>46131</v>
      </c>
      <c r="BC3" s="340"/>
      <c r="BD3" s="335"/>
      <c r="BE3" s="337"/>
      <c r="BF3" s="337"/>
      <c r="BG3" s="335"/>
      <c r="BH3" s="337"/>
      <c r="BI3" s="335">
        <f t="shared" si="2"/>
        <v>11.75</v>
      </c>
      <c r="BJ3" s="340"/>
      <c r="BK3" s="282">
        <v>17.25</v>
      </c>
      <c r="BM3" s="260">
        <v>46161</v>
      </c>
      <c r="BN3" s="340"/>
      <c r="BO3" s="335"/>
      <c r="BP3" s="337"/>
      <c r="BQ3" s="337"/>
      <c r="BR3" s="335"/>
      <c r="BS3" s="337"/>
      <c r="BT3" s="335">
        <f t="shared" si="3"/>
        <v>29</v>
      </c>
      <c r="BU3" s="340"/>
    </row>
    <row r="4" ht="13.2" spans="1:73">
      <c r="A4" s="346" t="s">
        <v>278</v>
      </c>
      <c r="B4" s="347" t="s">
        <v>2629</v>
      </c>
      <c r="C4" s="325" t="s">
        <v>2630</v>
      </c>
      <c r="D4" s="250" t="s">
        <v>251</v>
      </c>
      <c r="E4" s="50"/>
      <c r="F4" s="50"/>
      <c r="G4" s="325" t="s">
        <v>2631</v>
      </c>
      <c r="H4" s="12" t="s">
        <v>2615</v>
      </c>
      <c r="I4" s="12" t="s">
        <v>220</v>
      </c>
      <c r="J4" s="12" t="s">
        <v>2632</v>
      </c>
      <c r="K4" s="12" t="s">
        <v>2633</v>
      </c>
      <c r="L4" s="50" t="s">
        <v>2634</v>
      </c>
      <c r="M4" s="50"/>
      <c r="N4" s="348">
        <v>45184</v>
      </c>
      <c r="O4" s="327" t="s">
        <v>232</v>
      </c>
      <c r="P4" s="12" t="s">
        <v>242</v>
      </c>
      <c r="Q4" s="329">
        <v>0</v>
      </c>
      <c r="U4" s="349"/>
      <c r="V4" s="350"/>
      <c r="W4" s="334"/>
      <c r="X4" s="332"/>
      <c r="Y4" s="344"/>
      <c r="Z4" s="334"/>
      <c r="AA4" s="332"/>
      <c r="AB4" s="334">
        <f t="shared" ref="AB4:AB17" si="4">S4+T4-W4-Z4</f>
        <v>0</v>
      </c>
      <c r="AC4" s="250" t="s">
        <v>213</v>
      </c>
      <c r="AF4" s="349"/>
      <c r="AH4" s="338"/>
      <c r="AI4" s="339"/>
      <c r="AJ4" s="345"/>
      <c r="AK4" s="338"/>
      <c r="AL4" s="339"/>
      <c r="AM4" s="338">
        <f t="shared" si="0"/>
        <v>0</v>
      </c>
      <c r="AN4" s="340" t="s">
        <v>213</v>
      </c>
      <c r="AQ4" s="349"/>
      <c r="AR4" s="340"/>
      <c r="AS4" s="335"/>
      <c r="AT4" s="337"/>
      <c r="AU4" s="337"/>
      <c r="AV4" s="335"/>
      <c r="AW4" s="337"/>
      <c r="AX4" s="335">
        <f t="shared" si="1"/>
        <v>0</v>
      </c>
      <c r="AY4" s="340" t="s">
        <v>213</v>
      </c>
      <c r="BB4" s="349"/>
      <c r="BC4" s="340"/>
      <c r="BD4" s="335"/>
      <c r="BE4" s="337"/>
      <c r="BF4" s="337"/>
      <c r="BG4" s="335"/>
      <c r="BH4" s="337"/>
      <c r="BI4" s="335">
        <f t="shared" si="2"/>
        <v>0</v>
      </c>
      <c r="BJ4" s="340"/>
      <c r="BM4" s="349"/>
      <c r="BN4" s="340"/>
      <c r="BO4" s="335"/>
      <c r="BP4" s="337"/>
      <c r="BQ4" s="337"/>
      <c r="BR4" s="335"/>
      <c r="BS4" s="337"/>
      <c r="BT4" s="335">
        <f t="shared" si="3"/>
        <v>0</v>
      </c>
      <c r="BU4" s="340"/>
    </row>
    <row r="5" ht="13.2" spans="1:73">
      <c r="A5" s="351" t="s">
        <v>2635</v>
      </c>
      <c r="B5" s="12" t="s">
        <v>2636</v>
      </c>
      <c r="C5" s="352" t="s">
        <v>2637</v>
      </c>
      <c r="D5" s="250" t="s">
        <v>201</v>
      </c>
      <c r="E5" s="325" t="s">
        <v>226</v>
      </c>
      <c r="F5" s="50"/>
      <c r="G5" s="325" t="s">
        <v>2638</v>
      </c>
      <c r="H5" s="12" t="s">
        <v>2615</v>
      </c>
      <c r="I5" s="12" t="s">
        <v>220</v>
      </c>
      <c r="J5" s="12" t="s">
        <v>2639</v>
      </c>
      <c r="K5" s="12" t="s">
        <v>2640</v>
      </c>
      <c r="L5" s="50" t="s">
        <v>2641</v>
      </c>
      <c r="M5" s="50"/>
      <c r="N5" s="348">
        <v>44508</v>
      </c>
      <c r="O5" s="343" t="s">
        <v>210</v>
      </c>
      <c r="P5" s="12" t="s">
        <v>242</v>
      </c>
      <c r="Q5" s="329">
        <v>0</v>
      </c>
      <c r="S5" s="282">
        <v>23</v>
      </c>
      <c r="U5" s="260">
        <v>46041</v>
      </c>
      <c r="V5" s="331">
        <v>46043</v>
      </c>
      <c r="W5" s="329">
        <v>23</v>
      </c>
      <c r="X5" s="332" t="s">
        <v>23</v>
      </c>
      <c r="Y5" s="344"/>
      <c r="Z5" s="334"/>
      <c r="AA5" s="332"/>
      <c r="AB5" s="334">
        <f t="shared" si="4"/>
        <v>0</v>
      </c>
      <c r="AC5" s="250" t="s">
        <v>2642</v>
      </c>
      <c r="AD5" s="282">
        <v>23</v>
      </c>
      <c r="AF5" s="260">
        <v>46072</v>
      </c>
      <c r="AG5" s="251">
        <v>46072</v>
      </c>
      <c r="AH5" s="335">
        <v>23</v>
      </c>
      <c r="AI5" s="336" t="s">
        <v>23</v>
      </c>
      <c r="AJ5" s="337" t="s">
        <v>2643</v>
      </c>
      <c r="AK5" s="335"/>
      <c r="AL5" s="336"/>
      <c r="AM5" s="335">
        <f t="shared" si="0"/>
        <v>0</v>
      </c>
      <c r="AN5" s="340" t="s">
        <v>2644</v>
      </c>
      <c r="AO5" s="282">
        <v>23</v>
      </c>
      <c r="AQ5" s="260">
        <v>46100</v>
      </c>
      <c r="AR5" s="340" t="s">
        <v>723</v>
      </c>
      <c r="AS5" s="335">
        <v>23</v>
      </c>
      <c r="AT5" s="337" t="s">
        <v>23</v>
      </c>
      <c r="AU5" s="337" t="s">
        <v>2645</v>
      </c>
      <c r="AV5" s="335"/>
      <c r="AW5" s="337"/>
      <c r="AX5" s="335">
        <f t="shared" si="1"/>
        <v>0</v>
      </c>
      <c r="AY5" s="340" t="s">
        <v>2646</v>
      </c>
      <c r="AZ5" s="282">
        <v>23</v>
      </c>
      <c r="BB5" s="260">
        <v>46131</v>
      </c>
      <c r="BC5" s="340" t="s">
        <v>905</v>
      </c>
      <c r="BD5" s="335">
        <v>23</v>
      </c>
      <c r="BE5" s="337" t="s">
        <v>23</v>
      </c>
      <c r="BF5" s="337"/>
      <c r="BG5" s="335"/>
      <c r="BH5" s="337"/>
      <c r="BI5" s="335">
        <f t="shared" si="2"/>
        <v>0</v>
      </c>
      <c r="BJ5" s="340" t="s">
        <v>2647</v>
      </c>
      <c r="BK5" s="282">
        <v>23</v>
      </c>
      <c r="BM5" s="260">
        <v>46161</v>
      </c>
      <c r="BN5" s="340"/>
      <c r="BO5" s="335"/>
      <c r="BP5" s="337"/>
      <c r="BQ5" s="337"/>
      <c r="BR5" s="335"/>
      <c r="BS5" s="337"/>
      <c r="BT5" s="335">
        <f t="shared" si="3"/>
        <v>23</v>
      </c>
      <c r="BU5" s="340"/>
    </row>
    <row r="6" ht="13.2" spans="1:73">
      <c r="A6" s="324" t="s">
        <v>2648</v>
      </c>
      <c r="B6" s="7" t="s">
        <v>2649</v>
      </c>
      <c r="C6" s="325" t="s">
        <v>2650</v>
      </c>
      <c r="D6" s="250" t="s">
        <v>988</v>
      </c>
      <c r="E6" s="325" t="s">
        <v>202</v>
      </c>
      <c r="F6" s="50"/>
      <c r="G6" s="325" t="s">
        <v>2651</v>
      </c>
      <c r="H6" s="12" t="s">
        <v>2615</v>
      </c>
      <c r="I6" s="12" t="s">
        <v>220</v>
      </c>
      <c r="J6" s="12" t="s">
        <v>2652</v>
      </c>
      <c r="K6" s="12" t="s">
        <v>2653</v>
      </c>
      <c r="L6" s="50" t="s">
        <v>2654</v>
      </c>
      <c r="M6" s="342" t="s">
        <v>2655</v>
      </c>
      <c r="N6" s="348">
        <v>44508</v>
      </c>
      <c r="O6" s="343" t="s">
        <v>210</v>
      </c>
      <c r="P6" s="12" t="s">
        <v>242</v>
      </c>
      <c r="Q6" s="329">
        <v>0</v>
      </c>
      <c r="S6" s="282">
        <v>0</v>
      </c>
      <c r="U6" s="260">
        <v>46038</v>
      </c>
      <c r="V6" s="350"/>
      <c r="W6" s="334"/>
      <c r="X6" s="332"/>
      <c r="Y6" s="344"/>
      <c r="Z6" s="334"/>
      <c r="AA6" s="332"/>
      <c r="AB6" s="334">
        <f t="shared" si="4"/>
        <v>0</v>
      </c>
      <c r="AC6" s="250" t="s">
        <v>213</v>
      </c>
      <c r="AD6" s="282">
        <v>0</v>
      </c>
      <c r="AF6" s="260">
        <v>46069</v>
      </c>
      <c r="AH6" s="338"/>
      <c r="AI6" s="339"/>
      <c r="AJ6" s="345"/>
      <c r="AK6" s="338"/>
      <c r="AL6" s="339"/>
      <c r="AM6" s="338">
        <f t="shared" si="0"/>
        <v>0</v>
      </c>
      <c r="AN6" s="340" t="s">
        <v>213</v>
      </c>
      <c r="AO6" s="282">
        <v>0</v>
      </c>
      <c r="AQ6" s="260">
        <v>46097</v>
      </c>
      <c r="AR6" s="340"/>
      <c r="AS6" s="335"/>
      <c r="AT6" s="337"/>
      <c r="AU6" s="337"/>
      <c r="AV6" s="335"/>
      <c r="AW6" s="337"/>
      <c r="AX6" s="335">
        <f t="shared" si="1"/>
        <v>0</v>
      </c>
      <c r="AY6" s="340" t="s">
        <v>213</v>
      </c>
      <c r="AZ6" s="282">
        <v>0</v>
      </c>
      <c r="BB6" s="260">
        <v>46128</v>
      </c>
      <c r="BC6" s="340"/>
      <c r="BD6" s="335"/>
      <c r="BE6" s="337"/>
      <c r="BF6" s="337"/>
      <c r="BG6" s="335"/>
      <c r="BH6" s="337"/>
      <c r="BI6" s="335">
        <f t="shared" si="2"/>
        <v>0</v>
      </c>
      <c r="BJ6" s="340"/>
      <c r="BK6" s="282">
        <v>0</v>
      </c>
      <c r="BM6" s="260">
        <v>46158</v>
      </c>
      <c r="BN6" s="340"/>
      <c r="BO6" s="335"/>
      <c r="BP6" s="337"/>
      <c r="BQ6" s="337"/>
      <c r="BR6" s="335"/>
      <c r="BS6" s="337"/>
      <c r="BT6" s="335">
        <f t="shared" si="3"/>
        <v>0</v>
      </c>
      <c r="BU6" s="340"/>
    </row>
    <row r="7" ht="13.2" spans="1:73">
      <c r="A7" s="324" t="s">
        <v>300</v>
      </c>
      <c r="B7" s="12" t="s">
        <v>2656</v>
      </c>
      <c r="C7" s="325" t="s">
        <v>2657</v>
      </c>
      <c r="D7" s="250" t="s">
        <v>201</v>
      </c>
      <c r="E7" s="325" t="s">
        <v>202</v>
      </c>
      <c r="F7" s="50"/>
      <c r="G7" s="325" t="s">
        <v>2658</v>
      </c>
      <c r="H7" s="12" t="s">
        <v>2615</v>
      </c>
      <c r="I7" s="12" t="s">
        <v>206</v>
      </c>
      <c r="J7" s="12" t="s">
        <v>2659</v>
      </c>
      <c r="K7" s="12" t="s">
        <v>2660</v>
      </c>
      <c r="L7" s="50" t="s">
        <v>2661</v>
      </c>
      <c r="M7" s="50"/>
      <c r="N7" s="326">
        <v>44513</v>
      </c>
      <c r="O7" s="343" t="s">
        <v>210</v>
      </c>
      <c r="P7" s="12" t="s">
        <v>242</v>
      </c>
      <c r="Q7" s="329">
        <v>0</v>
      </c>
      <c r="S7" s="282">
        <v>23</v>
      </c>
      <c r="U7" s="260">
        <v>46041</v>
      </c>
      <c r="V7" s="331">
        <v>46049</v>
      </c>
      <c r="W7" s="329">
        <v>23</v>
      </c>
      <c r="X7" s="332" t="s">
        <v>35</v>
      </c>
      <c r="Y7" s="344"/>
      <c r="Z7" s="334"/>
      <c r="AA7" s="332"/>
      <c r="AB7" s="334">
        <f t="shared" si="4"/>
        <v>0</v>
      </c>
      <c r="AC7" s="250" t="s">
        <v>2662</v>
      </c>
      <c r="AD7" s="282">
        <v>23</v>
      </c>
      <c r="AF7" s="260">
        <v>46072</v>
      </c>
      <c r="AG7" s="251">
        <v>46076</v>
      </c>
      <c r="AH7" s="335">
        <v>23</v>
      </c>
      <c r="AI7" s="336" t="s">
        <v>35</v>
      </c>
      <c r="AJ7" s="337"/>
      <c r="AK7" s="335"/>
      <c r="AL7" s="336"/>
      <c r="AM7" s="335">
        <f t="shared" si="0"/>
        <v>0</v>
      </c>
      <c r="AN7" s="340" t="s">
        <v>2663</v>
      </c>
      <c r="AO7" s="282">
        <v>23</v>
      </c>
      <c r="AQ7" s="260">
        <v>46100</v>
      </c>
      <c r="AR7" s="340" t="s">
        <v>386</v>
      </c>
      <c r="AS7" s="335">
        <v>23</v>
      </c>
      <c r="AT7" s="337" t="s">
        <v>35</v>
      </c>
      <c r="AU7" s="337"/>
      <c r="AV7" s="335"/>
      <c r="AW7" s="337"/>
      <c r="AX7" s="335">
        <f t="shared" si="1"/>
        <v>0</v>
      </c>
      <c r="AY7" s="340" t="s">
        <v>2664</v>
      </c>
      <c r="AZ7" s="282">
        <v>23</v>
      </c>
      <c r="BB7" s="260">
        <v>46131</v>
      </c>
      <c r="BC7" s="340" t="s">
        <v>2665</v>
      </c>
      <c r="BD7" s="335">
        <v>23</v>
      </c>
      <c r="BE7" s="337" t="s">
        <v>35</v>
      </c>
      <c r="BF7" s="337"/>
      <c r="BG7" s="335"/>
      <c r="BH7" s="337"/>
      <c r="BI7" s="335">
        <f t="shared" si="2"/>
        <v>0</v>
      </c>
      <c r="BJ7" s="340" t="s">
        <v>2666</v>
      </c>
      <c r="BK7" s="282">
        <v>23</v>
      </c>
      <c r="BM7" s="260">
        <v>46161</v>
      </c>
      <c r="BN7" s="340"/>
      <c r="BO7" s="335"/>
      <c r="BP7" s="337"/>
      <c r="BQ7" s="337"/>
      <c r="BR7" s="335"/>
      <c r="BS7" s="337"/>
      <c r="BT7" s="335">
        <f t="shared" si="3"/>
        <v>23</v>
      </c>
      <c r="BU7" s="340"/>
    </row>
    <row r="8" ht="13.2" spans="1:73">
      <c r="A8" s="324" t="s">
        <v>310</v>
      </c>
      <c r="B8" s="7" t="s">
        <v>2667</v>
      </c>
      <c r="C8" s="352" t="s">
        <v>2668</v>
      </c>
      <c r="D8" s="250" t="s">
        <v>201</v>
      </c>
      <c r="E8" s="352" t="s">
        <v>226</v>
      </c>
      <c r="F8" s="222"/>
      <c r="G8" s="352" t="s">
        <v>2669</v>
      </c>
      <c r="H8" s="7" t="s">
        <v>2615</v>
      </c>
      <c r="I8" s="7" t="s">
        <v>206</v>
      </c>
      <c r="J8" s="7" t="s">
        <v>2670</v>
      </c>
      <c r="K8" s="7" t="s">
        <v>2671</v>
      </c>
      <c r="L8" s="222" t="s">
        <v>2672</v>
      </c>
      <c r="M8" s="222"/>
      <c r="N8" s="54">
        <v>46091</v>
      </c>
      <c r="O8" s="327" t="s">
        <v>232</v>
      </c>
      <c r="P8" s="7" t="s">
        <v>242</v>
      </c>
      <c r="Q8" s="329">
        <v>0</v>
      </c>
      <c r="S8" s="282">
        <v>17.25</v>
      </c>
      <c r="U8" s="260">
        <v>46036</v>
      </c>
      <c r="V8" s="350" t="s">
        <v>2673</v>
      </c>
      <c r="W8" s="329">
        <v>17.25</v>
      </c>
      <c r="X8" s="332" t="s">
        <v>23</v>
      </c>
      <c r="Y8" s="344"/>
      <c r="Z8" s="334"/>
      <c r="AA8" s="332"/>
      <c r="AB8" s="334">
        <f t="shared" si="4"/>
        <v>0</v>
      </c>
      <c r="AC8" s="250" t="s">
        <v>213</v>
      </c>
      <c r="AD8" s="282">
        <v>17.25</v>
      </c>
      <c r="AF8" s="260">
        <v>46067</v>
      </c>
      <c r="AG8" s="251">
        <v>46058</v>
      </c>
      <c r="AH8" s="335">
        <v>17.25</v>
      </c>
      <c r="AI8" s="336" t="s">
        <v>23</v>
      </c>
      <c r="AJ8" s="345"/>
      <c r="AK8" s="338"/>
      <c r="AL8" s="339"/>
      <c r="AM8" s="338">
        <f t="shared" si="0"/>
        <v>0</v>
      </c>
      <c r="AN8" s="340" t="s">
        <v>213</v>
      </c>
      <c r="AO8" s="282">
        <v>17.25</v>
      </c>
      <c r="AQ8" s="260">
        <v>46095</v>
      </c>
      <c r="AR8" s="340" t="s">
        <v>680</v>
      </c>
      <c r="AS8" s="335">
        <v>17.25</v>
      </c>
      <c r="AT8" s="337" t="s">
        <v>35</v>
      </c>
      <c r="AU8" s="337"/>
      <c r="AV8" s="335"/>
      <c r="AW8" s="337"/>
      <c r="AX8" s="335">
        <f t="shared" si="1"/>
        <v>0</v>
      </c>
      <c r="AY8" s="340" t="s">
        <v>213</v>
      </c>
      <c r="AZ8" s="282">
        <v>17.25</v>
      </c>
      <c r="BB8" s="260">
        <v>46126</v>
      </c>
      <c r="BC8" s="340" t="s">
        <v>795</v>
      </c>
      <c r="BD8" s="335">
        <v>17.25</v>
      </c>
      <c r="BE8" s="337" t="s">
        <v>23</v>
      </c>
      <c r="BF8" s="337"/>
      <c r="BG8" s="335"/>
      <c r="BH8" s="337"/>
      <c r="BI8" s="335">
        <f t="shared" si="2"/>
        <v>0</v>
      </c>
      <c r="BJ8" s="340"/>
      <c r="BK8" s="282">
        <v>17.25</v>
      </c>
      <c r="BM8" s="260">
        <v>46156</v>
      </c>
      <c r="BN8" s="340"/>
      <c r="BO8" s="335"/>
      <c r="BP8" s="337"/>
      <c r="BQ8" s="337"/>
      <c r="BR8" s="335"/>
      <c r="BS8" s="337"/>
      <c r="BT8" s="335">
        <f t="shared" si="3"/>
        <v>17.25</v>
      </c>
      <c r="BU8" s="340"/>
    </row>
    <row r="9" ht="13.2" spans="1:73">
      <c r="A9" s="353" t="s">
        <v>323</v>
      </c>
      <c r="B9" s="7" t="s">
        <v>2674</v>
      </c>
      <c r="C9" s="352" t="s">
        <v>2675</v>
      </c>
      <c r="D9" s="250" t="s">
        <v>201</v>
      </c>
      <c r="E9" s="352" t="s">
        <v>226</v>
      </c>
      <c r="F9" s="222"/>
      <c r="G9" s="352" t="s">
        <v>2676</v>
      </c>
      <c r="H9" s="7" t="s">
        <v>2615</v>
      </c>
      <c r="I9" s="7" t="s">
        <v>206</v>
      </c>
      <c r="J9" s="7" t="s">
        <v>2677</v>
      </c>
      <c r="K9" s="7" t="s">
        <v>2678</v>
      </c>
      <c r="L9" s="222" t="s">
        <v>2679</v>
      </c>
      <c r="M9" s="354" t="s">
        <v>2680</v>
      </c>
      <c r="N9" s="54">
        <v>45783</v>
      </c>
      <c r="O9" s="327" t="s">
        <v>232</v>
      </c>
      <c r="P9" s="7" t="s">
        <v>242</v>
      </c>
      <c r="Q9" s="329">
        <v>0</v>
      </c>
      <c r="S9" s="282">
        <v>17.25</v>
      </c>
      <c r="T9" s="282">
        <v>4</v>
      </c>
      <c r="U9" s="260">
        <v>46041</v>
      </c>
      <c r="V9" s="331">
        <v>46045</v>
      </c>
      <c r="W9" s="329">
        <v>17.25</v>
      </c>
      <c r="X9" s="332" t="s">
        <v>23</v>
      </c>
      <c r="Y9" s="344"/>
      <c r="Z9" s="329">
        <v>4</v>
      </c>
      <c r="AA9" s="332" t="s">
        <v>23</v>
      </c>
      <c r="AB9" s="334">
        <f t="shared" si="4"/>
        <v>0</v>
      </c>
      <c r="AC9" s="250" t="s">
        <v>213</v>
      </c>
      <c r="AD9" s="282">
        <v>17.25</v>
      </c>
      <c r="AE9" s="282">
        <v>4</v>
      </c>
      <c r="AF9" s="260">
        <v>46072</v>
      </c>
      <c r="AG9" s="251">
        <v>46076</v>
      </c>
      <c r="AH9" s="335">
        <v>17.25</v>
      </c>
      <c r="AI9" s="336" t="s">
        <v>35</v>
      </c>
      <c r="AJ9" s="345"/>
      <c r="AK9" s="335">
        <v>4</v>
      </c>
      <c r="AL9" s="336" t="s">
        <v>35</v>
      </c>
      <c r="AM9" s="338">
        <f t="shared" si="0"/>
        <v>0</v>
      </c>
      <c r="AN9" s="340" t="s">
        <v>213</v>
      </c>
      <c r="AO9" s="282">
        <v>17.25</v>
      </c>
      <c r="AP9" s="282">
        <v>4</v>
      </c>
      <c r="AQ9" s="260">
        <v>46100</v>
      </c>
      <c r="AR9" s="340" t="s">
        <v>2681</v>
      </c>
      <c r="AS9" s="335">
        <v>17.25</v>
      </c>
      <c r="AT9" s="337" t="s">
        <v>23</v>
      </c>
      <c r="AU9" s="337"/>
      <c r="AV9" s="335">
        <v>4</v>
      </c>
      <c r="AW9" s="337" t="s">
        <v>23</v>
      </c>
      <c r="AX9" s="335">
        <f t="shared" si="1"/>
        <v>0</v>
      </c>
      <c r="AY9" s="340" t="s">
        <v>213</v>
      </c>
      <c r="AZ9" s="282">
        <v>17.25</v>
      </c>
      <c r="BA9" s="282">
        <v>4</v>
      </c>
      <c r="BB9" s="260">
        <v>46131</v>
      </c>
      <c r="BC9" s="340" t="s">
        <v>510</v>
      </c>
      <c r="BD9" s="335">
        <v>17.25</v>
      </c>
      <c r="BE9" s="337" t="s">
        <v>35</v>
      </c>
      <c r="BF9" s="337"/>
      <c r="BG9" s="335">
        <v>4</v>
      </c>
      <c r="BH9" s="337" t="s">
        <v>35</v>
      </c>
      <c r="BI9" s="335">
        <f t="shared" si="2"/>
        <v>0</v>
      </c>
      <c r="BJ9" s="340"/>
      <c r="BK9" s="282">
        <v>17.25</v>
      </c>
      <c r="BL9" s="282">
        <v>4</v>
      </c>
      <c r="BM9" s="260">
        <v>46161</v>
      </c>
      <c r="BN9" s="340"/>
      <c r="BO9" s="335"/>
      <c r="BP9" s="337"/>
      <c r="BQ9" s="337"/>
      <c r="BR9" s="335"/>
      <c r="BS9" s="337"/>
      <c r="BT9" s="335">
        <f t="shared" si="3"/>
        <v>21.25</v>
      </c>
      <c r="BU9" s="340"/>
    </row>
    <row r="10" ht="13.2" spans="1:73">
      <c r="A10" s="324" t="s">
        <v>331</v>
      </c>
      <c r="B10" s="347" t="s">
        <v>2682</v>
      </c>
      <c r="C10" s="352" t="s">
        <v>2683</v>
      </c>
      <c r="D10" s="250" t="s">
        <v>251</v>
      </c>
      <c r="E10" s="352" t="s">
        <v>202</v>
      </c>
      <c r="F10" s="222"/>
      <c r="G10" s="352" t="s">
        <v>2684</v>
      </c>
      <c r="H10" s="7" t="s">
        <v>2615</v>
      </c>
      <c r="I10" s="7" t="s">
        <v>220</v>
      </c>
      <c r="J10" s="7" t="s">
        <v>2685</v>
      </c>
      <c r="K10" s="7" t="s">
        <v>2686</v>
      </c>
      <c r="L10" s="222" t="s">
        <v>2687</v>
      </c>
      <c r="M10" s="222"/>
      <c r="N10" s="355">
        <v>44592</v>
      </c>
      <c r="O10" s="327" t="s">
        <v>232</v>
      </c>
      <c r="P10" s="7" t="s">
        <v>242</v>
      </c>
      <c r="Q10" s="329">
        <v>37.25</v>
      </c>
      <c r="U10" s="260"/>
      <c r="V10" s="350"/>
      <c r="W10" s="334"/>
      <c r="X10" s="332"/>
      <c r="Y10" s="344"/>
      <c r="Z10" s="334"/>
      <c r="AA10" s="332"/>
      <c r="AB10" s="334">
        <f t="shared" si="4"/>
        <v>0</v>
      </c>
      <c r="AC10" s="250" t="s">
        <v>213</v>
      </c>
      <c r="AF10" s="260"/>
      <c r="AH10" s="338"/>
      <c r="AI10" s="339"/>
      <c r="AJ10" s="345"/>
      <c r="AK10" s="338"/>
      <c r="AL10" s="339"/>
      <c r="AM10" s="338">
        <f t="shared" si="0"/>
        <v>0</v>
      </c>
      <c r="AN10" s="340" t="s">
        <v>213</v>
      </c>
      <c r="AQ10" s="260"/>
      <c r="AR10" s="340"/>
      <c r="AS10" s="335"/>
      <c r="AT10" s="337"/>
      <c r="AU10" s="337"/>
      <c r="AV10" s="335"/>
      <c r="AW10" s="337"/>
      <c r="AX10" s="335">
        <f t="shared" si="1"/>
        <v>0</v>
      </c>
      <c r="AY10" s="340" t="s">
        <v>213</v>
      </c>
      <c r="BB10" s="260"/>
      <c r="BC10" s="340"/>
      <c r="BD10" s="335"/>
      <c r="BE10" s="337"/>
      <c r="BF10" s="337"/>
      <c r="BG10" s="335"/>
      <c r="BH10" s="337"/>
      <c r="BI10" s="335">
        <f t="shared" si="2"/>
        <v>0</v>
      </c>
      <c r="BJ10" s="340"/>
      <c r="BM10" s="260"/>
      <c r="BN10" s="340"/>
      <c r="BO10" s="335"/>
      <c r="BP10" s="337"/>
      <c r="BQ10" s="337"/>
      <c r="BR10" s="335"/>
      <c r="BS10" s="337"/>
      <c r="BT10" s="335">
        <f t="shared" si="3"/>
        <v>0</v>
      </c>
      <c r="BU10" s="340"/>
    </row>
    <row r="11" ht="13.8" spans="1:73">
      <c r="A11" s="324" t="s">
        <v>2688</v>
      </c>
      <c r="B11" s="347" t="s">
        <v>2689</v>
      </c>
      <c r="C11" s="325" t="s">
        <v>2690</v>
      </c>
      <c r="D11" s="250" t="s">
        <v>251</v>
      </c>
      <c r="E11" s="325" t="s">
        <v>226</v>
      </c>
      <c r="F11" s="50"/>
      <c r="G11" s="325" t="s">
        <v>2691</v>
      </c>
      <c r="H11" s="12" t="s">
        <v>2615</v>
      </c>
      <c r="I11" s="12" t="s">
        <v>206</v>
      </c>
      <c r="J11" s="12" t="s">
        <v>2692</v>
      </c>
      <c r="K11" s="341" t="s">
        <v>335</v>
      </c>
      <c r="L11" s="50" t="s">
        <v>2693</v>
      </c>
      <c r="M11" s="50"/>
      <c r="N11" s="326">
        <v>44516</v>
      </c>
      <c r="O11" s="343" t="s">
        <v>210</v>
      </c>
      <c r="P11" s="12" t="s">
        <v>242</v>
      </c>
      <c r="Q11" s="329">
        <v>0</v>
      </c>
      <c r="U11" s="349"/>
      <c r="V11" s="350"/>
      <c r="W11" s="334"/>
      <c r="X11" s="332"/>
      <c r="Y11" s="344"/>
      <c r="Z11" s="334"/>
      <c r="AA11" s="332"/>
      <c r="AB11" s="334">
        <f t="shared" si="4"/>
        <v>0</v>
      </c>
      <c r="AC11" s="250" t="s">
        <v>213</v>
      </c>
      <c r="AF11" s="349"/>
      <c r="AH11" s="338"/>
      <c r="AI11" s="339"/>
      <c r="AJ11" s="345"/>
      <c r="AK11" s="338"/>
      <c r="AL11" s="339"/>
      <c r="AM11" s="338">
        <f t="shared" si="0"/>
        <v>0</v>
      </c>
      <c r="AN11" s="340" t="s">
        <v>213</v>
      </c>
      <c r="AQ11" s="349"/>
      <c r="AR11" s="340"/>
      <c r="AS11" s="335"/>
      <c r="AT11" s="337"/>
      <c r="AU11" s="337"/>
      <c r="AV11" s="335"/>
      <c r="AW11" s="337"/>
      <c r="AX11" s="335">
        <f t="shared" si="1"/>
        <v>0</v>
      </c>
      <c r="AY11" s="340" t="s">
        <v>213</v>
      </c>
      <c r="BB11" s="349"/>
      <c r="BC11" s="340"/>
      <c r="BD11" s="335"/>
      <c r="BE11" s="337"/>
      <c r="BF11" s="337"/>
      <c r="BG11" s="335"/>
      <c r="BH11" s="337"/>
      <c r="BI11" s="335">
        <f t="shared" si="2"/>
        <v>0</v>
      </c>
      <c r="BJ11" s="340"/>
      <c r="BM11" s="349"/>
      <c r="BN11" s="340"/>
      <c r="BO11" s="335"/>
      <c r="BP11" s="337"/>
      <c r="BQ11" s="337"/>
      <c r="BR11" s="335"/>
      <c r="BS11" s="337"/>
      <c r="BT11" s="335">
        <f t="shared" si="3"/>
        <v>0</v>
      </c>
      <c r="BU11" s="340"/>
    </row>
    <row r="12" ht="13.2" spans="1:73">
      <c r="A12" s="324" t="s">
        <v>2694</v>
      </c>
      <c r="B12" s="347" t="s">
        <v>2695</v>
      </c>
      <c r="C12" s="325" t="s">
        <v>2696</v>
      </c>
      <c r="D12" s="250" t="s">
        <v>251</v>
      </c>
      <c r="E12" s="50"/>
      <c r="F12" s="50"/>
      <c r="G12" s="325" t="s">
        <v>2697</v>
      </c>
      <c r="H12" s="12" t="s">
        <v>2615</v>
      </c>
      <c r="I12" s="12" t="s">
        <v>206</v>
      </c>
      <c r="J12" s="12" t="s">
        <v>2698</v>
      </c>
      <c r="K12" s="12" t="s">
        <v>2699</v>
      </c>
      <c r="L12" s="50" t="s">
        <v>2700</v>
      </c>
      <c r="M12" s="50"/>
      <c r="N12" s="326">
        <v>44510</v>
      </c>
      <c r="O12" s="343" t="s">
        <v>210</v>
      </c>
      <c r="P12" s="12" t="s">
        <v>242</v>
      </c>
      <c r="Q12" s="329">
        <v>0</v>
      </c>
      <c r="U12" s="349"/>
      <c r="V12" s="350"/>
      <c r="W12" s="334"/>
      <c r="X12" s="332"/>
      <c r="Y12" s="344"/>
      <c r="Z12" s="334"/>
      <c r="AA12" s="332"/>
      <c r="AB12" s="334">
        <f t="shared" si="4"/>
        <v>0</v>
      </c>
      <c r="AC12" s="250" t="s">
        <v>213</v>
      </c>
      <c r="AF12" s="349"/>
      <c r="AH12" s="338"/>
      <c r="AI12" s="339"/>
      <c r="AJ12" s="345"/>
      <c r="AK12" s="338"/>
      <c r="AL12" s="339"/>
      <c r="AM12" s="338">
        <f t="shared" si="0"/>
        <v>0</v>
      </c>
      <c r="AN12" s="340" t="s">
        <v>213</v>
      </c>
      <c r="AQ12" s="349"/>
      <c r="AR12" s="340"/>
      <c r="AS12" s="335"/>
      <c r="AT12" s="337"/>
      <c r="AU12" s="337"/>
      <c r="AV12" s="335"/>
      <c r="AW12" s="337"/>
      <c r="AX12" s="335">
        <f t="shared" si="1"/>
        <v>0</v>
      </c>
      <c r="AY12" s="340" t="s">
        <v>213</v>
      </c>
      <c r="BB12" s="349"/>
      <c r="BC12" s="340"/>
      <c r="BD12" s="335"/>
      <c r="BE12" s="337"/>
      <c r="BF12" s="337"/>
      <c r="BG12" s="335"/>
      <c r="BH12" s="337"/>
      <c r="BI12" s="335">
        <f t="shared" si="2"/>
        <v>0</v>
      </c>
      <c r="BJ12" s="340"/>
      <c r="BM12" s="349"/>
      <c r="BN12" s="340"/>
      <c r="BO12" s="335"/>
      <c r="BP12" s="337"/>
      <c r="BQ12" s="337"/>
      <c r="BR12" s="335"/>
      <c r="BS12" s="337"/>
      <c r="BT12" s="335">
        <f t="shared" si="3"/>
        <v>0</v>
      </c>
      <c r="BU12" s="340"/>
    </row>
    <row r="13" ht="13.2" spans="1:73">
      <c r="A13" s="346" t="s">
        <v>363</v>
      </c>
      <c r="B13" s="7" t="s">
        <v>2701</v>
      </c>
      <c r="C13" s="352" t="s">
        <v>2702</v>
      </c>
      <c r="D13" s="250" t="s">
        <v>201</v>
      </c>
      <c r="E13" s="352" t="s">
        <v>226</v>
      </c>
      <c r="F13" s="352" t="s">
        <v>170</v>
      </c>
      <c r="G13" s="352" t="s">
        <v>2703</v>
      </c>
      <c r="H13" s="7" t="s">
        <v>2615</v>
      </c>
      <c r="I13" s="7" t="s">
        <v>220</v>
      </c>
      <c r="J13" s="7" t="s">
        <v>2704</v>
      </c>
      <c r="K13" s="7" t="s">
        <v>2705</v>
      </c>
      <c r="L13" s="222" t="s">
        <v>2706</v>
      </c>
      <c r="M13" s="222"/>
      <c r="N13" s="54">
        <v>44888</v>
      </c>
      <c r="O13" s="327" t="s">
        <v>232</v>
      </c>
      <c r="P13" s="60">
        <v>5</v>
      </c>
      <c r="Q13" s="329">
        <v>0</v>
      </c>
      <c r="S13" s="282">
        <v>17.25</v>
      </c>
      <c r="U13" s="260">
        <v>46031</v>
      </c>
      <c r="V13" s="350" t="s">
        <v>2673</v>
      </c>
      <c r="W13" s="329">
        <v>17.25</v>
      </c>
      <c r="X13" s="332" t="s">
        <v>23</v>
      </c>
      <c r="Y13" s="344"/>
      <c r="Z13" s="334"/>
      <c r="AA13" s="332"/>
      <c r="AB13" s="334">
        <f t="shared" si="4"/>
        <v>0</v>
      </c>
      <c r="AC13" s="250" t="s">
        <v>213</v>
      </c>
      <c r="AD13" s="282">
        <v>17.25</v>
      </c>
      <c r="AF13" s="260">
        <v>46062</v>
      </c>
      <c r="AG13" s="251">
        <v>46072</v>
      </c>
      <c r="AH13" s="335">
        <v>17.25</v>
      </c>
      <c r="AI13" s="336" t="s">
        <v>23</v>
      </c>
      <c r="AJ13" s="337" t="s">
        <v>2707</v>
      </c>
      <c r="AK13" s="338"/>
      <c r="AL13" s="339"/>
      <c r="AM13" s="338">
        <f t="shared" si="0"/>
        <v>0</v>
      </c>
      <c r="AN13" s="340" t="s">
        <v>213</v>
      </c>
      <c r="AO13" s="282">
        <v>17.25</v>
      </c>
      <c r="AQ13" s="260">
        <v>46090</v>
      </c>
      <c r="AR13" s="340" t="s">
        <v>1463</v>
      </c>
      <c r="AS13" s="335">
        <v>17.25</v>
      </c>
      <c r="AT13" s="337" t="s">
        <v>23</v>
      </c>
      <c r="AU13" s="337"/>
      <c r="AV13" s="335"/>
      <c r="AW13" s="337"/>
      <c r="AX13" s="335">
        <f t="shared" si="1"/>
        <v>0</v>
      </c>
      <c r="AY13" s="340" t="s">
        <v>213</v>
      </c>
      <c r="AZ13" s="282">
        <v>17.25</v>
      </c>
      <c r="BB13" s="260">
        <v>46121</v>
      </c>
      <c r="BC13" s="340" t="s">
        <v>234</v>
      </c>
      <c r="BD13" s="335">
        <v>17.25</v>
      </c>
      <c r="BE13" s="337" t="s">
        <v>23</v>
      </c>
      <c r="BF13" s="337" t="s">
        <v>2708</v>
      </c>
      <c r="BG13" s="335"/>
      <c r="BH13" s="337"/>
      <c r="BI13" s="335">
        <f t="shared" si="2"/>
        <v>0</v>
      </c>
      <c r="BJ13" s="340"/>
      <c r="BK13" s="282">
        <v>17.25</v>
      </c>
      <c r="BM13" s="260">
        <v>46151</v>
      </c>
      <c r="BN13" s="340"/>
      <c r="BO13" s="335"/>
      <c r="BP13" s="337"/>
      <c r="BQ13" s="337"/>
      <c r="BR13" s="335"/>
      <c r="BS13" s="337"/>
      <c r="BT13" s="335">
        <f t="shared" si="3"/>
        <v>17.25</v>
      </c>
      <c r="BU13" s="340"/>
    </row>
    <row r="14" ht="13.2" spans="1:73">
      <c r="A14" s="324" t="s">
        <v>377</v>
      </c>
      <c r="B14" s="7" t="s">
        <v>2709</v>
      </c>
      <c r="C14" s="352" t="s">
        <v>2710</v>
      </c>
      <c r="D14" s="250" t="s">
        <v>201</v>
      </c>
      <c r="E14" s="352" t="s">
        <v>202</v>
      </c>
      <c r="F14" s="352" t="s">
        <v>227</v>
      </c>
      <c r="G14" s="352" t="s">
        <v>2711</v>
      </c>
      <c r="H14" s="7" t="s">
        <v>2615</v>
      </c>
      <c r="I14" s="7" t="s">
        <v>206</v>
      </c>
      <c r="J14" s="7" t="s">
        <v>2712</v>
      </c>
      <c r="K14" s="7" t="s">
        <v>2713</v>
      </c>
      <c r="L14" s="222" t="s">
        <v>2714</v>
      </c>
      <c r="M14" s="222"/>
      <c r="N14" s="54">
        <v>45567</v>
      </c>
      <c r="O14" s="327" t="s">
        <v>210</v>
      </c>
      <c r="P14" s="7" t="s">
        <v>242</v>
      </c>
      <c r="Q14" s="329">
        <v>0.4</v>
      </c>
      <c r="S14" s="282">
        <v>23</v>
      </c>
      <c r="U14" s="260">
        <v>46041</v>
      </c>
      <c r="V14" s="331">
        <v>46043</v>
      </c>
      <c r="W14" s="329">
        <v>23</v>
      </c>
      <c r="X14" s="332" t="s">
        <v>35</v>
      </c>
      <c r="Y14" s="344"/>
      <c r="Z14" s="334"/>
      <c r="AA14" s="332"/>
      <c r="AB14" s="334">
        <f t="shared" si="4"/>
        <v>0</v>
      </c>
      <c r="AC14" s="250" t="s">
        <v>2715</v>
      </c>
      <c r="AD14" s="282">
        <v>23</v>
      </c>
      <c r="AF14" s="260">
        <v>46072</v>
      </c>
      <c r="AG14" s="251">
        <v>46072</v>
      </c>
      <c r="AH14" s="335">
        <v>23</v>
      </c>
      <c r="AI14" s="336" t="s">
        <v>35</v>
      </c>
      <c r="AJ14" s="337"/>
      <c r="AK14" s="335"/>
      <c r="AL14" s="336"/>
      <c r="AM14" s="335">
        <f t="shared" si="0"/>
        <v>0</v>
      </c>
      <c r="AN14" s="340" t="s">
        <v>2716</v>
      </c>
      <c r="AO14" s="282">
        <v>23</v>
      </c>
      <c r="AQ14" s="260">
        <v>46100</v>
      </c>
      <c r="AR14" s="340" t="s">
        <v>386</v>
      </c>
      <c r="AS14" s="335">
        <v>23</v>
      </c>
      <c r="AT14" s="337" t="s">
        <v>35</v>
      </c>
      <c r="AU14" s="337"/>
      <c r="AV14" s="335"/>
      <c r="AW14" s="337"/>
      <c r="AX14" s="335">
        <f t="shared" si="1"/>
        <v>0</v>
      </c>
      <c r="AY14" s="340" t="s">
        <v>2717</v>
      </c>
      <c r="AZ14" s="282">
        <v>23</v>
      </c>
      <c r="BB14" s="260">
        <v>46131</v>
      </c>
      <c r="BC14" s="340" t="s">
        <v>223</v>
      </c>
      <c r="BD14" s="335">
        <v>23</v>
      </c>
      <c r="BE14" s="337" t="s">
        <v>35</v>
      </c>
      <c r="BF14" s="337"/>
      <c r="BG14" s="335"/>
      <c r="BH14" s="337"/>
      <c r="BI14" s="335">
        <f t="shared" si="2"/>
        <v>0</v>
      </c>
      <c r="BJ14" s="340" t="s">
        <v>2718</v>
      </c>
      <c r="BK14" s="282">
        <v>23</v>
      </c>
      <c r="BM14" s="260">
        <v>46161</v>
      </c>
      <c r="BN14" s="340"/>
      <c r="BO14" s="335"/>
      <c r="BP14" s="337"/>
      <c r="BQ14" s="337"/>
      <c r="BR14" s="335"/>
      <c r="BS14" s="337"/>
      <c r="BT14" s="335">
        <f t="shared" si="3"/>
        <v>23</v>
      </c>
      <c r="BU14" s="340"/>
    </row>
    <row r="15" ht="13.2" spans="1:73">
      <c r="A15" s="324" t="s">
        <v>387</v>
      </c>
      <c r="B15" s="12" t="s">
        <v>2719</v>
      </c>
      <c r="C15" s="325" t="s">
        <v>2720</v>
      </c>
      <c r="D15" s="250" t="s">
        <v>201</v>
      </c>
      <c r="E15" s="325" t="s">
        <v>202</v>
      </c>
      <c r="F15" s="50"/>
      <c r="G15" s="325" t="s">
        <v>2721</v>
      </c>
      <c r="H15" s="12" t="s">
        <v>2615</v>
      </c>
      <c r="I15" s="12" t="s">
        <v>206</v>
      </c>
      <c r="J15" s="12" t="s">
        <v>2670</v>
      </c>
      <c r="K15" s="12" t="s">
        <v>2722</v>
      </c>
      <c r="L15" s="50" t="s">
        <v>2723</v>
      </c>
      <c r="M15" s="50"/>
      <c r="N15" s="348">
        <v>44534</v>
      </c>
      <c r="O15" s="327" t="s">
        <v>232</v>
      </c>
      <c r="P15" s="12" t="s">
        <v>242</v>
      </c>
      <c r="Q15" s="329">
        <v>0</v>
      </c>
      <c r="S15" s="282">
        <v>17.25</v>
      </c>
      <c r="U15" s="260">
        <v>46046</v>
      </c>
      <c r="V15" s="331">
        <v>46051</v>
      </c>
      <c r="W15" s="329">
        <v>17.25</v>
      </c>
      <c r="X15" s="332" t="s">
        <v>35</v>
      </c>
      <c r="Y15" s="344"/>
      <c r="Z15" s="334"/>
      <c r="AA15" s="332"/>
      <c r="AB15" s="334">
        <f t="shared" si="4"/>
        <v>0</v>
      </c>
      <c r="AC15" s="250" t="s">
        <v>213</v>
      </c>
      <c r="AD15" s="282">
        <v>17.25</v>
      </c>
      <c r="AF15" s="260">
        <v>46077</v>
      </c>
      <c r="AG15" s="251">
        <v>46079</v>
      </c>
      <c r="AH15" s="335">
        <v>17.25</v>
      </c>
      <c r="AI15" s="336" t="s">
        <v>35</v>
      </c>
      <c r="AJ15" s="345"/>
      <c r="AK15" s="338"/>
      <c r="AL15" s="339"/>
      <c r="AM15" s="338">
        <f t="shared" si="0"/>
        <v>0</v>
      </c>
      <c r="AN15" s="340" t="s">
        <v>213</v>
      </c>
      <c r="AO15" s="282">
        <v>17.25</v>
      </c>
      <c r="AQ15" s="260">
        <v>46105</v>
      </c>
      <c r="AR15" s="340" t="s">
        <v>1060</v>
      </c>
      <c r="AS15" s="335">
        <v>17.25</v>
      </c>
      <c r="AT15" s="337" t="s">
        <v>23</v>
      </c>
      <c r="AU15" s="337"/>
      <c r="AV15" s="335"/>
      <c r="AW15" s="337"/>
      <c r="AX15" s="335">
        <f t="shared" si="1"/>
        <v>0</v>
      </c>
      <c r="AY15" s="340" t="s">
        <v>213</v>
      </c>
      <c r="AZ15" s="282">
        <v>17.25</v>
      </c>
      <c r="BB15" s="260">
        <v>46136</v>
      </c>
      <c r="BC15" s="340" t="s">
        <v>905</v>
      </c>
      <c r="BD15" s="335">
        <v>17.25</v>
      </c>
      <c r="BE15" s="337" t="s">
        <v>35</v>
      </c>
      <c r="BF15" s="337"/>
      <c r="BG15" s="335"/>
      <c r="BH15" s="337"/>
      <c r="BI15" s="335">
        <f t="shared" si="2"/>
        <v>0</v>
      </c>
      <c r="BJ15" s="340"/>
      <c r="BK15" s="282">
        <v>17.25</v>
      </c>
      <c r="BM15" s="260">
        <v>46166</v>
      </c>
      <c r="BN15" s="340"/>
      <c r="BO15" s="335"/>
      <c r="BP15" s="337"/>
      <c r="BQ15" s="337"/>
      <c r="BR15" s="335"/>
      <c r="BS15" s="337"/>
      <c r="BT15" s="335">
        <f t="shared" si="3"/>
        <v>17.25</v>
      </c>
      <c r="BU15" s="340"/>
    </row>
    <row r="16" ht="13.2" spans="1:73">
      <c r="A16" s="346" t="s">
        <v>400</v>
      </c>
      <c r="B16" s="298" t="s">
        <v>2724</v>
      </c>
      <c r="C16" s="325" t="s">
        <v>2725</v>
      </c>
      <c r="D16" s="250" t="s">
        <v>251</v>
      </c>
      <c r="E16" s="50"/>
      <c r="F16" s="50"/>
      <c r="G16" s="325" t="s">
        <v>2726</v>
      </c>
      <c r="H16" s="12" t="s">
        <v>2615</v>
      </c>
      <c r="I16" s="12" t="s">
        <v>220</v>
      </c>
      <c r="J16" s="12" t="s">
        <v>2727</v>
      </c>
      <c r="K16" s="12" t="s">
        <v>2728</v>
      </c>
      <c r="L16" s="50" t="s">
        <v>2729</v>
      </c>
      <c r="M16" s="50"/>
      <c r="N16" s="356" t="s">
        <v>2730</v>
      </c>
      <c r="O16" s="327" t="s">
        <v>232</v>
      </c>
      <c r="P16" s="12" t="s">
        <v>242</v>
      </c>
      <c r="Q16" s="329">
        <v>0</v>
      </c>
      <c r="U16" s="349"/>
      <c r="V16" s="350"/>
      <c r="W16" s="334"/>
      <c r="X16" s="332"/>
      <c r="Y16" s="344"/>
      <c r="Z16" s="334"/>
      <c r="AA16" s="332"/>
      <c r="AB16" s="334">
        <f t="shared" si="4"/>
        <v>0</v>
      </c>
      <c r="AC16" s="250" t="s">
        <v>213</v>
      </c>
      <c r="AF16" s="349"/>
      <c r="AH16" s="338"/>
      <c r="AI16" s="339"/>
      <c r="AJ16" s="345"/>
      <c r="AK16" s="338"/>
      <c r="AL16" s="339"/>
      <c r="AM16" s="338">
        <f t="shared" si="0"/>
        <v>0</v>
      </c>
      <c r="AN16" s="340" t="s">
        <v>213</v>
      </c>
      <c r="AQ16" s="349"/>
      <c r="AR16" s="340"/>
      <c r="AS16" s="335"/>
      <c r="AT16" s="337"/>
      <c r="AU16" s="337"/>
      <c r="AV16" s="335"/>
      <c r="AW16" s="337"/>
      <c r="AX16" s="335">
        <f t="shared" si="1"/>
        <v>0</v>
      </c>
      <c r="AY16" s="340" t="s">
        <v>213</v>
      </c>
      <c r="BB16" s="349"/>
      <c r="BC16" s="340"/>
      <c r="BD16" s="335"/>
      <c r="BE16" s="337"/>
      <c r="BF16" s="337"/>
      <c r="BG16" s="335"/>
      <c r="BH16" s="337"/>
      <c r="BI16" s="335">
        <f t="shared" si="2"/>
        <v>0</v>
      </c>
      <c r="BJ16" s="340"/>
      <c r="BM16" s="349"/>
      <c r="BN16" s="340"/>
      <c r="BO16" s="335"/>
      <c r="BP16" s="337"/>
      <c r="BQ16" s="337"/>
      <c r="BR16" s="335"/>
      <c r="BS16" s="337"/>
      <c r="BT16" s="335">
        <f t="shared" si="3"/>
        <v>0</v>
      </c>
      <c r="BU16" s="340"/>
    </row>
    <row r="17" ht="13.2" spans="1:73">
      <c r="A17" s="357" t="s">
        <v>2731</v>
      </c>
      <c r="B17" s="358" t="s">
        <v>2732</v>
      </c>
      <c r="C17" s="352" t="s">
        <v>2733</v>
      </c>
      <c r="D17" s="250" t="s">
        <v>201</v>
      </c>
      <c r="E17" s="352" t="s">
        <v>226</v>
      </c>
      <c r="F17" s="222"/>
      <c r="G17" s="352" t="s">
        <v>2734</v>
      </c>
      <c r="H17" s="7" t="s">
        <v>2615</v>
      </c>
      <c r="I17" s="7" t="s">
        <v>206</v>
      </c>
      <c r="J17" s="7" t="s">
        <v>2735</v>
      </c>
      <c r="K17" s="7"/>
      <c r="L17" s="222" t="s">
        <v>2736</v>
      </c>
      <c r="M17" s="222"/>
      <c r="N17" s="54">
        <v>44560</v>
      </c>
      <c r="O17" s="327" t="s">
        <v>210</v>
      </c>
      <c r="P17" s="7" t="s">
        <v>242</v>
      </c>
      <c r="Q17" s="329">
        <v>0</v>
      </c>
      <c r="S17" s="282">
        <v>25</v>
      </c>
      <c r="U17" s="260">
        <v>46041</v>
      </c>
      <c r="V17" s="331">
        <v>46048</v>
      </c>
      <c r="W17" s="329">
        <v>25</v>
      </c>
      <c r="X17" s="332" t="s">
        <v>23</v>
      </c>
      <c r="Y17" s="344"/>
      <c r="Z17" s="334"/>
      <c r="AA17" s="332"/>
      <c r="AB17" s="334">
        <f t="shared" si="4"/>
        <v>0</v>
      </c>
      <c r="AC17" s="250" t="s">
        <v>213</v>
      </c>
      <c r="AD17" s="282">
        <v>25</v>
      </c>
      <c r="AF17" s="260">
        <v>46072</v>
      </c>
      <c r="AG17" s="251">
        <v>46075</v>
      </c>
      <c r="AH17" s="335">
        <v>25</v>
      </c>
      <c r="AI17" s="336" t="s">
        <v>23</v>
      </c>
      <c r="AJ17" s="337" t="s">
        <v>2737</v>
      </c>
      <c r="AK17" s="338"/>
      <c r="AL17" s="339"/>
      <c r="AM17" s="338">
        <f t="shared" si="0"/>
        <v>0</v>
      </c>
      <c r="AN17" s="340" t="s">
        <v>2738</v>
      </c>
      <c r="AO17" s="282">
        <v>25</v>
      </c>
      <c r="AQ17" s="260">
        <v>46100</v>
      </c>
      <c r="AR17" s="340" t="s">
        <v>386</v>
      </c>
      <c r="AS17" s="335">
        <v>25</v>
      </c>
      <c r="AT17" s="337" t="s">
        <v>23</v>
      </c>
      <c r="AU17" s="337"/>
      <c r="AV17" s="335"/>
      <c r="AW17" s="337"/>
      <c r="AX17" s="335">
        <f t="shared" si="1"/>
        <v>0</v>
      </c>
      <c r="AY17" s="340" t="s">
        <v>213</v>
      </c>
      <c r="AZ17" s="282">
        <v>25</v>
      </c>
      <c r="BB17" s="260">
        <v>46131</v>
      </c>
      <c r="BC17" s="340" t="s">
        <v>905</v>
      </c>
      <c r="BD17" s="335">
        <v>25</v>
      </c>
      <c r="BE17" s="337" t="s">
        <v>23</v>
      </c>
      <c r="BF17" s="337" t="s">
        <v>2739</v>
      </c>
      <c r="BG17" s="335"/>
      <c r="BH17" s="337"/>
      <c r="BI17" s="335">
        <f t="shared" si="2"/>
        <v>0</v>
      </c>
      <c r="BJ17" s="340"/>
      <c r="BK17" s="282">
        <v>25</v>
      </c>
      <c r="BM17" s="260">
        <v>46161</v>
      </c>
      <c r="BN17" s="340"/>
      <c r="BO17" s="335"/>
      <c r="BP17" s="337"/>
      <c r="BQ17" s="337"/>
      <c r="BR17" s="335"/>
      <c r="BS17" s="337"/>
      <c r="BT17" s="335">
        <f t="shared" si="3"/>
        <v>25</v>
      </c>
      <c r="BU17" s="340"/>
    </row>
    <row r="18" ht="13.2" spans="1:73">
      <c r="A18" s="357" t="s">
        <v>2740</v>
      </c>
      <c r="B18" s="7" t="s">
        <v>2741</v>
      </c>
      <c r="C18" s="352" t="s">
        <v>2742</v>
      </c>
      <c r="D18" s="250" t="s">
        <v>201</v>
      </c>
      <c r="E18" s="359" t="s">
        <v>2743</v>
      </c>
      <c r="F18" s="352" t="s">
        <v>227</v>
      </c>
      <c r="G18" s="352" t="s">
        <v>2744</v>
      </c>
      <c r="H18" s="7" t="s">
        <v>2615</v>
      </c>
      <c r="I18" s="7" t="s">
        <v>206</v>
      </c>
      <c r="J18" s="7" t="s">
        <v>2745</v>
      </c>
      <c r="K18" s="7" t="s">
        <v>2746</v>
      </c>
      <c r="L18" s="222" t="s">
        <v>2747</v>
      </c>
      <c r="M18" s="360" t="s">
        <v>2748</v>
      </c>
      <c r="N18" s="54">
        <v>46081</v>
      </c>
      <c r="O18" s="327" t="s">
        <v>210</v>
      </c>
      <c r="P18" s="7" t="s">
        <v>242</v>
      </c>
      <c r="Q18" s="329">
        <v>-6</v>
      </c>
      <c r="S18" s="282">
        <v>23</v>
      </c>
      <c r="T18" s="282">
        <v>0</v>
      </c>
      <c r="U18" s="260">
        <v>46031</v>
      </c>
      <c r="V18" s="361">
        <v>46174</v>
      </c>
      <c r="W18" s="329">
        <v>23</v>
      </c>
      <c r="X18" s="332" t="s">
        <v>35</v>
      </c>
      <c r="Y18" s="344"/>
      <c r="Z18" s="334"/>
      <c r="AA18" s="332"/>
      <c r="AB18" s="334">
        <f>Q18+S18+T18-W18-Z18</f>
        <v>-6</v>
      </c>
      <c r="AC18" s="250" t="s">
        <v>2749</v>
      </c>
      <c r="AD18" s="282">
        <v>23</v>
      </c>
      <c r="AE18" s="282">
        <v>0</v>
      </c>
      <c r="AF18" s="260">
        <v>46062</v>
      </c>
      <c r="AG18" s="251">
        <v>46058</v>
      </c>
      <c r="AH18" s="335">
        <v>23</v>
      </c>
      <c r="AI18" s="336" t="s">
        <v>35</v>
      </c>
      <c r="AJ18" s="337"/>
      <c r="AK18" s="335"/>
      <c r="AL18" s="336"/>
      <c r="AM18" s="335">
        <f t="shared" si="0"/>
        <v>-6</v>
      </c>
      <c r="AN18" s="340" t="s">
        <v>2750</v>
      </c>
      <c r="AO18" s="282">
        <v>23</v>
      </c>
      <c r="AP18" s="282">
        <v>0</v>
      </c>
      <c r="AQ18" s="260">
        <v>46090</v>
      </c>
      <c r="AR18" s="340" t="s">
        <v>680</v>
      </c>
      <c r="AS18" s="335">
        <v>23</v>
      </c>
      <c r="AT18" s="337" t="s">
        <v>23</v>
      </c>
      <c r="AU18" s="337"/>
      <c r="AV18" s="335"/>
      <c r="AW18" s="337"/>
      <c r="AX18" s="335">
        <f t="shared" si="1"/>
        <v>-6</v>
      </c>
      <c r="AY18" s="340" t="s">
        <v>2751</v>
      </c>
      <c r="AZ18" s="282">
        <v>23</v>
      </c>
      <c r="BA18" s="282">
        <v>0</v>
      </c>
      <c r="BB18" s="260">
        <v>46121</v>
      </c>
      <c r="BC18" s="340" t="s">
        <v>247</v>
      </c>
      <c r="BD18" s="335">
        <v>23</v>
      </c>
      <c r="BE18" s="337" t="s">
        <v>23</v>
      </c>
      <c r="BF18" s="337"/>
      <c r="BG18" s="335"/>
      <c r="BH18" s="337"/>
      <c r="BI18" s="335">
        <f t="shared" si="2"/>
        <v>-6</v>
      </c>
      <c r="BJ18" s="340" t="s">
        <v>2752</v>
      </c>
      <c r="BK18" s="282">
        <v>23</v>
      </c>
      <c r="BL18" s="282">
        <v>0</v>
      </c>
      <c r="BM18" s="260">
        <v>46151</v>
      </c>
      <c r="BN18" s="340"/>
      <c r="BO18" s="335"/>
      <c r="BP18" s="337"/>
      <c r="BQ18" s="337"/>
      <c r="BR18" s="335"/>
      <c r="BS18" s="337"/>
      <c r="BT18" s="335">
        <f t="shared" si="3"/>
        <v>17</v>
      </c>
      <c r="BU18" s="340"/>
    </row>
    <row r="19" ht="13.2" spans="1:73">
      <c r="A19" s="324" t="s">
        <v>421</v>
      </c>
      <c r="B19" s="12" t="s">
        <v>2753</v>
      </c>
      <c r="C19" s="352" t="s">
        <v>2754</v>
      </c>
      <c r="D19" s="250" t="s">
        <v>201</v>
      </c>
      <c r="E19" s="352" t="s">
        <v>202</v>
      </c>
      <c r="F19" s="352" t="s">
        <v>227</v>
      </c>
      <c r="G19" s="352" t="s">
        <v>2755</v>
      </c>
      <c r="H19" s="7" t="s">
        <v>2615</v>
      </c>
      <c r="I19" s="7" t="s">
        <v>206</v>
      </c>
      <c r="J19" s="7" t="s">
        <v>2756</v>
      </c>
      <c r="K19" s="7" t="s">
        <v>2757</v>
      </c>
      <c r="L19" s="222" t="s">
        <v>2758</v>
      </c>
      <c r="M19" s="222"/>
      <c r="N19" s="355">
        <v>45503</v>
      </c>
      <c r="O19" s="327" t="s">
        <v>210</v>
      </c>
      <c r="P19" s="7" t="s">
        <v>242</v>
      </c>
      <c r="Q19" s="329">
        <v>0</v>
      </c>
      <c r="S19" s="282">
        <v>23</v>
      </c>
      <c r="U19" s="260">
        <v>46031</v>
      </c>
      <c r="V19" s="331">
        <v>46038</v>
      </c>
      <c r="W19" s="329">
        <v>23</v>
      </c>
      <c r="X19" s="332" t="s">
        <v>23</v>
      </c>
      <c r="Y19" s="333">
        <v>120478</v>
      </c>
      <c r="Z19" s="334"/>
      <c r="AA19" s="332"/>
      <c r="AB19" s="334">
        <f t="shared" ref="AB19:AB21" si="5">S19+T19-W19-Z19</f>
        <v>0</v>
      </c>
      <c r="AC19" s="250" t="s">
        <v>2759</v>
      </c>
      <c r="AD19" s="282">
        <v>23</v>
      </c>
      <c r="AF19" s="260">
        <v>46062</v>
      </c>
      <c r="AG19" s="251">
        <v>46067</v>
      </c>
      <c r="AH19" s="335">
        <v>23</v>
      </c>
      <c r="AI19" s="336" t="s">
        <v>23</v>
      </c>
      <c r="AJ19" s="337" t="s">
        <v>2760</v>
      </c>
      <c r="AK19" s="335"/>
      <c r="AL19" s="336"/>
      <c r="AM19" s="335">
        <f t="shared" si="0"/>
        <v>0</v>
      </c>
      <c r="AN19" s="340" t="s">
        <v>2761</v>
      </c>
      <c r="AO19" s="282">
        <v>23</v>
      </c>
      <c r="AQ19" s="260">
        <v>46090</v>
      </c>
      <c r="AR19" s="340" t="s">
        <v>1060</v>
      </c>
      <c r="AS19" s="335">
        <v>23</v>
      </c>
      <c r="AT19" s="337" t="s">
        <v>23</v>
      </c>
      <c r="AU19" s="337" t="s">
        <v>2762</v>
      </c>
      <c r="AV19" s="335"/>
      <c r="AW19" s="337"/>
      <c r="AX19" s="335">
        <f t="shared" si="1"/>
        <v>0</v>
      </c>
      <c r="AY19" s="340" t="s">
        <v>2763</v>
      </c>
      <c r="AZ19" s="282">
        <v>23</v>
      </c>
      <c r="BB19" s="260">
        <v>46121</v>
      </c>
      <c r="BC19" s="340" t="s">
        <v>2621</v>
      </c>
      <c r="BD19" s="335">
        <v>23</v>
      </c>
      <c r="BE19" s="337" t="s">
        <v>23</v>
      </c>
      <c r="BF19" s="337"/>
      <c r="BG19" s="335"/>
      <c r="BH19" s="337"/>
      <c r="BI19" s="335">
        <f t="shared" si="2"/>
        <v>0</v>
      </c>
      <c r="BJ19" s="340" t="s">
        <v>2764</v>
      </c>
      <c r="BK19" s="282">
        <v>23</v>
      </c>
      <c r="BM19" s="260">
        <v>46151</v>
      </c>
      <c r="BN19" s="340"/>
      <c r="BO19" s="335"/>
      <c r="BP19" s="337"/>
      <c r="BQ19" s="337"/>
      <c r="BR19" s="335"/>
      <c r="BS19" s="337"/>
      <c r="BT19" s="335">
        <f t="shared" si="3"/>
        <v>23</v>
      </c>
      <c r="BU19" s="340"/>
    </row>
    <row r="20" ht="13.2" spans="1:73">
      <c r="A20" s="346" t="s">
        <v>447</v>
      </c>
      <c r="B20" s="298" t="s">
        <v>2765</v>
      </c>
      <c r="C20" s="352" t="s">
        <v>2766</v>
      </c>
      <c r="D20" s="250" t="s">
        <v>251</v>
      </c>
      <c r="E20" s="352" t="s">
        <v>226</v>
      </c>
      <c r="F20" s="222"/>
      <c r="G20" s="352" t="s">
        <v>2767</v>
      </c>
      <c r="H20" s="7" t="s">
        <v>2615</v>
      </c>
      <c r="I20" s="7" t="s">
        <v>220</v>
      </c>
      <c r="J20" s="7" t="s">
        <v>2768</v>
      </c>
      <c r="K20" s="7" t="s">
        <v>2769</v>
      </c>
      <c r="L20" s="222" t="s">
        <v>2770</v>
      </c>
      <c r="M20" s="222"/>
      <c r="N20" s="355">
        <v>44957</v>
      </c>
      <c r="O20" s="327" t="s">
        <v>210</v>
      </c>
      <c r="P20" s="7" t="s">
        <v>242</v>
      </c>
      <c r="Q20" s="329">
        <v>0</v>
      </c>
      <c r="U20" s="349"/>
      <c r="V20" s="350"/>
      <c r="W20" s="334"/>
      <c r="X20" s="332"/>
      <c r="Y20" s="344"/>
      <c r="Z20" s="334"/>
      <c r="AA20" s="332"/>
      <c r="AB20" s="334">
        <f t="shared" si="5"/>
        <v>0</v>
      </c>
      <c r="AC20" s="250" t="s">
        <v>213</v>
      </c>
      <c r="AF20" s="349"/>
      <c r="AH20" s="338"/>
      <c r="AI20" s="339"/>
      <c r="AJ20" s="345"/>
      <c r="AK20" s="338"/>
      <c r="AL20" s="339"/>
      <c r="AM20" s="338">
        <f t="shared" si="0"/>
        <v>0</v>
      </c>
      <c r="AN20" s="340" t="s">
        <v>213</v>
      </c>
      <c r="AQ20" s="349"/>
      <c r="AR20" s="340"/>
      <c r="AS20" s="335"/>
      <c r="AT20" s="337"/>
      <c r="AU20" s="337"/>
      <c r="AV20" s="335"/>
      <c r="AW20" s="337"/>
      <c r="AX20" s="335">
        <f t="shared" si="1"/>
        <v>0</v>
      </c>
      <c r="AY20" s="340" t="s">
        <v>213</v>
      </c>
      <c r="BB20" s="349"/>
      <c r="BC20" s="340"/>
      <c r="BD20" s="335"/>
      <c r="BE20" s="337"/>
      <c r="BF20" s="337"/>
      <c r="BG20" s="335"/>
      <c r="BH20" s="337"/>
      <c r="BI20" s="335">
        <f t="shared" si="2"/>
        <v>0</v>
      </c>
      <c r="BJ20" s="340"/>
      <c r="BM20" s="349"/>
      <c r="BN20" s="340"/>
      <c r="BO20" s="335"/>
      <c r="BP20" s="337"/>
      <c r="BQ20" s="337"/>
      <c r="BR20" s="335"/>
      <c r="BS20" s="337"/>
      <c r="BT20" s="335">
        <f t="shared" si="3"/>
        <v>0</v>
      </c>
      <c r="BU20" s="340"/>
    </row>
    <row r="21" ht="13.2" spans="1:73">
      <c r="A21" s="324" t="s">
        <v>457</v>
      </c>
      <c r="B21" s="12" t="s">
        <v>2771</v>
      </c>
      <c r="C21" s="352" t="s">
        <v>2772</v>
      </c>
      <c r="D21" s="250" t="s">
        <v>201</v>
      </c>
      <c r="E21" s="352" t="s">
        <v>202</v>
      </c>
      <c r="F21" s="222"/>
      <c r="G21" s="352" t="s">
        <v>2773</v>
      </c>
      <c r="H21" s="7" t="s">
        <v>2615</v>
      </c>
      <c r="I21" s="7" t="s">
        <v>206</v>
      </c>
      <c r="J21" s="7" t="s">
        <v>2774</v>
      </c>
      <c r="K21" s="7" t="s">
        <v>2775</v>
      </c>
      <c r="L21" s="222" t="s">
        <v>2776</v>
      </c>
      <c r="M21" s="354" t="s">
        <v>2777</v>
      </c>
      <c r="N21" s="355">
        <v>44569</v>
      </c>
      <c r="O21" s="327" t="s">
        <v>210</v>
      </c>
      <c r="P21" s="60">
        <v>20</v>
      </c>
      <c r="Q21" s="329">
        <v>0</v>
      </c>
      <c r="S21" s="282">
        <v>23</v>
      </c>
      <c r="T21" s="282">
        <v>0</v>
      </c>
      <c r="U21" s="260">
        <v>46041</v>
      </c>
      <c r="V21" s="331">
        <v>46043</v>
      </c>
      <c r="W21" s="329">
        <v>23</v>
      </c>
      <c r="X21" s="332" t="s">
        <v>23</v>
      </c>
      <c r="Y21" s="344"/>
      <c r="Z21" s="334"/>
      <c r="AA21" s="332"/>
      <c r="AB21" s="334">
        <f t="shared" si="5"/>
        <v>0</v>
      </c>
      <c r="AC21" s="250" t="s">
        <v>2778</v>
      </c>
      <c r="AD21" s="282">
        <v>23</v>
      </c>
      <c r="AE21" s="282">
        <v>0</v>
      </c>
      <c r="AF21" s="260">
        <v>46072</v>
      </c>
      <c r="AG21" s="251">
        <v>46072</v>
      </c>
      <c r="AH21" s="335">
        <v>23</v>
      </c>
      <c r="AI21" s="336" t="s">
        <v>23</v>
      </c>
      <c r="AJ21" s="337" t="s">
        <v>2779</v>
      </c>
      <c r="AK21" s="335"/>
      <c r="AL21" s="336"/>
      <c r="AM21" s="335">
        <f t="shared" si="0"/>
        <v>0</v>
      </c>
      <c r="AN21" s="340" t="s">
        <v>2780</v>
      </c>
      <c r="AO21" s="282">
        <v>23</v>
      </c>
      <c r="AP21" s="282">
        <v>0</v>
      </c>
      <c r="AQ21" s="260">
        <v>46100</v>
      </c>
      <c r="AR21" s="340" t="s">
        <v>723</v>
      </c>
      <c r="AS21" s="335">
        <v>23</v>
      </c>
      <c r="AT21" s="337" t="s">
        <v>23</v>
      </c>
      <c r="AU21" s="337" t="s">
        <v>2781</v>
      </c>
      <c r="AV21" s="335"/>
      <c r="AW21" s="337"/>
      <c r="AX21" s="335">
        <f t="shared" si="1"/>
        <v>0</v>
      </c>
      <c r="AY21" s="340" t="s">
        <v>2782</v>
      </c>
      <c r="AZ21" s="282">
        <v>23</v>
      </c>
      <c r="BA21" s="282">
        <v>0</v>
      </c>
      <c r="BB21" s="260">
        <v>46131</v>
      </c>
      <c r="BC21" s="340" t="s">
        <v>321</v>
      </c>
      <c r="BD21" s="335">
        <v>23</v>
      </c>
      <c r="BE21" s="337" t="s">
        <v>23</v>
      </c>
      <c r="BF21" s="337"/>
      <c r="BG21" s="335"/>
      <c r="BH21" s="337"/>
      <c r="BI21" s="335">
        <f t="shared" si="2"/>
        <v>0</v>
      </c>
      <c r="BJ21" s="340" t="s">
        <v>2783</v>
      </c>
      <c r="BK21" s="282">
        <v>23</v>
      </c>
      <c r="BL21" s="282">
        <v>0</v>
      </c>
      <c r="BM21" s="260">
        <v>46161</v>
      </c>
      <c r="BN21" s="340"/>
      <c r="BO21" s="335"/>
      <c r="BP21" s="337"/>
      <c r="BQ21" s="337"/>
      <c r="BR21" s="335"/>
      <c r="BS21" s="337"/>
      <c r="BT21" s="335">
        <f t="shared" si="3"/>
        <v>23</v>
      </c>
      <c r="BU21" s="340"/>
    </row>
    <row r="22" ht="13.2" spans="1:73">
      <c r="A22" s="362" t="s">
        <v>469</v>
      </c>
      <c r="B22" s="12" t="s">
        <v>2784</v>
      </c>
      <c r="C22" s="325" t="s">
        <v>2785</v>
      </c>
      <c r="D22" s="250" t="s">
        <v>201</v>
      </c>
      <c r="E22" s="325" t="s">
        <v>202</v>
      </c>
      <c r="F22" s="50"/>
      <c r="G22" s="325" t="s">
        <v>2786</v>
      </c>
      <c r="H22" s="12" t="s">
        <v>2615</v>
      </c>
      <c r="I22" s="12" t="s">
        <v>206</v>
      </c>
      <c r="J22" s="12" t="s">
        <v>2685</v>
      </c>
      <c r="K22" s="12" t="s">
        <v>2787</v>
      </c>
      <c r="L22" s="50" t="s">
        <v>2788</v>
      </c>
      <c r="M22" s="50"/>
      <c r="N22" s="348">
        <v>44579</v>
      </c>
      <c r="O22" s="327" t="s">
        <v>232</v>
      </c>
      <c r="P22" s="328">
        <v>35</v>
      </c>
      <c r="Q22" s="329">
        <v>-5.03</v>
      </c>
      <c r="S22" s="282">
        <v>17.25</v>
      </c>
      <c r="U22" s="260">
        <v>46031</v>
      </c>
      <c r="V22" s="331">
        <v>46031</v>
      </c>
      <c r="W22" s="329">
        <v>18.25</v>
      </c>
      <c r="X22" s="332" t="s">
        <v>35</v>
      </c>
      <c r="Y22" s="344"/>
      <c r="Z22" s="334"/>
      <c r="AA22" s="332"/>
      <c r="AB22" s="334">
        <f>Q22+S22+T22-W22-Z22</f>
        <v>-6.03</v>
      </c>
      <c r="AC22" s="250" t="s">
        <v>213</v>
      </c>
      <c r="AD22" s="282">
        <v>17.25</v>
      </c>
      <c r="AF22" s="260">
        <v>46062</v>
      </c>
      <c r="AG22" s="251">
        <v>46062</v>
      </c>
      <c r="AH22" s="335">
        <v>18.25</v>
      </c>
      <c r="AI22" s="336" t="s">
        <v>35</v>
      </c>
      <c r="AJ22" s="345"/>
      <c r="AK22" s="338"/>
      <c r="AL22" s="339"/>
      <c r="AM22" s="338">
        <f t="shared" si="0"/>
        <v>-7.03</v>
      </c>
      <c r="AN22" s="340" t="s">
        <v>213</v>
      </c>
      <c r="AO22" s="282">
        <v>17.25</v>
      </c>
      <c r="AQ22" s="260">
        <v>46090</v>
      </c>
      <c r="AR22" s="340" t="s">
        <v>840</v>
      </c>
      <c r="AS22" s="335">
        <v>17</v>
      </c>
      <c r="AT22" s="337" t="s">
        <v>35</v>
      </c>
      <c r="AU22" s="337"/>
      <c r="AV22" s="335"/>
      <c r="AW22" s="337"/>
      <c r="AX22" s="335">
        <f t="shared" si="1"/>
        <v>-6.78</v>
      </c>
      <c r="AY22" s="340" t="s">
        <v>213</v>
      </c>
      <c r="AZ22" s="282">
        <v>17.25</v>
      </c>
      <c r="BB22" s="260">
        <v>46121</v>
      </c>
      <c r="BC22" s="340" t="s">
        <v>247</v>
      </c>
      <c r="BD22" s="335">
        <v>17.52</v>
      </c>
      <c r="BE22" s="337" t="s">
        <v>35</v>
      </c>
      <c r="BF22" s="337"/>
      <c r="BG22" s="335"/>
      <c r="BH22" s="337"/>
      <c r="BI22" s="335">
        <f t="shared" si="2"/>
        <v>-7.05</v>
      </c>
      <c r="BJ22" s="340"/>
      <c r="BK22" s="282">
        <v>17.25</v>
      </c>
      <c r="BM22" s="260">
        <v>46151</v>
      </c>
      <c r="BN22" s="340"/>
      <c r="BO22" s="335"/>
      <c r="BP22" s="337"/>
      <c r="BQ22" s="337"/>
      <c r="BR22" s="335"/>
      <c r="BS22" s="337"/>
      <c r="BT22" s="335">
        <f t="shared" si="3"/>
        <v>10.2</v>
      </c>
      <c r="BU22" s="340"/>
    </row>
    <row r="23" ht="13.2" spans="1:73">
      <c r="A23" s="346" t="s">
        <v>2789</v>
      </c>
      <c r="B23" s="7" t="s">
        <v>2790</v>
      </c>
      <c r="C23" s="352" t="s">
        <v>2791</v>
      </c>
      <c r="D23" s="250" t="s">
        <v>201</v>
      </c>
      <c r="E23" s="352" t="s">
        <v>202</v>
      </c>
      <c r="F23" s="222"/>
      <c r="G23" s="352" t="s">
        <v>2792</v>
      </c>
      <c r="H23" s="7" t="s">
        <v>2615</v>
      </c>
      <c r="I23" s="7" t="s">
        <v>206</v>
      </c>
      <c r="J23" s="7" t="s">
        <v>2793</v>
      </c>
      <c r="K23" s="7"/>
      <c r="L23" s="222" t="s">
        <v>2794</v>
      </c>
      <c r="M23" s="222"/>
      <c r="N23" s="355">
        <v>44579</v>
      </c>
      <c r="O23" s="327" t="s">
        <v>232</v>
      </c>
      <c r="P23" s="7" t="s">
        <v>242</v>
      </c>
      <c r="Q23" s="329">
        <v>0</v>
      </c>
      <c r="S23" s="282">
        <v>17.25</v>
      </c>
      <c r="U23" s="260">
        <v>46041</v>
      </c>
      <c r="V23" s="331">
        <v>46034</v>
      </c>
      <c r="W23" s="329">
        <v>17.25</v>
      </c>
      <c r="X23" s="332" t="s">
        <v>23</v>
      </c>
      <c r="Y23" s="333">
        <v>119415</v>
      </c>
      <c r="Z23" s="334"/>
      <c r="AA23" s="332"/>
      <c r="AB23" s="334">
        <f t="shared" ref="AB23:AB27" si="6">S23+T23-W23-Z23</f>
        <v>0</v>
      </c>
      <c r="AC23" s="250" t="s">
        <v>2795</v>
      </c>
      <c r="AD23" s="282">
        <v>17.25</v>
      </c>
      <c r="AF23" s="260">
        <v>46072</v>
      </c>
      <c r="AG23" s="251">
        <v>46075</v>
      </c>
      <c r="AH23" s="335">
        <v>17.25</v>
      </c>
      <c r="AI23" s="336" t="s">
        <v>23</v>
      </c>
      <c r="AJ23" s="337" t="s">
        <v>2796</v>
      </c>
      <c r="AK23" s="335"/>
      <c r="AL23" s="336"/>
      <c r="AM23" s="335">
        <f t="shared" si="0"/>
        <v>0</v>
      </c>
      <c r="AN23" s="340" t="s">
        <v>2797</v>
      </c>
      <c r="AO23" s="282">
        <v>17.25</v>
      </c>
      <c r="AQ23" s="260">
        <v>46100</v>
      </c>
      <c r="AR23" s="340" t="s">
        <v>1060</v>
      </c>
      <c r="AS23" s="335">
        <v>17.25</v>
      </c>
      <c r="AT23" s="337" t="s">
        <v>23</v>
      </c>
      <c r="AU23" s="337" t="s">
        <v>2798</v>
      </c>
      <c r="AV23" s="335"/>
      <c r="AW23" s="337"/>
      <c r="AX23" s="335">
        <f t="shared" si="1"/>
        <v>0</v>
      </c>
      <c r="AY23" s="340" t="s">
        <v>2799</v>
      </c>
      <c r="AZ23" s="282">
        <v>17.25</v>
      </c>
      <c r="BB23" s="260">
        <v>46131</v>
      </c>
      <c r="BC23" s="340" t="s">
        <v>905</v>
      </c>
      <c r="BD23" s="335">
        <v>17.25</v>
      </c>
      <c r="BE23" s="337" t="s">
        <v>23</v>
      </c>
      <c r="BF23" s="337"/>
      <c r="BG23" s="335"/>
      <c r="BH23" s="337"/>
      <c r="BI23" s="335">
        <f t="shared" si="2"/>
        <v>0</v>
      </c>
      <c r="BJ23" s="340" t="s">
        <v>2800</v>
      </c>
      <c r="BK23" s="282">
        <v>17.25</v>
      </c>
      <c r="BM23" s="260">
        <v>46161</v>
      </c>
      <c r="BN23" s="340"/>
      <c r="BO23" s="335"/>
      <c r="BP23" s="337"/>
      <c r="BQ23" s="337"/>
      <c r="BR23" s="335"/>
      <c r="BS23" s="337"/>
      <c r="BT23" s="335">
        <f t="shared" si="3"/>
        <v>17.25</v>
      </c>
      <c r="BU23" s="340"/>
    </row>
    <row r="24" ht="13.2" spans="1:73">
      <c r="A24" s="346" t="s">
        <v>477</v>
      </c>
      <c r="B24" s="298" t="s">
        <v>2801</v>
      </c>
      <c r="C24" s="352" t="s">
        <v>2802</v>
      </c>
      <c r="D24" s="250" t="s">
        <v>251</v>
      </c>
      <c r="E24" s="222"/>
      <c r="F24" s="222"/>
      <c r="G24" s="352" t="s">
        <v>2803</v>
      </c>
      <c r="H24" s="7" t="s">
        <v>2615</v>
      </c>
      <c r="I24" s="7" t="s">
        <v>220</v>
      </c>
      <c r="J24" s="7" t="s">
        <v>2685</v>
      </c>
      <c r="K24" s="7" t="s">
        <v>2804</v>
      </c>
      <c r="L24" s="222" t="s">
        <v>2805</v>
      </c>
      <c r="M24" s="222"/>
      <c r="N24" s="355">
        <v>44586</v>
      </c>
      <c r="O24" s="327" t="s">
        <v>232</v>
      </c>
      <c r="P24" s="7"/>
      <c r="Q24" s="329">
        <v>0</v>
      </c>
      <c r="U24" s="349"/>
      <c r="V24" s="350"/>
      <c r="W24" s="334"/>
      <c r="X24" s="332"/>
      <c r="Y24" s="344"/>
      <c r="Z24" s="334"/>
      <c r="AA24" s="332"/>
      <c r="AB24" s="334">
        <f t="shared" si="6"/>
        <v>0</v>
      </c>
      <c r="AC24" s="250" t="s">
        <v>213</v>
      </c>
      <c r="AF24" s="349"/>
      <c r="AH24" s="338"/>
      <c r="AI24" s="339"/>
      <c r="AJ24" s="345"/>
      <c r="AK24" s="338"/>
      <c r="AL24" s="339"/>
      <c r="AM24" s="338">
        <f t="shared" si="0"/>
        <v>0</v>
      </c>
      <c r="AN24" s="340" t="s">
        <v>213</v>
      </c>
      <c r="AQ24" s="349"/>
      <c r="AR24" s="340"/>
      <c r="AS24" s="335"/>
      <c r="AT24" s="337"/>
      <c r="AU24" s="337"/>
      <c r="AV24" s="335"/>
      <c r="AW24" s="337"/>
      <c r="AX24" s="335">
        <f t="shared" si="1"/>
        <v>0</v>
      </c>
      <c r="AY24" s="340" t="s">
        <v>213</v>
      </c>
      <c r="BB24" s="349"/>
      <c r="BC24" s="340"/>
      <c r="BD24" s="335"/>
      <c r="BE24" s="337"/>
      <c r="BF24" s="337"/>
      <c r="BG24" s="335"/>
      <c r="BH24" s="337"/>
      <c r="BI24" s="335">
        <f t="shared" si="2"/>
        <v>0</v>
      </c>
      <c r="BJ24" s="340"/>
      <c r="BM24" s="349"/>
      <c r="BN24" s="340"/>
      <c r="BO24" s="335"/>
      <c r="BP24" s="337"/>
      <c r="BQ24" s="337"/>
      <c r="BR24" s="335"/>
      <c r="BS24" s="337"/>
      <c r="BT24" s="335">
        <f t="shared" si="3"/>
        <v>0</v>
      </c>
      <c r="BU24" s="340"/>
    </row>
    <row r="25" ht="13.2" spans="1:73">
      <c r="A25" s="353" t="s">
        <v>490</v>
      </c>
      <c r="B25" s="7" t="s">
        <v>2806</v>
      </c>
      <c r="C25" s="352" t="s">
        <v>2807</v>
      </c>
      <c r="D25" s="250" t="s">
        <v>201</v>
      </c>
      <c r="E25" s="363" t="s">
        <v>226</v>
      </c>
      <c r="F25" s="222"/>
      <c r="G25" s="352" t="s">
        <v>2808</v>
      </c>
      <c r="H25" s="7" t="s">
        <v>2615</v>
      </c>
      <c r="I25" s="7" t="s">
        <v>220</v>
      </c>
      <c r="J25" s="7" t="s">
        <v>2809</v>
      </c>
      <c r="K25" s="7" t="s">
        <v>2810</v>
      </c>
      <c r="L25" s="222" t="s">
        <v>2811</v>
      </c>
      <c r="M25" s="222"/>
      <c r="N25" s="355">
        <v>44590</v>
      </c>
      <c r="O25" s="327" t="s">
        <v>210</v>
      </c>
      <c r="P25" s="7"/>
      <c r="Q25" s="329">
        <v>0</v>
      </c>
      <c r="S25" s="282">
        <v>23</v>
      </c>
      <c r="U25" s="260">
        <v>46036</v>
      </c>
      <c r="V25" s="331">
        <v>46045</v>
      </c>
      <c r="W25" s="329">
        <v>23</v>
      </c>
      <c r="X25" s="332" t="s">
        <v>23</v>
      </c>
      <c r="Y25" s="344"/>
      <c r="Z25" s="334"/>
      <c r="AA25" s="332"/>
      <c r="AB25" s="334">
        <f t="shared" si="6"/>
        <v>0</v>
      </c>
      <c r="AC25" s="250" t="s">
        <v>2812</v>
      </c>
      <c r="AD25" s="282">
        <v>23</v>
      </c>
      <c r="AF25" s="260">
        <v>46067</v>
      </c>
      <c r="AG25" s="251">
        <v>46077</v>
      </c>
      <c r="AH25" s="335">
        <v>23</v>
      </c>
      <c r="AI25" s="336" t="s">
        <v>23</v>
      </c>
      <c r="AJ25" s="337"/>
      <c r="AK25" s="335"/>
      <c r="AL25" s="336"/>
      <c r="AM25" s="335">
        <f t="shared" si="0"/>
        <v>0</v>
      </c>
      <c r="AN25" s="340" t="s">
        <v>2813</v>
      </c>
      <c r="AO25" s="282">
        <f>23+50</f>
        <v>73</v>
      </c>
      <c r="AQ25" s="260">
        <v>46095</v>
      </c>
      <c r="AR25" s="340" t="s">
        <v>498</v>
      </c>
      <c r="AS25" s="335">
        <f>50+23</f>
        <v>73</v>
      </c>
      <c r="AT25" s="337" t="s">
        <v>23</v>
      </c>
      <c r="AU25" s="337" t="s">
        <v>2814</v>
      </c>
      <c r="AV25" s="335"/>
      <c r="AW25" s="337"/>
      <c r="AX25" s="335">
        <f t="shared" si="1"/>
        <v>0</v>
      </c>
      <c r="AY25" s="340" t="s">
        <v>2815</v>
      </c>
      <c r="AZ25" s="282">
        <v>23</v>
      </c>
      <c r="BB25" s="260">
        <v>46126</v>
      </c>
      <c r="BC25" s="340" t="s">
        <v>321</v>
      </c>
      <c r="BD25" s="335">
        <v>23</v>
      </c>
      <c r="BE25" s="337" t="s">
        <v>23</v>
      </c>
      <c r="BF25" s="337"/>
      <c r="BG25" s="335"/>
      <c r="BH25" s="337"/>
      <c r="BI25" s="335">
        <f t="shared" si="2"/>
        <v>0</v>
      </c>
      <c r="BJ25" s="340" t="s">
        <v>2816</v>
      </c>
      <c r="BK25" s="282">
        <v>23</v>
      </c>
      <c r="BM25" s="260">
        <v>46156</v>
      </c>
      <c r="BN25" s="340"/>
      <c r="BO25" s="335"/>
      <c r="BP25" s="337"/>
      <c r="BQ25" s="337"/>
      <c r="BR25" s="335"/>
      <c r="BS25" s="337"/>
      <c r="BT25" s="335">
        <f t="shared" si="3"/>
        <v>23</v>
      </c>
      <c r="BU25" s="340"/>
    </row>
    <row r="26" ht="13.2" spans="1:73">
      <c r="A26" s="324" t="s">
        <v>499</v>
      </c>
      <c r="B26" s="7" t="s">
        <v>2817</v>
      </c>
      <c r="C26" s="352" t="s">
        <v>2818</v>
      </c>
      <c r="D26" s="250" t="s">
        <v>201</v>
      </c>
      <c r="E26" s="352" t="s">
        <v>226</v>
      </c>
      <c r="F26" s="222"/>
      <c r="G26" s="352" t="s">
        <v>2819</v>
      </c>
      <c r="H26" s="7" t="s">
        <v>2615</v>
      </c>
      <c r="I26" s="7" t="s">
        <v>206</v>
      </c>
      <c r="J26" s="7" t="s">
        <v>2820</v>
      </c>
      <c r="K26" s="7" t="s">
        <v>2821</v>
      </c>
      <c r="L26" s="222" t="s">
        <v>2822</v>
      </c>
      <c r="M26" s="222"/>
      <c r="N26" s="355">
        <v>44595</v>
      </c>
      <c r="O26" s="327" t="s">
        <v>210</v>
      </c>
      <c r="P26" s="7" t="s">
        <v>242</v>
      </c>
      <c r="Q26" s="329">
        <v>0</v>
      </c>
      <c r="S26" s="282">
        <v>23</v>
      </c>
      <c r="U26" s="260">
        <v>46036</v>
      </c>
      <c r="V26" s="331">
        <v>46024</v>
      </c>
      <c r="W26" s="329">
        <v>23</v>
      </c>
      <c r="X26" s="332" t="s">
        <v>35</v>
      </c>
      <c r="Y26" s="344"/>
      <c r="Z26" s="334"/>
      <c r="AA26" s="332"/>
      <c r="AB26" s="334">
        <f t="shared" si="6"/>
        <v>0</v>
      </c>
      <c r="AC26" s="250" t="s">
        <v>2823</v>
      </c>
      <c r="AD26" s="282">
        <v>23</v>
      </c>
      <c r="AF26" s="260">
        <v>46067</v>
      </c>
      <c r="AG26" s="251">
        <v>411298</v>
      </c>
      <c r="AH26" s="335">
        <v>23</v>
      </c>
      <c r="AI26" s="336" t="s">
        <v>35</v>
      </c>
      <c r="AJ26" s="337"/>
      <c r="AK26" s="335"/>
      <c r="AL26" s="336"/>
      <c r="AM26" s="335">
        <f t="shared" si="0"/>
        <v>0</v>
      </c>
      <c r="AN26" s="340" t="s">
        <v>2824</v>
      </c>
      <c r="AO26" s="282">
        <v>23</v>
      </c>
      <c r="AQ26" s="260">
        <v>46095</v>
      </c>
      <c r="AR26" s="340" t="s">
        <v>508</v>
      </c>
      <c r="AS26" s="335">
        <v>23</v>
      </c>
      <c r="AT26" s="337" t="s">
        <v>35</v>
      </c>
      <c r="AU26" s="337"/>
      <c r="AV26" s="335"/>
      <c r="AW26" s="337"/>
      <c r="AX26" s="335">
        <f t="shared" si="1"/>
        <v>0</v>
      </c>
      <c r="AY26" s="340" t="s">
        <v>2825</v>
      </c>
      <c r="AZ26" s="282">
        <v>23</v>
      </c>
      <c r="BB26" s="260">
        <v>46126</v>
      </c>
      <c r="BC26" s="340" t="s">
        <v>510</v>
      </c>
      <c r="BD26" s="335">
        <v>23</v>
      </c>
      <c r="BE26" s="337" t="s">
        <v>35</v>
      </c>
      <c r="BF26" s="337"/>
      <c r="BG26" s="335"/>
      <c r="BH26" s="337"/>
      <c r="BI26" s="335">
        <f t="shared" si="2"/>
        <v>0</v>
      </c>
      <c r="BJ26" s="340" t="s">
        <v>2826</v>
      </c>
      <c r="BK26" s="282">
        <v>23</v>
      </c>
      <c r="BM26" s="260">
        <v>46156</v>
      </c>
      <c r="BN26" s="340"/>
      <c r="BO26" s="335"/>
      <c r="BP26" s="337"/>
      <c r="BQ26" s="337"/>
      <c r="BR26" s="335"/>
      <c r="BS26" s="337"/>
      <c r="BT26" s="335">
        <f t="shared" si="3"/>
        <v>23</v>
      </c>
      <c r="BU26" s="340"/>
    </row>
    <row r="27" ht="13.2" spans="1:73">
      <c r="A27" s="324" t="s">
        <v>513</v>
      </c>
      <c r="B27" s="7" t="s">
        <v>2827</v>
      </c>
      <c r="C27" s="352" t="s">
        <v>2828</v>
      </c>
      <c r="D27" s="250" t="s">
        <v>201</v>
      </c>
      <c r="E27" s="352" t="s">
        <v>226</v>
      </c>
      <c r="F27" s="222"/>
      <c r="G27" s="352" t="s">
        <v>2829</v>
      </c>
      <c r="H27" s="7" t="s">
        <v>2615</v>
      </c>
      <c r="I27" s="7" t="s">
        <v>206</v>
      </c>
      <c r="J27" s="7" t="s">
        <v>2830</v>
      </c>
      <c r="K27" s="7" t="s">
        <v>2831</v>
      </c>
      <c r="L27" s="222" t="s">
        <v>2832</v>
      </c>
      <c r="M27" s="222"/>
      <c r="N27" s="355">
        <v>44600</v>
      </c>
      <c r="O27" s="327" t="s">
        <v>232</v>
      </c>
      <c r="P27" s="7" t="s">
        <v>242</v>
      </c>
      <c r="Q27" s="329">
        <v>0</v>
      </c>
      <c r="S27" s="282">
        <v>17.25</v>
      </c>
      <c r="U27" s="260">
        <v>46036</v>
      </c>
      <c r="V27" s="331">
        <v>46048</v>
      </c>
      <c r="W27" s="329">
        <v>17.25</v>
      </c>
      <c r="X27" s="332" t="s">
        <v>23</v>
      </c>
      <c r="Y27" s="344"/>
      <c r="Z27" s="334"/>
      <c r="AA27" s="332"/>
      <c r="AB27" s="334">
        <f t="shared" si="6"/>
        <v>0</v>
      </c>
      <c r="AC27" s="250" t="s">
        <v>213</v>
      </c>
      <c r="AD27" s="282">
        <v>17.25</v>
      </c>
      <c r="AF27" s="260">
        <v>46067</v>
      </c>
      <c r="AH27" s="335">
        <v>17.25</v>
      </c>
      <c r="AI27" s="336" t="s">
        <v>23</v>
      </c>
      <c r="AJ27" s="337" t="s">
        <v>2833</v>
      </c>
      <c r="AK27" s="338"/>
      <c r="AL27" s="339"/>
      <c r="AM27" s="338">
        <f t="shared" si="0"/>
        <v>0</v>
      </c>
      <c r="AN27" s="340" t="s">
        <v>213</v>
      </c>
      <c r="AO27" s="282">
        <v>17.25</v>
      </c>
      <c r="AQ27" s="260">
        <v>46095</v>
      </c>
      <c r="AR27" s="340" t="s">
        <v>840</v>
      </c>
      <c r="AS27" s="335">
        <v>17.25</v>
      </c>
      <c r="AT27" s="337" t="s">
        <v>23</v>
      </c>
      <c r="AU27" s="337"/>
      <c r="AV27" s="335"/>
      <c r="AW27" s="337"/>
      <c r="AX27" s="335">
        <f t="shared" si="1"/>
        <v>0</v>
      </c>
      <c r="AY27" s="340" t="s">
        <v>213</v>
      </c>
      <c r="AZ27" s="282">
        <v>17.25</v>
      </c>
      <c r="BB27" s="260">
        <v>46126</v>
      </c>
      <c r="BC27" s="340"/>
      <c r="BD27" s="335"/>
      <c r="BE27" s="337"/>
      <c r="BF27" s="337"/>
      <c r="BG27" s="335"/>
      <c r="BH27" s="337"/>
      <c r="BI27" s="335">
        <f t="shared" si="2"/>
        <v>17.25</v>
      </c>
      <c r="BJ27" s="340"/>
      <c r="BK27" s="282">
        <v>17.25</v>
      </c>
      <c r="BM27" s="260">
        <v>46156</v>
      </c>
      <c r="BN27" s="340"/>
      <c r="BO27" s="335"/>
      <c r="BP27" s="337"/>
      <c r="BQ27" s="337"/>
      <c r="BR27" s="335"/>
      <c r="BS27" s="337"/>
      <c r="BT27" s="335">
        <f t="shared" si="3"/>
        <v>34.5</v>
      </c>
      <c r="BU27" s="340"/>
    </row>
    <row r="28" ht="13.2" spans="1:73">
      <c r="A28" s="346" t="s">
        <v>526</v>
      </c>
      <c r="B28" s="364" t="s">
        <v>2834</v>
      </c>
      <c r="C28" s="352" t="s">
        <v>2835</v>
      </c>
      <c r="D28" s="250" t="s">
        <v>201</v>
      </c>
      <c r="E28" s="352" t="s">
        <v>202</v>
      </c>
      <c r="F28" s="222"/>
      <c r="G28" s="352" t="s">
        <v>2836</v>
      </c>
      <c r="H28" s="7" t="s">
        <v>2615</v>
      </c>
      <c r="I28" s="7" t="s">
        <v>206</v>
      </c>
      <c r="J28" s="7" t="s">
        <v>2837</v>
      </c>
      <c r="K28" s="7"/>
      <c r="L28" s="222" t="s">
        <v>2838</v>
      </c>
      <c r="M28" s="222"/>
      <c r="N28" s="355">
        <v>44603</v>
      </c>
      <c r="O28" s="327" t="s">
        <v>210</v>
      </c>
      <c r="P28" s="7" t="s">
        <v>242</v>
      </c>
      <c r="Q28" s="329">
        <v>-51.75</v>
      </c>
      <c r="S28" s="282">
        <v>17.25</v>
      </c>
      <c r="U28" s="349"/>
      <c r="V28" s="350"/>
      <c r="W28" s="334"/>
      <c r="X28" s="332"/>
      <c r="Y28" s="344"/>
      <c r="Z28" s="334"/>
      <c r="AA28" s="332"/>
      <c r="AB28" s="334">
        <f>Q28+S28+T28-W28-Z28</f>
        <v>-34.5</v>
      </c>
      <c r="AC28" s="250" t="s">
        <v>213</v>
      </c>
      <c r="AD28" s="282">
        <v>17.25</v>
      </c>
      <c r="AF28" s="349"/>
      <c r="AH28" s="338"/>
      <c r="AI28" s="339"/>
      <c r="AJ28" s="345"/>
      <c r="AK28" s="338"/>
      <c r="AL28" s="339"/>
      <c r="AM28" s="338">
        <f t="shared" si="0"/>
        <v>-17.25</v>
      </c>
      <c r="AN28" s="340" t="s">
        <v>213</v>
      </c>
      <c r="AO28" s="282">
        <v>17.25</v>
      </c>
      <c r="AQ28" s="349"/>
      <c r="AR28" s="340"/>
      <c r="AS28" s="335"/>
      <c r="AT28" s="337"/>
      <c r="AU28" s="337"/>
      <c r="AV28" s="335"/>
      <c r="AW28" s="337"/>
      <c r="AX28" s="335">
        <f t="shared" si="1"/>
        <v>0</v>
      </c>
      <c r="AY28" s="340" t="s">
        <v>213</v>
      </c>
      <c r="AZ28" s="282">
        <v>17.25</v>
      </c>
      <c r="BB28" s="349"/>
      <c r="BC28" s="340"/>
      <c r="BD28" s="335"/>
      <c r="BE28" s="337"/>
      <c r="BF28" s="337"/>
      <c r="BG28" s="335"/>
      <c r="BH28" s="337"/>
      <c r="BI28" s="335">
        <f t="shared" si="2"/>
        <v>17.25</v>
      </c>
      <c r="BJ28" s="340"/>
      <c r="BK28" s="282">
        <v>17.25</v>
      </c>
      <c r="BM28" s="349"/>
      <c r="BN28" s="340"/>
      <c r="BO28" s="335"/>
      <c r="BP28" s="337"/>
      <c r="BQ28" s="337"/>
      <c r="BR28" s="335"/>
      <c r="BS28" s="337"/>
      <c r="BT28" s="335">
        <f t="shared" si="3"/>
        <v>34.5</v>
      </c>
      <c r="BU28" s="340"/>
    </row>
    <row r="29" ht="13.2" spans="1:73">
      <c r="A29" s="324" t="s">
        <v>534</v>
      </c>
      <c r="B29" s="7" t="s">
        <v>2839</v>
      </c>
      <c r="C29" s="352" t="s">
        <v>2840</v>
      </c>
      <c r="D29" s="250" t="s">
        <v>201</v>
      </c>
      <c r="E29" s="352" t="s">
        <v>202</v>
      </c>
      <c r="F29" s="222"/>
      <c r="G29" s="352" t="s">
        <v>2841</v>
      </c>
      <c r="H29" s="7" t="s">
        <v>2615</v>
      </c>
      <c r="I29" s="7" t="s">
        <v>206</v>
      </c>
      <c r="J29" s="7" t="s">
        <v>2842</v>
      </c>
      <c r="K29" s="7" t="s">
        <v>2843</v>
      </c>
      <c r="L29" s="222" t="s">
        <v>2844</v>
      </c>
      <c r="M29" s="222"/>
      <c r="N29" s="54">
        <v>44607</v>
      </c>
      <c r="O29" s="327" t="s">
        <v>210</v>
      </c>
      <c r="P29" s="7"/>
      <c r="Q29" s="329">
        <v>0</v>
      </c>
      <c r="S29" s="282">
        <v>23</v>
      </c>
      <c r="U29" s="260">
        <v>46031</v>
      </c>
      <c r="V29" s="331">
        <v>46043</v>
      </c>
      <c r="W29" s="329">
        <v>23</v>
      </c>
      <c r="X29" s="332" t="s">
        <v>23</v>
      </c>
      <c r="Y29" s="344"/>
      <c r="Z29" s="334"/>
      <c r="AA29" s="332"/>
      <c r="AB29" s="334">
        <f t="shared" ref="AB29:AB36" si="7">S29+T29-W29-Z29</f>
        <v>0</v>
      </c>
      <c r="AC29" s="250" t="s">
        <v>2845</v>
      </c>
      <c r="AD29" s="282">
        <v>23</v>
      </c>
      <c r="AF29" s="260">
        <v>46062</v>
      </c>
      <c r="AG29" s="251">
        <v>46062</v>
      </c>
      <c r="AH29" s="335">
        <v>23</v>
      </c>
      <c r="AI29" s="336" t="s">
        <v>23</v>
      </c>
      <c r="AJ29" s="337"/>
      <c r="AK29" s="335"/>
      <c r="AL29" s="336"/>
      <c r="AM29" s="335">
        <f t="shared" si="0"/>
        <v>0</v>
      </c>
      <c r="AN29" s="340" t="s">
        <v>2846</v>
      </c>
      <c r="AO29" s="282">
        <v>23</v>
      </c>
      <c r="AQ29" s="260">
        <v>46090</v>
      </c>
      <c r="AR29" s="340" t="s">
        <v>233</v>
      </c>
      <c r="AS29" s="335">
        <v>23</v>
      </c>
      <c r="AT29" s="337" t="s">
        <v>23</v>
      </c>
      <c r="AU29" s="337"/>
      <c r="AV29" s="335"/>
      <c r="AW29" s="337"/>
      <c r="AX29" s="335">
        <f t="shared" si="1"/>
        <v>0</v>
      </c>
      <c r="AY29" s="340" t="s">
        <v>2847</v>
      </c>
      <c r="AZ29" s="282">
        <v>23</v>
      </c>
      <c r="BB29" s="260">
        <v>46121</v>
      </c>
      <c r="BC29" s="340" t="s">
        <v>223</v>
      </c>
      <c r="BD29" s="335">
        <v>23</v>
      </c>
      <c r="BE29" s="337" t="s">
        <v>23</v>
      </c>
      <c r="BF29" s="337"/>
      <c r="BG29" s="335"/>
      <c r="BH29" s="337"/>
      <c r="BI29" s="335">
        <f t="shared" si="2"/>
        <v>0</v>
      </c>
      <c r="BJ29" s="340" t="s">
        <v>2848</v>
      </c>
      <c r="BK29" s="282">
        <v>23</v>
      </c>
      <c r="BM29" s="260">
        <v>46151</v>
      </c>
      <c r="BN29" s="340"/>
      <c r="BO29" s="335"/>
      <c r="BP29" s="337"/>
      <c r="BQ29" s="337"/>
      <c r="BR29" s="335"/>
      <c r="BS29" s="337"/>
      <c r="BT29" s="335">
        <f t="shared" si="3"/>
        <v>23</v>
      </c>
      <c r="BU29" s="340"/>
    </row>
    <row r="30" ht="13.2" spans="1:73">
      <c r="A30" s="324" t="s">
        <v>2849</v>
      </c>
      <c r="B30" s="7" t="s">
        <v>2850</v>
      </c>
      <c r="C30" s="352" t="s">
        <v>2851</v>
      </c>
      <c r="D30" s="250" t="s">
        <v>201</v>
      </c>
      <c r="E30" s="352" t="s">
        <v>226</v>
      </c>
      <c r="F30" s="222"/>
      <c r="G30" s="352" t="s">
        <v>2852</v>
      </c>
      <c r="H30" s="7" t="s">
        <v>2615</v>
      </c>
      <c r="I30" s="7" t="s">
        <v>206</v>
      </c>
      <c r="J30" s="7" t="s">
        <v>2853</v>
      </c>
      <c r="K30" s="7" t="s">
        <v>2854</v>
      </c>
      <c r="L30" s="222" t="s">
        <v>2855</v>
      </c>
      <c r="M30" s="222"/>
      <c r="N30" s="54">
        <v>44614</v>
      </c>
      <c r="O30" s="327" t="s">
        <v>232</v>
      </c>
      <c r="P30" s="60">
        <v>20</v>
      </c>
      <c r="Q30" s="329">
        <v>0</v>
      </c>
      <c r="S30" s="282">
        <v>17.25</v>
      </c>
      <c r="U30" s="260">
        <v>46031</v>
      </c>
      <c r="V30" s="331">
        <v>46044</v>
      </c>
      <c r="W30" s="329">
        <v>17.25</v>
      </c>
      <c r="X30" s="332" t="s">
        <v>35</v>
      </c>
      <c r="Y30" s="344"/>
      <c r="Z30" s="334"/>
      <c r="AA30" s="332"/>
      <c r="AB30" s="334">
        <f t="shared" si="7"/>
        <v>0</v>
      </c>
      <c r="AC30" s="250" t="s">
        <v>213</v>
      </c>
      <c r="AD30" s="282">
        <v>17.25</v>
      </c>
      <c r="AF30" s="260">
        <v>46062</v>
      </c>
      <c r="AG30" s="251">
        <v>46071</v>
      </c>
      <c r="AH30" s="335">
        <v>17.25</v>
      </c>
      <c r="AI30" s="336" t="s">
        <v>35</v>
      </c>
      <c r="AJ30" s="345"/>
      <c r="AK30" s="338"/>
      <c r="AL30" s="339"/>
      <c r="AM30" s="338">
        <f t="shared" si="0"/>
        <v>0</v>
      </c>
      <c r="AN30" s="340" t="s">
        <v>213</v>
      </c>
      <c r="AO30" s="282">
        <v>17.25</v>
      </c>
      <c r="AQ30" s="260">
        <v>46090</v>
      </c>
      <c r="AR30" s="340" t="s">
        <v>267</v>
      </c>
      <c r="AS30" s="335">
        <v>17.25</v>
      </c>
      <c r="AT30" s="337" t="s">
        <v>23</v>
      </c>
      <c r="AU30" s="337"/>
      <c r="AV30" s="335"/>
      <c r="AW30" s="337"/>
      <c r="AX30" s="335">
        <f t="shared" si="1"/>
        <v>0</v>
      </c>
      <c r="AY30" s="340" t="s">
        <v>213</v>
      </c>
      <c r="AZ30" s="282">
        <v>17.25</v>
      </c>
      <c r="BB30" s="260">
        <v>46121</v>
      </c>
      <c r="BC30" s="340" t="s">
        <v>626</v>
      </c>
      <c r="BD30" s="335">
        <v>17.25</v>
      </c>
      <c r="BE30" s="337" t="s">
        <v>35</v>
      </c>
      <c r="BF30" s="337"/>
      <c r="BG30" s="335"/>
      <c r="BH30" s="337"/>
      <c r="BI30" s="335">
        <f t="shared" si="2"/>
        <v>0</v>
      </c>
      <c r="BJ30" s="340"/>
      <c r="BK30" s="282">
        <v>17.25</v>
      </c>
      <c r="BM30" s="260">
        <v>46151</v>
      </c>
      <c r="BN30" s="340"/>
      <c r="BO30" s="335"/>
      <c r="BP30" s="337"/>
      <c r="BQ30" s="337"/>
      <c r="BR30" s="335"/>
      <c r="BS30" s="337"/>
      <c r="BT30" s="335">
        <f t="shared" si="3"/>
        <v>17.25</v>
      </c>
      <c r="BU30" s="340"/>
    </row>
    <row r="31" ht="13.2" spans="1:73">
      <c r="A31" s="365" t="s">
        <v>547</v>
      </c>
      <c r="B31" s="298" t="s">
        <v>2856</v>
      </c>
      <c r="C31" s="352" t="s">
        <v>2857</v>
      </c>
      <c r="D31" s="250" t="s">
        <v>251</v>
      </c>
      <c r="E31" s="222"/>
      <c r="F31" s="222"/>
      <c r="G31" s="352" t="s">
        <v>2858</v>
      </c>
      <c r="H31" s="7" t="s">
        <v>2615</v>
      </c>
      <c r="I31" s="7" t="s">
        <v>220</v>
      </c>
      <c r="J31" s="7" t="s">
        <v>2859</v>
      </c>
      <c r="K31" s="7" t="s">
        <v>2860</v>
      </c>
      <c r="L31" s="222" t="s">
        <v>2861</v>
      </c>
      <c r="M31" s="222"/>
      <c r="N31" s="355">
        <v>44644</v>
      </c>
      <c r="O31" s="327" t="s">
        <v>210</v>
      </c>
      <c r="P31" s="60">
        <v>30</v>
      </c>
      <c r="Q31" s="329">
        <v>0</v>
      </c>
      <c r="U31" s="349"/>
      <c r="V31" s="350"/>
      <c r="W31" s="334"/>
      <c r="X31" s="332"/>
      <c r="Y31" s="344"/>
      <c r="Z31" s="334"/>
      <c r="AA31" s="332"/>
      <c r="AB31" s="334">
        <f t="shared" si="7"/>
        <v>0</v>
      </c>
      <c r="AC31" s="250" t="s">
        <v>213</v>
      </c>
      <c r="AF31" s="349"/>
      <c r="AH31" s="338"/>
      <c r="AI31" s="339"/>
      <c r="AJ31" s="345"/>
      <c r="AK31" s="338"/>
      <c r="AL31" s="339"/>
      <c r="AM31" s="338">
        <f t="shared" si="0"/>
        <v>0</v>
      </c>
      <c r="AN31" s="340" t="s">
        <v>213</v>
      </c>
      <c r="AQ31" s="349"/>
      <c r="AR31" s="340"/>
      <c r="AS31" s="335"/>
      <c r="AT31" s="337"/>
      <c r="AU31" s="337"/>
      <c r="AV31" s="335"/>
      <c r="AW31" s="337"/>
      <c r="AX31" s="335">
        <f t="shared" si="1"/>
        <v>0</v>
      </c>
      <c r="AY31" s="340" t="s">
        <v>213</v>
      </c>
      <c r="BB31" s="349"/>
      <c r="BC31" s="340"/>
      <c r="BD31" s="335"/>
      <c r="BE31" s="337"/>
      <c r="BF31" s="337"/>
      <c r="BG31" s="335"/>
      <c r="BH31" s="337"/>
      <c r="BI31" s="335">
        <f t="shared" si="2"/>
        <v>0</v>
      </c>
      <c r="BJ31" s="340"/>
      <c r="BM31" s="349"/>
      <c r="BN31" s="340"/>
      <c r="BO31" s="335"/>
      <c r="BP31" s="337"/>
      <c r="BQ31" s="337"/>
      <c r="BR31" s="335"/>
      <c r="BS31" s="337"/>
      <c r="BT31" s="335">
        <f t="shared" si="3"/>
        <v>0</v>
      </c>
      <c r="BU31" s="340"/>
    </row>
    <row r="32" ht="13.2" spans="1:73">
      <c r="A32" s="324" t="s">
        <v>551</v>
      </c>
      <c r="B32" s="7" t="s">
        <v>2862</v>
      </c>
      <c r="C32" s="352" t="s">
        <v>2863</v>
      </c>
      <c r="D32" s="250" t="s">
        <v>201</v>
      </c>
      <c r="E32" s="352" t="s">
        <v>202</v>
      </c>
      <c r="F32" s="222"/>
      <c r="G32" s="352" t="s">
        <v>2864</v>
      </c>
      <c r="H32" s="7" t="s">
        <v>2615</v>
      </c>
      <c r="I32" s="7" t="s">
        <v>206</v>
      </c>
      <c r="J32" s="7" t="s">
        <v>2865</v>
      </c>
      <c r="K32" s="7" t="s">
        <v>2866</v>
      </c>
      <c r="L32" s="222" t="s">
        <v>2867</v>
      </c>
      <c r="M32" s="222"/>
      <c r="N32" s="355">
        <v>44651</v>
      </c>
      <c r="O32" s="327" t="s">
        <v>232</v>
      </c>
      <c r="P32" s="7" t="s">
        <v>242</v>
      </c>
      <c r="Q32" s="329">
        <v>-17.25</v>
      </c>
      <c r="S32" s="282">
        <v>17.25</v>
      </c>
      <c r="U32" s="260">
        <v>46031</v>
      </c>
      <c r="V32" s="331">
        <v>46034</v>
      </c>
      <c r="W32" s="329">
        <v>17.25</v>
      </c>
      <c r="X32" s="332" t="s">
        <v>23</v>
      </c>
      <c r="Y32" s="344"/>
      <c r="Z32" s="334"/>
      <c r="AA32" s="332"/>
      <c r="AB32" s="334">
        <f t="shared" si="7"/>
        <v>0</v>
      </c>
      <c r="AC32" s="250" t="s">
        <v>2868</v>
      </c>
      <c r="AD32" s="282">
        <v>17.25</v>
      </c>
      <c r="AF32" s="260">
        <v>46062</v>
      </c>
      <c r="AG32" s="251">
        <v>46057</v>
      </c>
      <c r="AH32" s="335">
        <v>17.25</v>
      </c>
      <c r="AI32" s="336" t="s">
        <v>23</v>
      </c>
      <c r="AJ32" s="337"/>
      <c r="AK32" s="335"/>
      <c r="AL32" s="336"/>
      <c r="AM32" s="335">
        <f t="shared" si="0"/>
        <v>0</v>
      </c>
      <c r="AN32" s="340" t="s">
        <v>2869</v>
      </c>
      <c r="AO32" s="282">
        <v>17.25</v>
      </c>
      <c r="AQ32" s="260">
        <v>46090</v>
      </c>
      <c r="AR32" s="340" t="s">
        <v>2870</v>
      </c>
      <c r="AS32" s="336">
        <v>17.25</v>
      </c>
      <c r="AT32" s="337" t="s">
        <v>23</v>
      </c>
      <c r="AU32" s="337"/>
      <c r="AV32" s="335"/>
      <c r="AW32" s="337"/>
      <c r="AX32" s="335">
        <f t="shared" si="1"/>
        <v>0</v>
      </c>
      <c r="AY32" s="340" t="s">
        <v>2871</v>
      </c>
      <c r="AZ32" s="282">
        <v>17.25</v>
      </c>
      <c r="BB32" s="260">
        <v>46121</v>
      </c>
      <c r="BC32" s="340" t="s">
        <v>563</v>
      </c>
      <c r="BD32" s="335">
        <v>17.25</v>
      </c>
      <c r="BE32" s="337" t="s">
        <v>23</v>
      </c>
      <c r="BF32" s="337"/>
      <c r="BG32" s="335"/>
      <c r="BH32" s="337"/>
      <c r="BI32" s="335">
        <f t="shared" si="2"/>
        <v>0</v>
      </c>
      <c r="BJ32" s="340" t="s">
        <v>2872</v>
      </c>
      <c r="BK32" s="282">
        <v>17.25</v>
      </c>
      <c r="BM32" s="260">
        <v>46151</v>
      </c>
      <c r="BN32" s="340"/>
      <c r="BO32" s="335"/>
      <c r="BP32" s="337"/>
      <c r="BQ32" s="337"/>
      <c r="BR32" s="335"/>
      <c r="BS32" s="337"/>
      <c r="BT32" s="335">
        <f t="shared" si="3"/>
        <v>17.25</v>
      </c>
      <c r="BU32" s="340"/>
    </row>
    <row r="33" ht="13.2" spans="1:73">
      <c r="A33" s="346" t="s">
        <v>565</v>
      </c>
      <c r="B33" s="366" t="s">
        <v>2873</v>
      </c>
      <c r="C33" s="352" t="s">
        <v>2874</v>
      </c>
      <c r="D33" s="250" t="s">
        <v>201</v>
      </c>
      <c r="E33" s="352" t="s">
        <v>202</v>
      </c>
      <c r="F33" s="222"/>
      <c r="G33" s="367" t="s">
        <v>2875</v>
      </c>
      <c r="H33" s="7" t="s">
        <v>2615</v>
      </c>
      <c r="I33" s="7" t="s">
        <v>206</v>
      </c>
      <c r="J33" s="7" t="s">
        <v>2876</v>
      </c>
      <c r="K33" s="7" t="s">
        <v>2877</v>
      </c>
      <c r="L33" s="222" t="s">
        <v>2878</v>
      </c>
      <c r="M33" s="222"/>
      <c r="N33" s="355">
        <v>45726</v>
      </c>
      <c r="O33" s="327" t="s">
        <v>210</v>
      </c>
      <c r="P33" s="60">
        <v>42.5</v>
      </c>
      <c r="Q33" s="329">
        <v>0</v>
      </c>
      <c r="S33" s="282">
        <v>23</v>
      </c>
      <c r="U33" s="260">
        <v>46031</v>
      </c>
      <c r="V33" s="331">
        <v>46034</v>
      </c>
      <c r="W33" s="329">
        <v>23</v>
      </c>
      <c r="X33" s="332" t="s">
        <v>23</v>
      </c>
      <c r="Y33" s="333">
        <v>119417</v>
      </c>
      <c r="Z33" s="334"/>
      <c r="AA33" s="332"/>
      <c r="AB33" s="334">
        <f t="shared" si="7"/>
        <v>0</v>
      </c>
      <c r="AC33" s="250" t="s">
        <v>213</v>
      </c>
      <c r="AD33" s="282">
        <v>23</v>
      </c>
      <c r="AF33" s="260">
        <v>46062</v>
      </c>
      <c r="AG33" s="251">
        <v>46077</v>
      </c>
      <c r="AH33" s="335">
        <v>23</v>
      </c>
      <c r="AI33" s="336" t="s">
        <v>23</v>
      </c>
      <c r="AJ33" s="345"/>
      <c r="AK33" s="338"/>
      <c r="AL33" s="339"/>
      <c r="AM33" s="338">
        <f t="shared" si="0"/>
        <v>0</v>
      </c>
      <c r="AN33" s="340" t="s">
        <v>213</v>
      </c>
      <c r="AO33" s="282">
        <v>23</v>
      </c>
      <c r="AQ33" s="260">
        <v>46090</v>
      </c>
      <c r="AR33" s="340" t="s">
        <v>723</v>
      </c>
      <c r="AS33" s="335">
        <v>23</v>
      </c>
      <c r="AT33" s="337" t="s">
        <v>23</v>
      </c>
      <c r="AU33" s="337" t="s">
        <v>2879</v>
      </c>
      <c r="AV33" s="335"/>
      <c r="AW33" s="337"/>
      <c r="AX33" s="335">
        <f t="shared" si="1"/>
        <v>0</v>
      </c>
      <c r="AY33" s="340" t="s">
        <v>213</v>
      </c>
      <c r="AZ33" s="282">
        <v>23</v>
      </c>
      <c r="BB33" s="260">
        <v>46121</v>
      </c>
      <c r="BC33" s="340" t="s">
        <v>2621</v>
      </c>
      <c r="BD33" s="335">
        <v>23</v>
      </c>
      <c r="BE33" s="337" t="s">
        <v>23</v>
      </c>
      <c r="BF33" s="337"/>
      <c r="BG33" s="335"/>
      <c r="BH33" s="337"/>
      <c r="BI33" s="335">
        <f t="shared" si="2"/>
        <v>0</v>
      </c>
      <c r="BJ33" s="340"/>
      <c r="BK33" s="282">
        <v>23</v>
      </c>
      <c r="BM33" s="260">
        <v>46151</v>
      </c>
      <c r="BN33" s="340"/>
      <c r="BO33" s="335"/>
      <c r="BP33" s="337"/>
      <c r="BQ33" s="337"/>
      <c r="BR33" s="335"/>
      <c r="BS33" s="337"/>
      <c r="BT33" s="335">
        <f t="shared" si="3"/>
        <v>23</v>
      </c>
      <c r="BU33" s="340"/>
    </row>
    <row r="34" ht="13.2" spans="1:73">
      <c r="A34" s="346" t="s">
        <v>572</v>
      </c>
      <c r="B34" s="7" t="s">
        <v>2880</v>
      </c>
      <c r="C34" s="352" t="s">
        <v>2881</v>
      </c>
      <c r="D34" s="250" t="s">
        <v>201</v>
      </c>
      <c r="E34" s="352" t="s">
        <v>226</v>
      </c>
      <c r="F34" s="352" t="s">
        <v>2882</v>
      </c>
      <c r="G34" s="352" t="s">
        <v>2883</v>
      </c>
      <c r="H34" s="7" t="s">
        <v>2615</v>
      </c>
      <c r="I34" s="7" t="s">
        <v>206</v>
      </c>
      <c r="J34" s="7" t="s">
        <v>2884</v>
      </c>
      <c r="K34" s="7" t="s">
        <v>2885</v>
      </c>
      <c r="L34" s="222" t="s">
        <v>2886</v>
      </c>
      <c r="M34" s="222"/>
      <c r="N34" s="355">
        <v>45727</v>
      </c>
      <c r="O34" s="327" t="s">
        <v>210</v>
      </c>
      <c r="P34" s="60">
        <v>45</v>
      </c>
      <c r="Q34" s="329">
        <v>0</v>
      </c>
      <c r="S34" s="282">
        <v>23</v>
      </c>
      <c r="U34" s="260">
        <v>46031</v>
      </c>
      <c r="V34" s="331">
        <v>46034</v>
      </c>
      <c r="W34" s="329">
        <v>23</v>
      </c>
      <c r="X34" s="332" t="s">
        <v>23</v>
      </c>
      <c r="Y34" s="333">
        <v>119419</v>
      </c>
      <c r="Z34" s="334"/>
      <c r="AA34" s="332"/>
      <c r="AB34" s="334">
        <f t="shared" si="7"/>
        <v>0</v>
      </c>
      <c r="AC34" s="250" t="s">
        <v>213</v>
      </c>
      <c r="AD34" s="282">
        <v>23</v>
      </c>
      <c r="AF34" s="260">
        <v>46062</v>
      </c>
      <c r="AG34" s="251">
        <v>46067</v>
      </c>
      <c r="AH34" s="335">
        <v>23</v>
      </c>
      <c r="AI34" s="336" t="s">
        <v>23</v>
      </c>
      <c r="AJ34" s="337" t="s">
        <v>2887</v>
      </c>
      <c r="AK34" s="338"/>
      <c r="AL34" s="339"/>
      <c r="AM34" s="338">
        <f t="shared" si="0"/>
        <v>0</v>
      </c>
      <c r="AN34" s="340" t="s">
        <v>213</v>
      </c>
      <c r="AO34" s="282">
        <v>23</v>
      </c>
      <c r="AQ34" s="260">
        <v>46090</v>
      </c>
      <c r="AR34" s="340" t="s">
        <v>2870</v>
      </c>
      <c r="AS34" s="335">
        <v>23</v>
      </c>
      <c r="AT34" s="337" t="s">
        <v>35</v>
      </c>
      <c r="AU34" s="337"/>
      <c r="AV34" s="335"/>
      <c r="AW34" s="337"/>
      <c r="AX34" s="335">
        <f t="shared" si="1"/>
        <v>0</v>
      </c>
      <c r="AY34" s="340" t="s">
        <v>213</v>
      </c>
      <c r="AZ34" s="282">
        <v>23</v>
      </c>
      <c r="BB34" s="260">
        <v>46121</v>
      </c>
      <c r="BC34" s="340" t="s">
        <v>2621</v>
      </c>
      <c r="BD34" s="335">
        <v>23</v>
      </c>
      <c r="BE34" s="337" t="s">
        <v>23</v>
      </c>
      <c r="BF34" s="337" t="s">
        <v>2888</v>
      </c>
      <c r="BG34" s="335"/>
      <c r="BH34" s="337"/>
      <c r="BI34" s="335">
        <f t="shared" si="2"/>
        <v>0</v>
      </c>
      <c r="BJ34" s="340"/>
      <c r="BK34" s="282">
        <v>23</v>
      </c>
      <c r="BM34" s="260">
        <v>46151</v>
      </c>
      <c r="BN34" s="340"/>
      <c r="BO34" s="335"/>
      <c r="BP34" s="337"/>
      <c r="BQ34" s="337"/>
      <c r="BR34" s="335"/>
      <c r="BS34" s="337"/>
      <c r="BT34" s="335">
        <f t="shared" si="3"/>
        <v>23</v>
      </c>
      <c r="BU34" s="340"/>
    </row>
    <row r="35" ht="13.2" spans="1:73">
      <c r="A35" s="346" t="s">
        <v>599</v>
      </c>
      <c r="B35" s="298" t="s">
        <v>2889</v>
      </c>
      <c r="C35" s="352" t="s">
        <v>2890</v>
      </c>
      <c r="D35" s="250" t="s">
        <v>201</v>
      </c>
      <c r="E35" s="222"/>
      <c r="F35" s="222"/>
      <c r="G35" s="352" t="s">
        <v>2669</v>
      </c>
      <c r="H35" s="7" t="s">
        <v>2615</v>
      </c>
      <c r="I35" s="7" t="s">
        <v>206</v>
      </c>
      <c r="J35" s="7" t="s">
        <v>2670</v>
      </c>
      <c r="K35" s="7" t="s">
        <v>2671</v>
      </c>
      <c r="L35" s="222" t="s">
        <v>2891</v>
      </c>
      <c r="M35" s="222"/>
      <c r="N35" s="355">
        <v>44665</v>
      </c>
      <c r="O35" s="327" t="s">
        <v>232</v>
      </c>
      <c r="P35" s="7"/>
      <c r="Q35" s="329">
        <v>0</v>
      </c>
      <c r="U35" s="349"/>
      <c r="V35" s="350"/>
      <c r="W35" s="334"/>
      <c r="X35" s="332"/>
      <c r="Y35" s="344"/>
      <c r="Z35" s="334"/>
      <c r="AA35" s="332"/>
      <c r="AB35" s="334">
        <f t="shared" si="7"/>
        <v>0</v>
      </c>
      <c r="AC35" s="250" t="s">
        <v>213</v>
      </c>
      <c r="AF35" s="349"/>
      <c r="AH35" s="338"/>
      <c r="AI35" s="339"/>
      <c r="AJ35" s="345"/>
      <c r="AK35" s="338"/>
      <c r="AL35" s="339"/>
      <c r="AM35" s="338">
        <f t="shared" si="0"/>
        <v>0</v>
      </c>
      <c r="AN35" s="340" t="s">
        <v>213</v>
      </c>
      <c r="AQ35" s="349"/>
      <c r="AR35" s="340"/>
      <c r="AS35" s="335"/>
      <c r="AT35" s="337"/>
      <c r="AU35" s="337"/>
      <c r="AV35" s="335"/>
      <c r="AW35" s="337"/>
      <c r="AX35" s="335">
        <f t="shared" si="1"/>
        <v>0</v>
      </c>
      <c r="AY35" s="340" t="s">
        <v>213</v>
      </c>
      <c r="BB35" s="349"/>
      <c r="BC35" s="340"/>
      <c r="BD35" s="335"/>
      <c r="BE35" s="337"/>
      <c r="BF35" s="337"/>
      <c r="BG35" s="335"/>
      <c r="BH35" s="337"/>
      <c r="BI35" s="335">
        <f t="shared" si="2"/>
        <v>0</v>
      </c>
      <c r="BJ35" s="340"/>
      <c r="BM35" s="349"/>
      <c r="BN35" s="340"/>
      <c r="BO35" s="335"/>
      <c r="BP35" s="337"/>
      <c r="BQ35" s="337"/>
      <c r="BR35" s="335"/>
      <c r="BS35" s="337"/>
      <c r="BT35" s="335">
        <f t="shared" si="3"/>
        <v>0</v>
      </c>
      <c r="BU35" s="340"/>
    </row>
    <row r="36" ht="13.2" spans="1:73">
      <c r="A36" s="324" t="s">
        <v>607</v>
      </c>
      <c r="B36" s="368" t="s">
        <v>2892</v>
      </c>
      <c r="C36" s="352" t="s">
        <v>2893</v>
      </c>
      <c r="D36" s="250" t="s">
        <v>201</v>
      </c>
      <c r="E36" s="352" t="s">
        <v>202</v>
      </c>
      <c r="F36" s="352" t="s">
        <v>227</v>
      </c>
      <c r="G36" s="352" t="s">
        <v>2894</v>
      </c>
      <c r="H36" s="7" t="s">
        <v>2615</v>
      </c>
      <c r="I36" s="7" t="s">
        <v>206</v>
      </c>
      <c r="J36" s="7" t="s">
        <v>2685</v>
      </c>
      <c r="K36" s="7" t="s">
        <v>335</v>
      </c>
      <c r="L36" s="222" t="s">
        <v>2895</v>
      </c>
      <c r="M36" s="222"/>
      <c r="N36" s="232"/>
      <c r="O36" s="327" t="s">
        <v>210</v>
      </c>
      <c r="P36" s="7"/>
      <c r="Q36" s="329">
        <v>0</v>
      </c>
      <c r="S36" s="282">
        <v>23</v>
      </c>
      <c r="U36" s="260">
        <v>46031</v>
      </c>
      <c r="V36" s="350" t="s">
        <v>429</v>
      </c>
      <c r="W36" s="329">
        <v>23</v>
      </c>
      <c r="X36" s="332" t="s">
        <v>35</v>
      </c>
      <c r="Y36" s="344"/>
      <c r="Z36" s="334"/>
      <c r="AA36" s="332"/>
      <c r="AB36" s="334">
        <f t="shared" si="7"/>
        <v>0</v>
      </c>
      <c r="AC36" s="250" t="s">
        <v>2896</v>
      </c>
      <c r="AD36" s="282">
        <v>23</v>
      </c>
      <c r="AF36" s="260">
        <v>46062</v>
      </c>
      <c r="AG36" s="251">
        <v>46077</v>
      </c>
      <c r="AH36" s="335">
        <v>23</v>
      </c>
      <c r="AI36" s="336" t="s">
        <v>35</v>
      </c>
      <c r="AJ36" s="337"/>
      <c r="AK36" s="335"/>
      <c r="AL36" s="336"/>
      <c r="AM36" s="335">
        <f t="shared" si="0"/>
        <v>0</v>
      </c>
      <c r="AN36" s="340" t="s">
        <v>2897</v>
      </c>
      <c r="AO36" s="282">
        <v>23</v>
      </c>
      <c r="AQ36" s="260">
        <v>46090</v>
      </c>
      <c r="AR36" s="340" t="s">
        <v>386</v>
      </c>
      <c r="AS36" s="335">
        <v>25</v>
      </c>
      <c r="AT36" s="337" t="s">
        <v>35</v>
      </c>
      <c r="AU36" s="337"/>
      <c r="AV36" s="335"/>
      <c r="AW36" s="337"/>
      <c r="AX36" s="335">
        <f t="shared" si="1"/>
        <v>-2</v>
      </c>
      <c r="AY36" s="340" t="s">
        <v>2898</v>
      </c>
      <c r="AZ36" s="282">
        <v>23</v>
      </c>
      <c r="BB36" s="260">
        <v>46121</v>
      </c>
      <c r="BC36" s="340" t="s">
        <v>321</v>
      </c>
      <c r="BD36" s="335">
        <v>22</v>
      </c>
      <c r="BE36" s="337" t="s">
        <v>35</v>
      </c>
      <c r="BF36" s="337"/>
      <c r="BG36" s="335"/>
      <c r="BH36" s="337"/>
      <c r="BI36" s="335">
        <f t="shared" si="2"/>
        <v>-1</v>
      </c>
      <c r="BJ36" s="340" t="s">
        <v>2899</v>
      </c>
      <c r="BK36" s="282">
        <v>23</v>
      </c>
      <c r="BM36" s="260">
        <v>46151</v>
      </c>
      <c r="BN36" s="340"/>
      <c r="BO36" s="335"/>
      <c r="BP36" s="337"/>
      <c r="BQ36" s="337"/>
      <c r="BR36" s="335"/>
      <c r="BS36" s="337"/>
      <c r="BT36" s="335">
        <f t="shared" si="3"/>
        <v>22</v>
      </c>
      <c r="BU36" s="340"/>
    </row>
    <row r="37" ht="13.2" spans="1:73">
      <c r="A37" s="324" t="s">
        <v>627</v>
      </c>
      <c r="B37" s="369" t="s">
        <v>2900</v>
      </c>
      <c r="C37" s="352" t="s">
        <v>2901</v>
      </c>
      <c r="D37" s="250" t="s">
        <v>251</v>
      </c>
      <c r="E37" s="352" t="s">
        <v>226</v>
      </c>
      <c r="F37" s="222"/>
      <c r="G37" s="352" t="s">
        <v>2902</v>
      </c>
      <c r="H37" s="7" t="s">
        <v>2615</v>
      </c>
      <c r="I37" s="7" t="s">
        <v>206</v>
      </c>
      <c r="J37" s="7" t="s">
        <v>2903</v>
      </c>
      <c r="K37" s="7" t="s">
        <v>335</v>
      </c>
      <c r="L37" s="222" t="s">
        <v>2904</v>
      </c>
      <c r="M37" s="222"/>
      <c r="N37" s="355">
        <v>44691</v>
      </c>
      <c r="O37" s="327" t="s">
        <v>210</v>
      </c>
      <c r="P37" s="7" t="s">
        <v>242</v>
      </c>
      <c r="Q37" s="329">
        <v>83</v>
      </c>
      <c r="S37" s="282">
        <v>10</v>
      </c>
      <c r="U37" s="260">
        <v>46031</v>
      </c>
      <c r="V37" s="350"/>
      <c r="W37" s="334"/>
      <c r="X37" s="332"/>
      <c r="Y37" s="344"/>
      <c r="Z37" s="334"/>
      <c r="AA37" s="332"/>
      <c r="AB37" s="329">
        <v>0</v>
      </c>
      <c r="AC37" s="250" t="s">
        <v>213</v>
      </c>
      <c r="AD37" s="282">
        <v>10</v>
      </c>
      <c r="AF37" s="260">
        <v>46062</v>
      </c>
      <c r="AH37" s="338"/>
      <c r="AI37" s="339"/>
      <c r="AJ37" s="345"/>
      <c r="AK37" s="338"/>
      <c r="AL37" s="339"/>
      <c r="AM37" s="338">
        <f t="shared" si="0"/>
        <v>10</v>
      </c>
      <c r="AN37" s="340" t="s">
        <v>213</v>
      </c>
      <c r="AO37" s="282">
        <v>10</v>
      </c>
      <c r="AQ37" s="260">
        <v>46090</v>
      </c>
      <c r="AR37" s="340"/>
      <c r="AS37" s="335"/>
      <c r="AT37" s="337"/>
      <c r="AU37" s="337"/>
      <c r="AV37" s="335"/>
      <c r="AW37" s="337"/>
      <c r="AX37" s="335">
        <f t="shared" si="1"/>
        <v>20</v>
      </c>
      <c r="AY37" s="340" t="s">
        <v>213</v>
      </c>
      <c r="AZ37" s="282">
        <v>10</v>
      </c>
      <c r="BB37" s="260">
        <v>46121</v>
      </c>
      <c r="BC37" s="340"/>
      <c r="BD37" s="335"/>
      <c r="BE37" s="337"/>
      <c r="BF37" s="337"/>
      <c r="BG37" s="335"/>
      <c r="BH37" s="337"/>
      <c r="BI37" s="335">
        <f t="shared" si="2"/>
        <v>30</v>
      </c>
      <c r="BJ37" s="340"/>
      <c r="BK37" s="282">
        <v>10</v>
      </c>
      <c r="BM37" s="260">
        <v>46151</v>
      </c>
      <c r="BN37" s="340"/>
      <c r="BO37" s="335"/>
      <c r="BP37" s="337"/>
      <c r="BQ37" s="337"/>
      <c r="BR37" s="335"/>
      <c r="BS37" s="337"/>
      <c r="BT37" s="335">
        <f t="shared" si="3"/>
        <v>40</v>
      </c>
      <c r="BU37" s="340"/>
    </row>
    <row r="38" ht="13.2" spans="1:73">
      <c r="A38" s="324" t="s">
        <v>635</v>
      </c>
      <c r="B38" s="7" t="s">
        <v>2905</v>
      </c>
      <c r="C38" s="352" t="s">
        <v>2906</v>
      </c>
      <c r="D38" s="250" t="s">
        <v>201</v>
      </c>
      <c r="E38" s="352" t="s">
        <v>202</v>
      </c>
      <c r="F38" s="352" t="s">
        <v>227</v>
      </c>
      <c r="G38" s="352" t="s">
        <v>2907</v>
      </c>
      <c r="H38" s="7" t="s">
        <v>2615</v>
      </c>
      <c r="I38" s="7" t="s">
        <v>206</v>
      </c>
      <c r="J38" s="7" t="s">
        <v>2908</v>
      </c>
      <c r="K38" s="7" t="s">
        <v>2909</v>
      </c>
      <c r="L38" s="222" t="s">
        <v>2910</v>
      </c>
      <c r="M38" s="222"/>
      <c r="N38" s="355">
        <v>46097</v>
      </c>
      <c r="O38" s="327" t="s">
        <v>210</v>
      </c>
      <c r="P38" s="7" t="s">
        <v>242</v>
      </c>
      <c r="Q38" s="329">
        <v>0</v>
      </c>
      <c r="S38" s="282">
        <v>23</v>
      </c>
      <c r="U38" s="260">
        <v>46041</v>
      </c>
      <c r="V38" s="331">
        <v>46043</v>
      </c>
      <c r="W38" s="329">
        <v>23</v>
      </c>
      <c r="X38" s="332" t="s">
        <v>23</v>
      </c>
      <c r="Y38" s="344"/>
      <c r="Z38" s="334"/>
      <c r="AA38" s="332"/>
      <c r="AB38" s="334">
        <f t="shared" ref="AB38:AB55" si="8">S38+T38-W38-Z38</f>
        <v>0</v>
      </c>
      <c r="AC38" s="250" t="s">
        <v>2911</v>
      </c>
      <c r="AD38" s="282">
        <v>23</v>
      </c>
      <c r="AF38" s="260">
        <v>46072</v>
      </c>
      <c r="AG38" s="251">
        <v>46067</v>
      </c>
      <c r="AH38" s="335">
        <v>23</v>
      </c>
      <c r="AI38" s="336" t="s">
        <v>23</v>
      </c>
      <c r="AJ38" s="337" t="s">
        <v>2912</v>
      </c>
      <c r="AK38" s="335"/>
      <c r="AL38" s="336"/>
      <c r="AM38" s="335">
        <f t="shared" si="0"/>
        <v>0</v>
      </c>
      <c r="AN38" s="340" t="s">
        <v>2913</v>
      </c>
      <c r="AO38" s="282">
        <v>23</v>
      </c>
      <c r="AQ38" s="260">
        <v>46100</v>
      </c>
      <c r="AR38" s="340" t="s">
        <v>1060</v>
      </c>
      <c r="AS38" s="335">
        <v>23</v>
      </c>
      <c r="AT38" s="337" t="s">
        <v>23</v>
      </c>
      <c r="AU38" s="337"/>
      <c r="AV38" s="335"/>
      <c r="AW38" s="337"/>
      <c r="AX38" s="335">
        <f t="shared" si="1"/>
        <v>0</v>
      </c>
      <c r="AY38" s="340" t="s">
        <v>2914</v>
      </c>
      <c r="AZ38" s="282">
        <v>23</v>
      </c>
      <c r="BB38" s="260">
        <v>46131</v>
      </c>
      <c r="BC38" s="340" t="s">
        <v>1062</v>
      </c>
      <c r="BD38" s="335">
        <v>23</v>
      </c>
      <c r="BE38" s="337" t="s">
        <v>23</v>
      </c>
      <c r="BF38" s="337"/>
      <c r="BG38" s="335"/>
      <c r="BH38" s="337"/>
      <c r="BI38" s="335">
        <f t="shared" si="2"/>
        <v>0</v>
      </c>
      <c r="BJ38" s="340" t="s">
        <v>2915</v>
      </c>
      <c r="BK38" s="282">
        <v>23</v>
      </c>
      <c r="BM38" s="260">
        <v>46161</v>
      </c>
      <c r="BN38" s="340"/>
      <c r="BO38" s="335"/>
      <c r="BP38" s="337"/>
      <c r="BQ38" s="337"/>
      <c r="BR38" s="335"/>
      <c r="BS38" s="337"/>
      <c r="BT38" s="335">
        <f t="shared" si="3"/>
        <v>23</v>
      </c>
      <c r="BU38" s="340"/>
    </row>
    <row r="39" ht="13.2" spans="1:73">
      <c r="A39" s="370" t="s">
        <v>643</v>
      </c>
      <c r="B39" s="298" t="s">
        <v>2916</v>
      </c>
      <c r="C39" s="352" t="s">
        <v>2917</v>
      </c>
      <c r="D39" s="250" t="s">
        <v>251</v>
      </c>
      <c r="E39" s="352" t="s">
        <v>202</v>
      </c>
      <c r="F39" s="222"/>
      <c r="G39" s="352" t="s">
        <v>2918</v>
      </c>
      <c r="H39" s="7" t="s">
        <v>2615</v>
      </c>
      <c r="I39" s="7" t="s">
        <v>220</v>
      </c>
      <c r="J39" s="7" t="s">
        <v>2919</v>
      </c>
      <c r="K39" s="7" t="s">
        <v>2920</v>
      </c>
      <c r="L39" s="222" t="s">
        <v>2921</v>
      </c>
      <c r="M39" s="222"/>
      <c r="N39" s="355">
        <v>44695</v>
      </c>
      <c r="O39" s="327" t="s">
        <v>232</v>
      </c>
      <c r="P39" s="7" t="s">
        <v>242</v>
      </c>
      <c r="Q39" s="329">
        <v>0</v>
      </c>
      <c r="U39" s="349"/>
      <c r="V39" s="350"/>
      <c r="W39" s="334"/>
      <c r="X39" s="332"/>
      <c r="Y39" s="344"/>
      <c r="Z39" s="334"/>
      <c r="AA39" s="332"/>
      <c r="AB39" s="334">
        <f t="shared" si="8"/>
        <v>0</v>
      </c>
      <c r="AC39" s="250" t="s">
        <v>213</v>
      </c>
      <c r="AF39" s="349"/>
      <c r="AH39" s="338"/>
      <c r="AI39" s="339"/>
      <c r="AJ39" s="345"/>
      <c r="AK39" s="338"/>
      <c r="AL39" s="339"/>
      <c r="AM39" s="338">
        <f t="shared" si="0"/>
        <v>0</v>
      </c>
      <c r="AN39" s="340" t="s">
        <v>213</v>
      </c>
      <c r="AQ39" s="349"/>
      <c r="AR39" s="340"/>
      <c r="AS39" s="335"/>
      <c r="AT39" s="337"/>
      <c r="AU39" s="337"/>
      <c r="AV39" s="335"/>
      <c r="AW39" s="337"/>
      <c r="AX39" s="335">
        <f t="shared" si="1"/>
        <v>0</v>
      </c>
      <c r="AY39" s="340" t="s">
        <v>213</v>
      </c>
      <c r="BB39" s="349"/>
      <c r="BC39" s="340"/>
      <c r="BD39" s="335"/>
      <c r="BE39" s="337"/>
      <c r="BF39" s="337"/>
      <c r="BG39" s="335"/>
      <c r="BH39" s="337"/>
      <c r="BI39" s="335">
        <f t="shared" si="2"/>
        <v>0</v>
      </c>
      <c r="BJ39" s="340"/>
      <c r="BM39" s="349"/>
      <c r="BN39" s="340"/>
      <c r="BO39" s="335"/>
      <c r="BP39" s="337"/>
      <c r="BQ39" s="337"/>
      <c r="BR39" s="335"/>
      <c r="BS39" s="337"/>
      <c r="BT39" s="335">
        <f t="shared" si="3"/>
        <v>0</v>
      </c>
      <c r="BU39" s="340"/>
    </row>
    <row r="40" ht="13.2" spans="1:73">
      <c r="A40" s="324" t="s">
        <v>655</v>
      </c>
      <c r="B40" s="7" t="s">
        <v>2922</v>
      </c>
      <c r="C40" s="352" t="s">
        <v>2923</v>
      </c>
      <c r="D40" s="250" t="s">
        <v>201</v>
      </c>
      <c r="E40" s="352" t="s">
        <v>226</v>
      </c>
      <c r="F40" s="352" t="s">
        <v>170</v>
      </c>
      <c r="G40" s="352" t="s">
        <v>2924</v>
      </c>
      <c r="H40" s="7" t="s">
        <v>2615</v>
      </c>
      <c r="I40" s="7" t="s">
        <v>220</v>
      </c>
      <c r="J40" s="7" t="s">
        <v>2925</v>
      </c>
      <c r="K40" s="7" t="s">
        <v>2926</v>
      </c>
      <c r="L40" s="222" t="s">
        <v>2927</v>
      </c>
      <c r="M40" s="371" t="s">
        <v>2928</v>
      </c>
      <c r="N40" s="355">
        <v>45525</v>
      </c>
      <c r="O40" s="327" t="s">
        <v>464</v>
      </c>
      <c r="P40" s="7" t="s">
        <v>242</v>
      </c>
      <c r="Q40" s="329">
        <v>0</v>
      </c>
      <c r="S40" s="282">
        <v>32.2</v>
      </c>
      <c r="U40" s="260">
        <v>46031</v>
      </c>
      <c r="V40" s="350"/>
      <c r="W40" s="329">
        <v>32.2</v>
      </c>
      <c r="X40" s="332" t="s">
        <v>23</v>
      </c>
      <c r="Y40" s="333">
        <v>117678</v>
      </c>
      <c r="Z40" s="334"/>
      <c r="AA40" s="332"/>
      <c r="AB40" s="334">
        <f t="shared" si="8"/>
        <v>0</v>
      </c>
      <c r="AC40" s="250" t="s">
        <v>213</v>
      </c>
      <c r="AD40" s="282">
        <v>32.2</v>
      </c>
      <c r="AF40" s="260">
        <v>46062</v>
      </c>
      <c r="AG40" s="251">
        <v>46059</v>
      </c>
      <c r="AH40" s="335">
        <v>32.2</v>
      </c>
      <c r="AI40" s="336" t="s">
        <v>23</v>
      </c>
      <c r="AJ40" s="337" t="s">
        <v>2929</v>
      </c>
      <c r="AK40" s="338"/>
      <c r="AL40" s="339"/>
      <c r="AM40" s="338">
        <f t="shared" si="0"/>
        <v>0</v>
      </c>
      <c r="AN40" s="340" t="s">
        <v>213</v>
      </c>
      <c r="AO40" s="282">
        <v>32.2</v>
      </c>
      <c r="AQ40" s="260">
        <v>46090</v>
      </c>
      <c r="AR40" s="340" t="s">
        <v>840</v>
      </c>
      <c r="AS40" s="335">
        <v>32.2</v>
      </c>
      <c r="AT40" s="337" t="s">
        <v>23</v>
      </c>
      <c r="AU40" s="337"/>
      <c r="AV40" s="335"/>
      <c r="AW40" s="337"/>
      <c r="AX40" s="335">
        <f t="shared" si="1"/>
        <v>0</v>
      </c>
      <c r="AY40" s="340" t="s">
        <v>213</v>
      </c>
      <c r="AZ40" s="282">
        <v>32.2</v>
      </c>
      <c r="BB40" s="260">
        <v>46121</v>
      </c>
      <c r="BC40" s="340" t="s">
        <v>234</v>
      </c>
      <c r="BD40" s="335">
        <v>32.2</v>
      </c>
      <c r="BE40" s="337" t="s">
        <v>23</v>
      </c>
      <c r="BF40" s="337" t="s">
        <v>2930</v>
      </c>
      <c r="BG40" s="335"/>
      <c r="BH40" s="337"/>
      <c r="BI40" s="335">
        <f t="shared" si="2"/>
        <v>0</v>
      </c>
      <c r="BJ40" s="340"/>
      <c r="BK40" s="282">
        <v>32.2</v>
      </c>
      <c r="BM40" s="260">
        <v>46151</v>
      </c>
      <c r="BN40" s="340"/>
      <c r="BO40" s="335"/>
      <c r="BP40" s="337"/>
      <c r="BQ40" s="337"/>
      <c r="BR40" s="335"/>
      <c r="BS40" s="337"/>
      <c r="BT40" s="335">
        <f t="shared" si="3"/>
        <v>32.2</v>
      </c>
      <c r="BU40" s="340"/>
    </row>
    <row r="41" ht="13.2" spans="1:73">
      <c r="A41" s="353" t="s">
        <v>670</v>
      </c>
      <c r="B41" s="7" t="s">
        <v>2931</v>
      </c>
      <c r="C41" s="352" t="s">
        <v>2932</v>
      </c>
      <c r="D41" s="250" t="s">
        <v>201</v>
      </c>
      <c r="E41" s="352" t="s">
        <v>202</v>
      </c>
      <c r="F41" s="222"/>
      <c r="G41" s="352" t="s">
        <v>2933</v>
      </c>
      <c r="H41" s="7" t="s">
        <v>2615</v>
      </c>
      <c r="I41" s="7" t="s">
        <v>206</v>
      </c>
      <c r="J41" s="7" t="s">
        <v>2735</v>
      </c>
      <c r="K41" s="372"/>
      <c r="L41" s="222" t="s">
        <v>2934</v>
      </c>
      <c r="M41" s="222"/>
      <c r="N41" s="355">
        <v>44704</v>
      </c>
      <c r="O41" s="327" t="s">
        <v>210</v>
      </c>
      <c r="P41" s="7" t="s">
        <v>242</v>
      </c>
      <c r="Q41" s="329">
        <v>0</v>
      </c>
      <c r="S41" s="282">
        <v>17.25</v>
      </c>
      <c r="U41" s="260">
        <v>46041</v>
      </c>
      <c r="V41" s="331">
        <v>46038</v>
      </c>
      <c r="W41" s="329">
        <v>17.25</v>
      </c>
      <c r="X41" s="332" t="s">
        <v>23</v>
      </c>
      <c r="Y41" s="333">
        <v>120480</v>
      </c>
      <c r="Z41" s="334"/>
      <c r="AA41" s="332"/>
      <c r="AB41" s="334">
        <f t="shared" si="8"/>
        <v>0</v>
      </c>
      <c r="AC41" s="250" t="s">
        <v>2935</v>
      </c>
      <c r="AD41" s="282">
        <v>17.25</v>
      </c>
      <c r="AF41" s="260">
        <v>46072</v>
      </c>
      <c r="AG41" s="251">
        <v>46072</v>
      </c>
      <c r="AH41" s="335">
        <v>17.25</v>
      </c>
      <c r="AI41" s="336" t="s">
        <v>23</v>
      </c>
      <c r="AJ41" s="337" t="s">
        <v>2936</v>
      </c>
      <c r="AK41" s="335"/>
      <c r="AL41" s="336"/>
      <c r="AM41" s="335">
        <f t="shared" si="0"/>
        <v>0</v>
      </c>
      <c r="AN41" s="340" t="s">
        <v>2937</v>
      </c>
      <c r="AO41" s="282">
        <v>17.25</v>
      </c>
      <c r="AQ41" s="260">
        <v>46100</v>
      </c>
      <c r="AR41" s="340" t="s">
        <v>360</v>
      </c>
      <c r="AS41" s="335">
        <v>17.25</v>
      </c>
      <c r="AT41" s="337" t="s">
        <v>23</v>
      </c>
      <c r="AU41" s="337"/>
      <c r="AV41" s="335"/>
      <c r="AW41" s="337"/>
      <c r="AX41" s="335">
        <f t="shared" si="1"/>
        <v>0</v>
      </c>
      <c r="AY41" s="340" t="s">
        <v>2938</v>
      </c>
      <c r="AZ41" s="282">
        <v>17.25</v>
      </c>
      <c r="BB41" s="260">
        <v>46131</v>
      </c>
      <c r="BC41" s="340" t="s">
        <v>2621</v>
      </c>
      <c r="BD41" s="335">
        <v>17.25</v>
      </c>
      <c r="BE41" s="337" t="s">
        <v>23</v>
      </c>
      <c r="BF41" s="337" t="s">
        <v>2939</v>
      </c>
      <c r="BG41" s="335"/>
      <c r="BH41" s="337"/>
      <c r="BI41" s="335">
        <f t="shared" si="2"/>
        <v>0</v>
      </c>
      <c r="BJ41" s="340" t="s">
        <v>2940</v>
      </c>
      <c r="BK41" s="282">
        <v>17.25</v>
      </c>
      <c r="BM41" s="260">
        <v>46161</v>
      </c>
      <c r="BN41" s="340"/>
      <c r="BO41" s="335"/>
      <c r="BP41" s="337"/>
      <c r="BQ41" s="337"/>
      <c r="BR41" s="335"/>
      <c r="BS41" s="337"/>
      <c r="BT41" s="335">
        <f t="shared" si="3"/>
        <v>17.25</v>
      </c>
      <c r="BU41" s="340"/>
    </row>
    <row r="42" ht="13.2" spans="1:73">
      <c r="A42" s="353" t="s">
        <v>2941</v>
      </c>
      <c r="B42" s="373" t="s">
        <v>2942</v>
      </c>
      <c r="C42" s="352" t="s">
        <v>2943</v>
      </c>
      <c r="D42" s="250" t="s">
        <v>472</v>
      </c>
      <c r="E42" s="352" t="s">
        <v>202</v>
      </c>
      <c r="F42" s="222"/>
      <c r="G42" s="352" t="s">
        <v>2944</v>
      </c>
      <c r="H42" s="7" t="s">
        <v>2615</v>
      </c>
      <c r="I42" s="7" t="s">
        <v>206</v>
      </c>
      <c r="J42" s="7" t="s">
        <v>2945</v>
      </c>
      <c r="K42" s="7" t="s">
        <v>2946</v>
      </c>
      <c r="L42" s="222" t="s">
        <v>2947</v>
      </c>
      <c r="M42" s="222"/>
      <c r="N42" s="355">
        <v>44728</v>
      </c>
      <c r="O42" s="327" t="s">
        <v>210</v>
      </c>
      <c r="P42" s="7" t="s">
        <v>242</v>
      </c>
      <c r="Q42" s="329">
        <v>0</v>
      </c>
      <c r="S42" s="282">
        <v>23</v>
      </c>
      <c r="U42" s="260">
        <v>46041</v>
      </c>
      <c r="V42" s="331">
        <v>46050</v>
      </c>
      <c r="W42" s="329">
        <v>23</v>
      </c>
      <c r="X42" s="332" t="s">
        <v>23</v>
      </c>
      <c r="Y42" s="344"/>
      <c r="Z42" s="334"/>
      <c r="AA42" s="332"/>
      <c r="AB42" s="334">
        <f t="shared" si="8"/>
        <v>0</v>
      </c>
      <c r="AC42" s="250" t="s">
        <v>2948</v>
      </c>
      <c r="AD42" s="282">
        <v>23</v>
      </c>
      <c r="AF42" s="260">
        <v>46072</v>
      </c>
      <c r="AG42" s="251">
        <v>46081</v>
      </c>
      <c r="AH42" s="335">
        <v>23</v>
      </c>
      <c r="AI42" s="336" t="s">
        <v>23</v>
      </c>
      <c r="AJ42" s="337" t="s">
        <v>2949</v>
      </c>
      <c r="AK42" s="335"/>
      <c r="AL42" s="336"/>
      <c r="AM42" s="335">
        <f t="shared" si="0"/>
        <v>0</v>
      </c>
      <c r="AN42" s="340" t="s">
        <v>2950</v>
      </c>
      <c r="AO42" s="282">
        <v>23</v>
      </c>
      <c r="AQ42" s="260">
        <v>46100</v>
      </c>
      <c r="AR42" s="340" t="s">
        <v>723</v>
      </c>
      <c r="AS42" s="335">
        <v>23</v>
      </c>
      <c r="AT42" s="337" t="s">
        <v>23</v>
      </c>
      <c r="AU42" s="337"/>
      <c r="AV42" s="335"/>
      <c r="AW42" s="337"/>
      <c r="AX42" s="335">
        <f t="shared" si="1"/>
        <v>0</v>
      </c>
      <c r="AY42" s="340" t="s">
        <v>2951</v>
      </c>
      <c r="AZ42" s="282">
        <v>23</v>
      </c>
      <c r="BB42" s="260">
        <v>46131</v>
      </c>
      <c r="BC42" s="340"/>
      <c r="BD42" s="335"/>
      <c r="BE42" s="337"/>
      <c r="BF42" s="337"/>
      <c r="BG42" s="335"/>
      <c r="BH42" s="337"/>
      <c r="BI42" s="335">
        <f t="shared" si="2"/>
        <v>23</v>
      </c>
      <c r="BJ42" s="340" t="s">
        <v>2952</v>
      </c>
      <c r="BK42" s="282">
        <v>10</v>
      </c>
      <c r="BM42" s="260">
        <v>46161</v>
      </c>
      <c r="BN42" s="340"/>
      <c r="BO42" s="335"/>
      <c r="BP42" s="337"/>
      <c r="BQ42" s="337"/>
      <c r="BR42" s="335"/>
      <c r="BS42" s="337"/>
      <c r="BT42" s="335">
        <f t="shared" si="3"/>
        <v>33</v>
      </c>
      <c r="BU42" s="340"/>
    </row>
    <row r="43" ht="13.2" spans="1:73">
      <c r="A43" s="324" t="s">
        <v>2953</v>
      </c>
      <c r="B43" s="374" t="s">
        <v>2954</v>
      </c>
      <c r="C43" s="352" t="s">
        <v>2955</v>
      </c>
      <c r="D43" s="250" t="s">
        <v>201</v>
      </c>
      <c r="E43" s="352" t="s">
        <v>226</v>
      </c>
      <c r="F43" s="222"/>
      <c r="G43" s="352" t="s">
        <v>2956</v>
      </c>
      <c r="H43" s="7" t="s">
        <v>2615</v>
      </c>
      <c r="I43" s="7" t="s">
        <v>220</v>
      </c>
      <c r="J43" s="7" t="s">
        <v>2957</v>
      </c>
      <c r="K43" s="7" t="s">
        <v>2958</v>
      </c>
      <c r="L43" s="222" t="s">
        <v>2959</v>
      </c>
      <c r="M43" s="222"/>
      <c r="N43" s="355">
        <v>44732</v>
      </c>
      <c r="O43" s="327" t="s">
        <v>384</v>
      </c>
      <c r="P43" s="7" t="s">
        <v>242</v>
      </c>
      <c r="Q43" s="329">
        <v>0</v>
      </c>
      <c r="S43" s="282">
        <v>20.54</v>
      </c>
      <c r="U43" s="260">
        <v>46046</v>
      </c>
      <c r="V43" s="331">
        <v>46053</v>
      </c>
      <c r="W43" s="329">
        <v>18.05</v>
      </c>
      <c r="X43" s="332" t="s">
        <v>23</v>
      </c>
      <c r="Y43" s="344"/>
      <c r="Z43" s="334"/>
      <c r="AA43" s="332"/>
      <c r="AB43" s="334">
        <f t="shared" si="8"/>
        <v>2.49</v>
      </c>
      <c r="AC43" s="250" t="s">
        <v>213</v>
      </c>
      <c r="AD43" s="282">
        <f>20.54-2.46</f>
        <v>18.08</v>
      </c>
      <c r="AF43" s="260">
        <v>46077</v>
      </c>
      <c r="AG43" s="251">
        <v>46081</v>
      </c>
      <c r="AH43" s="335">
        <v>20.57</v>
      </c>
      <c r="AI43" s="336" t="s">
        <v>23</v>
      </c>
      <c r="AJ43" s="337" t="s">
        <v>2960</v>
      </c>
      <c r="AK43" s="338"/>
      <c r="AL43" s="339"/>
      <c r="AM43" s="338">
        <f t="shared" si="0"/>
        <v>0</v>
      </c>
      <c r="AN43" s="340" t="s">
        <v>213</v>
      </c>
      <c r="AO43" s="282">
        <v>20.54</v>
      </c>
      <c r="AQ43" s="260">
        <v>46105</v>
      </c>
      <c r="AR43" s="340" t="s">
        <v>386</v>
      </c>
      <c r="AS43" s="335">
        <v>20.54</v>
      </c>
      <c r="AT43" s="337" t="s">
        <v>23</v>
      </c>
      <c r="AU43" s="337"/>
      <c r="AV43" s="335"/>
      <c r="AW43" s="337"/>
      <c r="AX43" s="335">
        <f t="shared" si="1"/>
        <v>0</v>
      </c>
      <c r="AY43" s="340" t="s">
        <v>213</v>
      </c>
      <c r="AZ43" s="282">
        <v>20.54</v>
      </c>
      <c r="BB43" s="260">
        <v>46136</v>
      </c>
      <c r="BC43" s="340" t="s">
        <v>223</v>
      </c>
      <c r="BD43" s="335">
        <v>20.54</v>
      </c>
      <c r="BE43" s="337" t="s">
        <v>23</v>
      </c>
      <c r="BF43" s="337" t="s">
        <v>2961</v>
      </c>
      <c r="BG43" s="335"/>
      <c r="BH43" s="337"/>
      <c r="BI43" s="335">
        <f t="shared" si="2"/>
        <v>0</v>
      </c>
      <c r="BJ43" s="340"/>
      <c r="BK43" s="282">
        <v>20.54</v>
      </c>
      <c r="BM43" s="260">
        <v>46166</v>
      </c>
      <c r="BN43" s="340"/>
      <c r="BO43" s="335"/>
      <c r="BP43" s="337"/>
      <c r="BQ43" s="337"/>
      <c r="BR43" s="335"/>
      <c r="BS43" s="337"/>
      <c r="BT43" s="335">
        <f t="shared" si="3"/>
        <v>20.54</v>
      </c>
      <c r="BU43" s="340"/>
    </row>
    <row r="44" ht="13.2" spans="1:73">
      <c r="A44" s="362" t="s">
        <v>798</v>
      </c>
      <c r="B44" s="7" t="s">
        <v>2962</v>
      </c>
      <c r="C44" s="352" t="s">
        <v>2963</v>
      </c>
      <c r="D44" s="250" t="s">
        <v>201</v>
      </c>
      <c r="E44" s="352" t="s">
        <v>226</v>
      </c>
      <c r="F44" s="222"/>
      <c r="G44" s="352" t="s">
        <v>2956</v>
      </c>
      <c r="H44" s="7" t="s">
        <v>2615</v>
      </c>
      <c r="I44" s="7" t="s">
        <v>220</v>
      </c>
      <c r="J44" s="7" t="s">
        <v>2964</v>
      </c>
      <c r="K44" s="7" t="s">
        <v>2958</v>
      </c>
      <c r="L44" s="222" t="s">
        <v>2965</v>
      </c>
      <c r="M44" s="222"/>
      <c r="N44" s="54">
        <v>44995</v>
      </c>
      <c r="O44" s="327" t="s">
        <v>232</v>
      </c>
      <c r="P44" s="7" t="s">
        <v>242</v>
      </c>
      <c r="Q44" s="329">
        <v>0</v>
      </c>
      <c r="S44" s="282">
        <v>17.25</v>
      </c>
      <c r="U44" s="260">
        <v>46046</v>
      </c>
      <c r="V44" s="331">
        <v>46053</v>
      </c>
      <c r="W44" s="329">
        <v>17.25</v>
      </c>
      <c r="X44" s="332" t="s">
        <v>23</v>
      </c>
      <c r="Y44" s="344"/>
      <c r="Z44" s="334"/>
      <c r="AA44" s="332"/>
      <c r="AB44" s="334">
        <f t="shared" si="8"/>
        <v>0</v>
      </c>
      <c r="AC44" s="250" t="s">
        <v>213</v>
      </c>
      <c r="AD44" s="282">
        <v>17.25</v>
      </c>
      <c r="AF44" s="260">
        <v>46077</v>
      </c>
      <c r="AG44" s="251">
        <v>46081</v>
      </c>
      <c r="AH44" s="335">
        <v>17.25</v>
      </c>
      <c r="AI44" s="336" t="s">
        <v>23</v>
      </c>
      <c r="AJ44" s="337" t="s">
        <v>2966</v>
      </c>
      <c r="AK44" s="338"/>
      <c r="AL44" s="339"/>
      <c r="AM44" s="338">
        <f t="shared" si="0"/>
        <v>0</v>
      </c>
      <c r="AN44" s="340" t="s">
        <v>213</v>
      </c>
      <c r="AO44" s="282">
        <v>17.25</v>
      </c>
      <c r="AQ44" s="260">
        <v>46105</v>
      </c>
      <c r="AR44" s="340" t="s">
        <v>1463</v>
      </c>
      <c r="AS44" s="335">
        <v>17.25</v>
      </c>
      <c r="AT44" s="337" t="s">
        <v>23</v>
      </c>
      <c r="AU44" s="337"/>
      <c r="AV44" s="335"/>
      <c r="AW44" s="337"/>
      <c r="AX44" s="335">
        <f t="shared" si="1"/>
        <v>0</v>
      </c>
      <c r="AY44" s="340" t="s">
        <v>213</v>
      </c>
      <c r="AZ44" s="282">
        <v>17.25</v>
      </c>
      <c r="BB44" s="260">
        <v>46136</v>
      </c>
      <c r="BC44" s="340" t="s">
        <v>223</v>
      </c>
      <c r="BD44" s="335">
        <v>17.25</v>
      </c>
      <c r="BE44" s="337" t="s">
        <v>23</v>
      </c>
      <c r="BF44" s="337" t="s">
        <v>2967</v>
      </c>
      <c r="BG44" s="335"/>
      <c r="BH44" s="337"/>
      <c r="BI44" s="335">
        <f t="shared" si="2"/>
        <v>0</v>
      </c>
      <c r="BJ44" s="340"/>
      <c r="BK44" s="282">
        <v>17.25</v>
      </c>
      <c r="BM44" s="260">
        <v>46166</v>
      </c>
      <c r="BN44" s="340"/>
      <c r="BO44" s="335"/>
      <c r="BP44" s="337"/>
      <c r="BQ44" s="337"/>
      <c r="BR44" s="335"/>
      <c r="BS44" s="337"/>
      <c r="BT44" s="335">
        <f t="shared" si="3"/>
        <v>17.25</v>
      </c>
      <c r="BU44" s="340"/>
    </row>
    <row r="45" ht="13.2" spans="1:73">
      <c r="A45" s="346" t="s">
        <v>2968</v>
      </c>
      <c r="B45" s="298" t="s">
        <v>2969</v>
      </c>
      <c r="C45" s="352" t="s">
        <v>2970</v>
      </c>
      <c r="D45" s="250" t="s">
        <v>251</v>
      </c>
      <c r="E45" s="222"/>
      <c r="F45" s="222"/>
      <c r="G45" s="352" t="s">
        <v>2971</v>
      </c>
      <c r="H45" s="7" t="s">
        <v>2615</v>
      </c>
      <c r="I45" s="7" t="s">
        <v>220</v>
      </c>
      <c r="J45" s="7" t="s">
        <v>2972</v>
      </c>
      <c r="K45" s="7" t="s">
        <v>2973</v>
      </c>
      <c r="L45" s="222" t="s">
        <v>2974</v>
      </c>
      <c r="M45" s="222"/>
      <c r="N45" s="54">
        <v>44800</v>
      </c>
      <c r="O45" s="327" t="s">
        <v>210</v>
      </c>
      <c r="P45" s="7" t="s">
        <v>242</v>
      </c>
      <c r="Q45" s="329">
        <v>0</v>
      </c>
      <c r="U45" s="349"/>
      <c r="V45" s="350"/>
      <c r="W45" s="334"/>
      <c r="X45" s="332"/>
      <c r="Y45" s="344"/>
      <c r="Z45" s="334"/>
      <c r="AA45" s="332"/>
      <c r="AB45" s="334">
        <f t="shared" si="8"/>
        <v>0</v>
      </c>
      <c r="AC45" s="250" t="s">
        <v>213</v>
      </c>
      <c r="AF45" s="349"/>
      <c r="AH45" s="338"/>
      <c r="AI45" s="339"/>
      <c r="AJ45" s="345"/>
      <c r="AK45" s="338"/>
      <c r="AL45" s="339"/>
      <c r="AM45" s="338">
        <f t="shared" si="0"/>
        <v>0</v>
      </c>
      <c r="AN45" s="340" t="s">
        <v>213</v>
      </c>
      <c r="AQ45" s="349"/>
      <c r="AR45" s="340"/>
      <c r="AS45" s="335"/>
      <c r="AT45" s="337"/>
      <c r="AU45" s="337"/>
      <c r="AV45" s="335"/>
      <c r="AW45" s="337"/>
      <c r="AX45" s="335">
        <f t="shared" si="1"/>
        <v>0</v>
      </c>
      <c r="AY45" s="340" t="s">
        <v>213</v>
      </c>
      <c r="BB45" s="349"/>
      <c r="BC45" s="340"/>
      <c r="BD45" s="335"/>
      <c r="BE45" s="337"/>
      <c r="BF45" s="337"/>
      <c r="BG45" s="335"/>
      <c r="BH45" s="337"/>
      <c r="BI45" s="335">
        <f t="shared" si="2"/>
        <v>0</v>
      </c>
      <c r="BJ45" s="340"/>
      <c r="BM45" s="349"/>
      <c r="BN45" s="340"/>
      <c r="BO45" s="335"/>
      <c r="BP45" s="337"/>
      <c r="BQ45" s="337"/>
      <c r="BR45" s="335"/>
      <c r="BS45" s="337"/>
      <c r="BT45" s="335">
        <f t="shared" si="3"/>
        <v>0</v>
      </c>
      <c r="BU45" s="340"/>
    </row>
    <row r="46" ht="13.2" spans="1:73">
      <c r="A46" s="324" t="s">
        <v>713</v>
      </c>
      <c r="B46" s="7" t="s">
        <v>2975</v>
      </c>
      <c r="C46" s="352" t="s">
        <v>2976</v>
      </c>
      <c r="D46" s="250" t="s">
        <v>201</v>
      </c>
      <c r="E46" s="352" t="s">
        <v>202</v>
      </c>
      <c r="F46" s="222"/>
      <c r="G46" s="352" t="s">
        <v>2977</v>
      </c>
      <c r="H46" s="7" t="s">
        <v>2615</v>
      </c>
      <c r="I46" s="7" t="s">
        <v>206</v>
      </c>
      <c r="J46" s="7" t="s">
        <v>2978</v>
      </c>
      <c r="K46" s="134" t="s">
        <v>2979</v>
      </c>
      <c r="L46" s="222" t="s">
        <v>2980</v>
      </c>
      <c r="M46" s="222"/>
      <c r="N46" s="54">
        <v>44816</v>
      </c>
      <c r="O46" s="327" t="s">
        <v>210</v>
      </c>
      <c r="P46" s="60">
        <v>15</v>
      </c>
      <c r="Q46" s="329">
        <v>0</v>
      </c>
      <c r="S46" s="282">
        <v>23</v>
      </c>
      <c r="U46" s="260">
        <v>46031</v>
      </c>
      <c r="V46" s="331">
        <v>46031</v>
      </c>
      <c r="W46" s="329">
        <v>23</v>
      </c>
      <c r="X46" s="332" t="s">
        <v>35</v>
      </c>
      <c r="Y46" s="344"/>
      <c r="Z46" s="334"/>
      <c r="AA46" s="332"/>
      <c r="AB46" s="334">
        <f t="shared" si="8"/>
        <v>0</v>
      </c>
      <c r="AC46" s="250" t="s">
        <v>2981</v>
      </c>
      <c r="AD46" s="282">
        <v>23</v>
      </c>
      <c r="AF46" s="260">
        <v>46062</v>
      </c>
      <c r="AG46" s="251">
        <v>46066</v>
      </c>
      <c r="AH46" s="335">
        <v>23</v>
      </c>
      <c r="AI46" s="336" t="s">
        <v>35</v>
      </c>
      <c r="AJ46" s="337"/>
      <c r="AK46" s="335"/>
      <c r="AL46" s="336"/>
      <c r="AM46" s="335">
        <f t="shared" si="0"/>
        <v>0</v>
      </c>
      <c r="AN46" s="340" t="s">
        <v>2982</v>
      </c>
      <c r="AO46" s="282">
        <v>23</v>
      </c>
      <c r="AQ46" s="260">
        <v>46090</v>
      </c>
      <c r="AR46" s="340" t="s">
        <v>1724</v>
      </c>
      <c r="AS46" s="335">
        <v>23</v>
      </c>
      <c r="AT46" s="337" t="s">
        <v>35</v>
      </c>
      <c r="AU46" s="337"/>
      <c r="AV46" s="335"/>
      <c r="AW46" s="337"/>
      <c r="AX46" s="335">
        <f t="shared" si="1"/>
        <v>0</v>
      </c>
      <c r="AY46" s="340" t="s">
        <v>2983</v>
      </c>
      <c r="AZ46" s="282">
        <v>23</v>
      </c>
      <c r="BB46" s="260">
        <v>46121</v>
      </c>
      <c r="BC46" s="340" t="s">
        <v>2984</v>
      </c>
      <c r="BD46" s="335">
        <v>23</v>
      </c>
      <c r="BE46" s="337" t="s">
        <v>35</v>
      </c>
      <c r="BF46" s="337"/>
      <c r="BG46" s="335"/>
      <c r="BH46" s="337"/>
      <c r="BI46" s="335">
        <f t="shared" si="2"/>
        <v>0</v>
      </c>
      <c r="BJ46" s="340" t="s">
        <v>2985</v>
      </c>
      <c r="BK46" s="282">
        <v>23</v>
      </c>
      <c r="BM46" s="260">
        <v>46151</v>
      </c>
      <c r="BN46" s="340"/>
      <c r="BO46" s="335"/>
      <c r="BP46" s="337"/>
      <c r="BQ46" s="337"/>
      <c r="BR46" s="335"/>
      <c r="BS46" s="337"/>
      <c r="BT46" s="335">
        <f t="shared" si="3"/>
        <v>23</v>
      </c>
      <c r="BU46" s="340"/>
    </row>
    <row r="47" ht="13.2" spans="1:73">
      <c r="A47" s="346" t="s">
        <v>2986</v>
      </c>
      <c r="B47" s="7" t="s">
        <v>2987</v>
      </c>
      <c r="C47" s="352" t="s">
        <v>2988</v>
      </c>
      <c r="D47" s="250" t="s">
        <v>201</v>
      </c>
      <c r="E47" s="352" t="s">
        <v>226</v>
      </c>
      <c r="F47" s="222"/>
      <c r="G47" s="352" t="s">
        <v>2989</v>
      </c>
      <c r="H47" s="7" t="s">
        <v>2615</v>
      </c>
      <c r="I47" s="7" t="s">
        <v>220</v>
      </c>
      <c r="J47" s="7" t="s">
        <v>2990</v>
      </c>
      <c r="K47" s="375" t="s">
        <v>2991</v>
      </c>
      <c r="L47" s="222" t="s">
        <v>2992</v>
      </c>
      <c r="M47" s="222"/>
      <c r="N47" s="54">
        <v>44820</v>
      </c>
      <c r="O47" s="327" t="s">
        <v>232</v>
      </c>
      <c r="P47" s="60">
        <v>10</v>
      </c>
      <c r="Q47" s="329">
        <v>0</v>
      </c>
      <c r="S47" s="282">
        <v>17.25</v>
      </c>
      <c r="U47" s="260">
        <v>46031</v>
      </c>
      <c r="V47" s="331">
        <v>46038</v>
      </c>
      <c r="W47" s="329">
        <v>17.25</v>
      </c>
      <c r="X47" s="332" t="s">
        <v>23</v>
      </c>
      <c r="Y47" s="344"/>
      <c r="Z47" s="334"/>
      <c r="AA47" s="332"/>
      <c r="AB47" s="334">
        <f t="shared" si="8"/>
        <v>0</v>
      </c>
      <c r="AC47" s="250" t="s">
        <v>213</v>
      </c>
      <c r="AD47" s="282">
        <v>17.25</v>
      </c>
      <c r="AF47" s="260">
        <v>46062</v>
      </c>
      <c r="AG47" s="251">
        <v>46072</v>
      </c>
      <c r="AH47" s="335">
        <v>15.25</v>
      </c>
      <c r="AI47" s="336" t="s">
        <v>23</v>
      </c>
      <c r="AJ47" s="345"/>
      <c r="AK47" s="338"/>
      <c r="AL47" s="339"/>
      <c r="AM47" s="338">
        <f t="shared" si="0"/>
        <v>2</v>
      </c>
      <c r="AN47" s="340" t="s">
        <v>213</v>
      </c>
      <c r="AO47" s="282">
        <v>17.25</v>
      </c>
      <c r="AQ47" s="260">
        <v>46090</v>
      </c>
      <c r="AR47" s="340" t="s">
        <v>360</v>
      </c>
      <c r="AS47" s="335">
        <v>19.25</v>
      </c>
      <c r="AT47" s="337" t="s">
        <v>23</v>
      </c>
      <c r="AU47" s="337"/>
      <c r="AV47" s="335"/>
      <c r="AW47" s="337"/>
      <c r="AX47" s="335">
        <f t="shared" si="1"/>
        <v>0</v>
      </c>
      <c r="AY47" s="340" t="s">
        <v>213</v>
      </c>
      <c r="AZ47" s="282">
        <v>17.25</v>
      </c>
      <c r="BB47" s="260">
        <v>46121</v>
      </c>
      <c r="BC47" s="340" t="s">
        <v>215</v>
      </c>
      <c r="BD47" s="335">
        <v>17.25</v>
      </c>
      <c r="BE47" s="337" t="s">
        <v>23</v>
      </c>
      <c r="BF47" s="337"/>
      <c r="BG47" s="335"/>
      <c r="BH47" s="337"/>
      <c r="BI47" s="335">
        <f t="shared" si="2"/>
        <v>0</v>
      </c>
      <c r="BJ47" s="340"/>
      <c r="BK47" s="282">
        <v>17.25</v>
      </c>
      <c r="BM47" s="260">
        <v>46151</v>
      </c>
      <c r="BN47" s="340"/>
      <c r="BO47" s="335"/>
      <c r="BP47" s="337"/>
      <c r="BQ47" s="337"/>
      <c r="BR47" s="335"/>
      <c r="BS47" s="337"/>
      <c r="BT47" s="335">
        <f t="shared" si="3"/>
        <v>17.25</v>
      </c>
      <c r="BU47" s="340"/>
    </row>
    <row r="48" ht="13.2" spans="1:73">
      <c r="A48" s="346" t="s">
        <v>726</v>
      </c>
      <c r="B48" s="7" t="s">
        <v>2993</v>
      </c>
      <c r="C48" s="352" t="s">
        <v>2994</v>
      </c>
      <c r="D48" s="250" t="s">
        <v>201</v>
      </c>
      <c r="E48" s="352" t="s">
        <v>202</v>
      </c>
      <c r="F48" s="222"/>
      <c r="G48" s="352" t="s">
        <v>2995</v>
      </c>
      <c r="H48" s="7" t="s">
        <v>2615</v>
      </c>
      <c r="I48" s="7" t="s">
        <v>206</v>
      </c>
      <c r="J48" s="7" t="s">
        <v>2996</v>
      </c>
      <c r="K48" s="7"/>
      <c r="L48" s="222" t="s">
        <v>2997</v>
      </c>
      <c r="M48" s="222"/>
      <c r="N48" s="54">
        <v>44824</v>
      </c>
      <c r="O48" s="327" t="s">
        <v>210</v>
      </c>
      <c r="P48" s="60">
        <v>20</v>
      </c>
      <c r="Q48" s="329">
        <v>0</v>
      </c>
      <c r="S48" s="282">
        <v>23</v>
      </c>
      <c r="U48" s="260">
        <v>46036</v>
      </c>
      <c r="V48" s="331">
        <v>46038</v>
      </c>
      <c r="W48" s="329">
        <v>23</v>
      </c>
      <c r="X48" s="332" t="s">
        <v>23</v>
      </c>
      <c r="Y48" s="333">
        <v>120482</v>
      </c>
      <c r="Z48" s="334"/>
      <c r="AA48" s="332"/>
      <c r="AB48" s="334">
        <f t="shared" si="8"/>
        <v>0</v>
      </c>
      <c r="AC48" s="250" t="s">
        <v>2998</v>
      </c>
      <c r="AD48" s="282">
        <v>23</v>
      </c>
      <c r="AF48" s="260">
        <v>46067</v>
      </c>
      <c r="AG48" s="251">
        <v>46077</v>
      </c>
      <c r="AH48" s="335">
        <v>23</v>
      </c>
      <c r="AI48" s="336" t="s">
        <v>23</v>
      </c>
      <c r="AJ48" s="337"/>
      <c r="AK48" s="335"/>
      <c r="AL48" s="336"/>
      <c r="AM48" s="335">
        <f t="shared" si="0"/>
        <v>0</v>
      </c>
      <c r="AN48" s="340" t="s">
        <v>2999</v>
      </c>
      <c r="AO48" s="282">
        <v>23</v>
      </c>
      <c r="AQ48" s="260">
        <v>46095</v>
      </c>
      <c r="AR48" s="340" t="s">
        <v>723</v>
      </c>
      <c r="AS48" s="335">
        <v>23</v>
      </c>
      <c r="AT48" s="337" t="s">
        <v>23</v>
      </c>
      <c r="AU48" s="337"/>
      <c r="AV48" s="335"/>
      <c r="AW48" s="337"/>
      <c r="AX48" s="335">
        <f t="shared" si="1"/>
        <v>0</v>
      </c>
      <c r="AY48" s="340" t="s">
        <v>3000</v>
      </c>
      <c r="AZ48" s="282">
        <v>23</v>
      </c>
      <c r="BB48" s="260">
        <v>46126</v>
      </c>
      <c r="BC48" s="340" t="s">
        <v>321</v>
      </c>
      <c r="BD48" s="335">
        <v>23</v>
      </c>
      <c r="BE48" s="337" t="s">
        <v>23</v>
      </c>
      <c r="BF48" s="337"/>
      <c r="BG48" s="335"/>
      <c r="BH48" s="337"/>
      <c r="BI48" s="335">
        <f t="shared" si="2"/>
        <v>0</v>
      </c>
      <c r="BJ48" s="340" t="s">
        <v>3001</v>
      </c>
      <c r="BK48" s="282">
        <v>23</v>
      </c>
      <c r="BM48" s="260">
        <v>46156</v>
      </c>
      <c r="BN48" s="340"/>
      <c r="BO48" s="335"/>
      <c r="BP48" s="337"/>
      <c r="BQ48" s="337"/>
      <c r="BR48" s="335"/>
      <c r="BS48" s="337"/>
      <c r="BT48" s="335">
        <f t="shared" si="3"/>
        <v>23</v>
      </c>
      <c r="BU48" s="340"/>
    </row>
    <row r="49" ht="13.2" spans="1:73">
      <c r="A49" s="346" t="s">
        <v>733</v>
      </c>
      <c r="B49" s="7" t="s">
        <v>3002</v>
      </c>
      <c r="C49" s="352" t="s">
        <v>3003</v>
      </c>
      <c r="D49" s="250" t="s">
        <v>201</v>
      </c>
      <c r="E49" s="352" t="s">
        <v>202</v>
      </c>
      <c r="F49" s="222"/>
      <c r="G49" s="352" t="s">
        <v>3004</v>
      </c>
      <c r="H49" s="7" t="s">
        <v>2615</v>
      </c>
      <c r="I49" s="7" t="s">
        <v>206</v>
      </c>
      <c r="J49" s="7" t="s">
        <v>3005</v>
      </c>
      <c r="K49" s="7" t="s">
        <v>3006</v>
      </c>
      <c r="L49" s="222" t="s">
        <v>3007</v>
      </c>
      <c r="M49" s="222"/>
      <c r="N49" s="54">
        <v>44896</v>
      </c>
      <c r="O49" s="327" t="s">
        <v>210</v>
      </c>
      <c r="P49" s="60">
        <v>20</v>
      </c>
      <c r="Q49" s="329">
        <v>0</v>
      </c>
      <c r="S49" s="282">
        <v>23</v>
      </c>
      <c r="U49" s="260">
        <v>46031</v>
      </c>
      <c r="V49" s="350" t="s">
        <v>3008</v>
      </c>
      <c r="W49" s="329">
        <v>23</v>
      </c>
      <c r="X49" s="332" t="s">
        <v>23</v>
      </c>
      <c r="Y49" s="333">
        <v>117680</v>
      </c>
      <c r="Z49" s="334"/>
      <c r="AA49" s="332"/>
      <c r="AB49" s="334">
        <f t="shared" si="8"/>
        <v>0</v>
      </c>
      <c r="AC49" s="250" t="s">
        <v>213</v>
      </c>
      <c r="AD49" s="282">
        <v>23</v>
      </c>
      <c r="AF49" s="260">
        <v>46062</v>
      </c>
      <c r="AG49" s="251">
        <v>46059</v>
      </c>
      <c r="AH49" s="335">
        <v>23</v>
      </c>
      <c r="AI49" s="336" t="s">
        <v>23</v>
      </c>
      <c r="AJ49" s="337" t="s">
        <v>3009</v>
      </c>
      <c r="AK49" s="338"/>
      <c r="AL49" s="339"/>
      <c r="AM49" s="338">
        <f t="shared" si="0"/>
        <v>0</v>
      </c>
      <c r="AN49" s="340" t="s">
        <v>213</v>
      </c>
      <c r="AO49" s="282">
        <v>23</v>
      </c>
      <c r="AQ49" s="260">
        <v>46090</v>
      </c>
      <c r="AR49" s="340" t="s">
        <v>840</v>
      </c>
      <c r="AS49" s="335">
        <v>23</v>
      </c>
      <c r="AT49" s="337" t="s">
        <v>23</v>
      </c>
      <c r="AU49" s="337"/>
      <c r="AV49" s="335"/>
      <c r="AW49" s="337"/>
      <c r="AX49" s="335">
        <f t="shared" si="1"/>
        <v>0</v>
      </c>
      <c r="AY49" s="340" t="s">
        <v>213</v>
      </c>
      <c r="AZ49" s="282">
        <v>23</v>
      </c>
      <c r="BB49" s="260">
        <v>46121</v>
      </c>
      <c r="BC49" s="340" t="s">
        <v>234</v>
      </c>
      <c r="BD49" s="335">
        <v>23</v>
      </c>
      <c r="BE49" s="337" t="s">
        <v>23</v>
      </c>
      <c r="BF49" s="337" t="s">
        <v>3010</v>
      </c>
      <c r="BG49" s="335"/>
      <c r="BH49" s="337"/>
      <c r="BI49" s="335">
        <f t="shared" si="2"/>
        <v>0</v>
      </c>
      <c r="BJ49" s="340"/>
      <c r="BK49" s="282">
        <v>23</v>
      </c>
      <c r="BM49" s="260">
        <v>46151</v>
      </c>
      <c r="BN49" s="340"/>
      <c r="BO49" s="335"/>
      <c r="BP49" s="337"/>
      <c r="BQ49" s="337"/>
      <c r="BR49" s="335"/>
      <c r="BS49" s="337"/>
      <c r="BT49" s="335">
        <f t="shared" si="3"/>
        <v>23</v>
      </c>
      <c r="BU49" s="340"/>
    </row>
    <row r="50" ht="13.2" spans="1:73">
      <c r="A50" s="324" t="s">
        <v>736</v>
      </c>
      <c r="B50" s="7" t="s">
        <v>3011</v>
      </c>
      <c r="C50" s="275" t="s">
        <v>3012</v>
      </c>
      <c r="D50" s="250" t="s">
        <v>201</v>
      </c>
      <c r="E50" s="352" t="s">
        <v>226</v>
      </c>
      <c r="F50" s="7"/>
      <c r="G50" s="352" t="s">
        <v>3013</v>
      </c>
      <c r="H50" s="7" t="s">
        <v>2615</v>
      </c>
      <c r="I50" s="7" t="s">
        <v>220</v>
      </c>
      <c r="J50" s="7" t="s">
        <v>3014</v>
      </c>
      <c r="K50" s="7" t="s">
        <v>3015</v>
      </c>
      <c r="L50" s="222" t="s">
        <v>3016</v>
      </c>
      <c r="M50" s="222"/>
      <c r="N50" s="54">
        <v>44926</v>
      </c>
      <c r="O50" s="327" t="s">
        <v>210</v>
      </c>
      <c r="P50" s="60">
        <v>10</v>
      </c>
      <c r="Q50" s="329">
        <v>0</v>
      </c>
      <c r="S50" s="282">
        <v>23</v>
      </c>
      <c r="U50" s="260">
        <v>46041</v>
      </c>
      <c r="V50" s="350" t="s">
        <v>385</v>
      </c>
      <c r="W50" s="329">
        <v>23</v>
      </c>
      <c r="X50" s="332" t="s">
        <v>35</v>
      </c>
      <c r="Y50" s="344"/>
      <c r="Z50" s="334"/>
      <c r="AA50" s="332"/>
      <c r="AB50" s="334">
        <f t="shared" si="8"/>
        <v>0</v>
      </c>
      <c r="AC50" s="250" t="s">
        <v>3017</v>
      </c>
      <c r="AD50" s="282">
        <v>23</v>
      </c>
      <c r="AF50" s="260">
        <v>46072</v>
      </c>
      <c r="AG50" s="251">
        <v>46076</v>
      </c>
      <c r="AH50" s="335">
        <v>23</v>
      </c>
      <c r="AI50" s="336" t="s">
        <v>35</v>
      </c>
      <c r="AJ50" s="337"/>
      <c r="AK50" s="335"/>
      <c r="AL50" s="336"/>
      <c r="AM50" s="335">
        <f t="shared" si="0"/>
        <v>0</v>
      </c>
      <c r="AN50" s="340" t="s">
        <v>3018</v>
      </c>
      <c r="AO50" s="282">
        <v>23</v>
      </c>
      <c r="AQ50" s="260">
        <v>46100</v>
      </c>
      <c r="AR50" s="340" t="s">
        <v>386</v>
      </c>
      <c r="AS50" s="335">
        <v>23</v>
      </c>
      <c r="AT50" s="337" t="s">
        <v>35</v>
      </c>
      <c r="AU50" s="337"/>
      <c r="AV50" s="335"/>
      <c r="AW50" s="337"/>
      <c r="AX50" s="335">
        <f t="shared" si="1"/>
        <v>0</v>
      </c>
      <c r="AY50" s="250" t="s">
        <v>3019</v>
      </c>
      <c r="AZ50" s="282">
        <v>23</v>
      </c>
      <c r="BB50" s="260">
        <v>46131</v>
      </c>
      <c r="BC50" s="251">
        <v>46140</v>
      </c>
      <c r="BD50" s="335">
        <v>23</v>
      </c>
      <c r="BE50" s="336" t="s">
        <v>35</v>
      </c>
      <c r="BF50" s="337"/>
      <c r="BG50" s="335"/>
      <c r="BH50" s="336"/>
      <c r="BI50" s="335">
        <f t="shared" si="2"/>
        <v>0</v>
      </c>
      <c r="BJ50" s="340" t="s">
        <v>3020</v>
      </c>
      <c r="BK50" s="282">
        <v>23</v>
      </c>
      <c r="BM50" s="260">
        <v>46161</v>
      </c>
      <c r="BN50" s="340"/>
      <c r="BO50" s="335"/>
      <c r="BP50" s="337"/>
      <c r="BQ50" s="337"/>
      <c r="BR50" s="335"/>
      <c r="BS50" s="337"/>
      <c r="BT50" s="335">
        <f t="shared" si="3"/>
        <v>23</v>
      </c>
      <c r="BU50" s="340"/>
    </row>
    <row r="51" ht="13.2" spans="1:73">
      <c r="A51" s="346" t="s">
        <v>763</v>
      </c>
      <c r="B51" s="347" t="s">
        <v>3021</v>
      </c>
      <c r="C51" s="352" t="s">
        <v>3022</v>
      </c>
      <c r="D51" s="250" t="s">
        <v>251</v>
      </c>
      <c r="E51" s="222"/>
      <c r="F51" s="222"/>
      <c r="G51" s="352" t="s">
        <v>3023</v>
      </c>
      <c r="H51" s="7" t="s">
        <v>2615</v>
      </c>
      <c r="I51" s="7" t="s">
        <v>206</v>
      </c>
      <c r="J51" s="7" t="s">
        <v>3024</v>
      </c>
      <c r="K51" s="7" t="s">
        <v>3025</v>
      </c>
      <c r="L51" s="222" t="s">
        <v>3026</v>
      </c>
      <c r="M51" s="222"/>
      <c r="N51" s="54" t="s">
        <v>3027</v>
      </c>
      <c r="O51" s="327" t="s">
        <v>210</v>
      </c>
      <c r="P51" s="7"/>
      <c r="Q51" s="329">
        <v>0</v>
      </c>
      <c r="U51" s="349"/>
      <c r="V51" s="350"/>
      <c r="W51" s="334"/>
      <c r="X51" s="332"/>
      <c r="Y51" s="344"/>
      <c r="Z51" s="334"/>
      <c r="AA51" s="332"/>
      <c r="AB51" s="334">
        <f t="shared" si="8"/>
        <v>0</v>
      </c>
      <c r="AC51" s="250" t="s">
        <v>213</v>
      </c>
      <c r="AF51" s="349"/>
      <c r="AH51" s="338"/>
      <c r="AI51" s="339"/>
      <c r="AJ51" s="345"/>
      <c r="AK51" s="338"/>
      <c r="AL51" s="339"/>
      <c r="AM51" s="338">
        <f t="shared" si="0"/>
        <v>0</v>
      </c>
      <c r="AN51" s="340" t="s">
        <v>213</v>
      </c>
      <c r="AQ51" s="349"/>
      <c r="AR51" s="340"/>
      <c r="AS51" s="335"/>
      <c r="AT51" s="337"/>
      <c r="AU51" s="337"/>
      <c r="AV51" s="335"/>
      <c r="AW51" s="337"/>
      <c r="AX51" s="335">
        <f t="shared" si="1"/>
        <v>0</v>
      </c>
      <c r="AY51" s="340" t="s">
        <v>213</v>
      </c>
      <c r="BB51" s="349"/>
      <c r="BC51" s="340"/>
      <c r="BD51" s="335"/>
      <c r="BE51" s="337"/>
      <c r="BF51" s="337"/>
      <c r="BG51" s="335"/>
      <c r="BH51" s="337"/>
      <c r="BI51" s="335">
        <f t="shared" si="2"/>
        <v>0</v>
      </c>
      <c r="BJ51" s="340"/>
      <c r="BM51" s="349"/>
      <c r="BN51" s="340"/>
      <c r="BO51" s="335"/>
      <c r="BP51" s="337"/>
      <c r="BQ51" s="337"/>
      <c r="BR51" s="335"/>
      <c r="BS51" s="337"/>
      <c r="BT51" s="335">
        <f t="shared" si="3"/>
        <v>0</v>
      </c>
      <c r="BU51" s="340"/>
    </row>
    <row r="52" ht="13.2" spans="1:73">
      <c r="A52" s="346" t="s">
        <v>771</v>
      </c>
      <c r="B52" s="7" t="s">
        <v>3028</v>
      </c>
      <c r="C52" s="352" t="s">
        <v>3029</v>
      </c>
      <c r="D52" s="250" t="s">
        <v>201</v>
      </c>
      <c r="E52" s="352" t="s">
        <v>202</v>
      </c>
      <c r="F52" s="222"/>
      <c r="G52" s="352" t="s">
        <v>3030</v>
      </c>
      <c r="H52" s="7" t="s">
        <v>2615</v>
      </c>
      <c r="I52" s="7" t="s">
        <v>206</v>
      </c>
      <c r="J52" s="7" t="s">
        <v>3031</v>
      </c>
      <c r="K52" s="7" t="s">
        <v>3032</v>
      </c>
      <c r="L52" s="222" t="s">
        <v>3033</v>
      </c>
      <c r="M52" s="222"/>
      <c r="N52" s="54">
        <v>44973</v>
      </c>
      <c r="O52" s="327" t="s">
        <v>464</v>
      </c>
      <c r="P52" s="60">
        <v>10</v>
      </c>
      <c r="Q52" s="329">
        <v>0</v>
      </c>
      <c r="S52" s="282">
        <v>23</v>
      </c>
      <c r="U52" s="260">
        <v>46041</v>
      </c>
      <c r="V52" s="331">
        <v>46043</v>
      </c>
      <c r="W52" s="329">
        <v>23</v>
      </c>
      <c r="X52" s="332" t="s">
        <v>35</v>
      </c>
      <c r="Y52" s="344"/>
      <c r="Z52" s="334"/>
      <c r="AA52" s="332"/>
      <c r="AB52" s="334">
        <f t="shared" si="8"/>
        <v>0</v>
      </c>
      <c r="AC52" s="250" t="s">
        <v>213</v>
      </c>
      <c r="AD52" s="282">
        <v>23</v>
      </c>
      <c r="AF52" s="260">
        <v>46072</v>
      </c>
      <c r="AG52" s="251">
        <v>46056</v>
      </c>
      <c r="AH52" s="335">
        <v>23</v>
      </c>
      <c r="AI52" s="336" t="s">
        <v>35</v>
      </c>
      <c r="AJ52" s="345"/>
      <c r="AK52" s="338"/>
      <c r="AL52" s="339"/>
      <c r="AM52" s="338">
        <f t="shared" si="0"/>
        <v>0</v>
      </c>
      <c r="AN52" s="340" t="s">
        <v>213</v>
      </c>
      <c r="AO52" s="282">
        <v>23</v>
      </c>
      <c r="AQ52" s="260">
        <v>46100</v>
      </c>
      <c r="AR52" s="340" t="s">
        <v>748</v>
      </c>
      <c r="AS52" s="335">
        <v>23</v>
      </c>
      <c r="AT52" s="337" t="s">
        <v>35</v>
      </c>
      <c r="AU52" s="337"/>
      <c r="AV52" s="335"/>
      <c r="AW52" s="337"/>
      <c r="AX52" s="335">
        <f t="shared" si="1"/>
        <v>0</v>
      </c>
      <c r="AY52" s="340" t="s">
        <v>213</v>
      </c>
      <c r="AZ52" s="282">
        <v>23</v>
      </c>
      <c r="BB52" s="260">
        <v>46131</v>
      </c>
      <c r="BC52" s="340" t="s">
        <v>3034</v>
      </c>
      <c r="BD52" s="335">
        <v>23</v>
      </c>
      <c r="BE52" s="376" t="s">
        <v>35</v>
      </c>
      <c r="BF52" s="337"/>
      <c r="BG52" s="335"/>
      <c r="BH52" s="337"/>
      <c r="BI52" s="335">
        <f t="shared" si="2"/>
        <v>0</v>
      </c>
      <c r="BJ52" s="340"/>
      <c r="BK52" s="282">
        <v>23</v>
      </c>
      <c r="BM52" s="260">
        <v>46161</v>
      </c>
      <c r="BN52" s="340"/>
      <c r="BO52" s="335"/>
      <c r="BP52" s="337"/>
      <c r="BQ52" s="337"/>
      <c r="BR52" s="335"/>
      <c r="BS52" s="337"/>
      <c r="BT52" s="335">
        <f t="shared" si="3"/>
        <v>23</v>
      </c>
      <c r="BU52" s="340"/>
    </row>
    <row r="53" ht="13.2" spans="1:73">
      <c r="A53" s="346" t="s">
        <v>3035</v>
      </c>
      <c r="B53" s="7" t="s">
        <v>3036</v>
      </c>
      <c r="C53" s="352" t="s">
        <v>3037</v>
      </c>
      <c r="D53" s="250" t="s">
        <v>201</v>
      </c>
      <c r="E53" s="352" t="s">
        <v>202</v>
      </c>
      <c r="F53" s="222"/>
      <c r="G53" s="352" t="s">
        <v>3038</v>
      </c>
      <c r="H53" s="7" t="s">
        <v>2615</v>
      </c>
      <c r="I53" s="7" t="s">
        <v>220</v>
      </c>
      <c r="J53" s="7" t="s">
        <v>3039</v>
      </c>
      <c r="K53" s="7" t="s">
        <v>3040</v>
      </c>
      <c r="L53" s="222" t="s">
        <v>3041</v>
      </c>
      <c r="M53" s="222"/>
      <c r="N53" s="54">
        <v>44988</v>
      </c>
      <c r="O53" s="327" t="s">
        <v>210</v>
      </c>
      <c r="P53" s="7" t="s">
        <v>242</v>
      </c>
      <c r="Q53" s="329">
        <v>0</v>
      </c>
      <c r="S53" s="282">
        <v>23</v>
      </c>
      <c r="U53" s="260">
        <v>46031</v>
      </c>
      <c r="V53" s="331">
        <v>46034</v>
      </c>
      <c r="W53" s="329">
        <v>23</v>
      </c>
      <c r="X53" s="332" t="s">
        <v>23</v>
      </c>
      <c r="Y53" s="333">
        <v>119421</v>
      </c>
      <c r="Z53" s="334"/>
      <c r="AA53" s="332"/>
      <c r="AB53" s="334">
        <f t="shared" si="8"/>
        <v>0</v>
      </c>
      <c r="AC53" s="250" t="s">
        <v>213</v>
      </c>
      <c r="AD53" s="282">
        <v>23</v>
      </c>
      <c r="AF53" s="260">
        <v>46062</v>
      </c>
      <c r="AG53" s="251">
        <v>46072</v>
      </c>
      <c r="AH53" s="335">
        <v>23</v>
      </c>
      <c r="AI53" s="336" t="s">
        <v>23</v>
      </c>
      <c r="AJ53" s="337" t="s">
        <v>3042</v>
      </c>
      <c r="AK53" s="338"/>
      <c r="AL53" s="339"/>
      <c r="AM53" s="338">
        <f t="shared" si="0"/>
        <v>0</v>
      </c>
      <c r="AN53" s="340" t="s">
        <v>213</v>
      </c>
      <c r="AO53" s="282">
        <v>23</v>
      </c>
      <c r="AQ53" s="260">
        <v>46090</v>
      </c>
      <c r="AR53" s="340" t="s">
        <v>1060</v>
      </c>
      <c r="AS53" s="335">
        <v>23</v>
      </c>
      <c r="AT53" s="337" t="s">
        <v>23</v>
      </c>
      <c r="AU53" s="337" t="s">
        <v>3043</v>
      </c>
      <c r="AV53" s="335"/>
      <c r="AW53" s="337"/>
      <c r="AX53" s="335">
        <f t="shared" si="1"/>
        <v>0</v>
      </c>
      <c r="AY53" s="340" t="s">
        <v>213</v>
      </c>
      <c r="AZ53" s="282">
        <v>23</v>
      </c>
      <c r="BB53" s="260">
        <v>46121</v>
      </c>
      <c r="BC53" s="340" t="s">
        <v>234</v>
      </c>
      <c r="BD53" s="335">
        <v>23</v>
      </c>
      <c r="BE53" s="337" t="s">
        <v>23</v>
      </c>
      <c r="BF53" s="337" t="s">
        <v>3044</v>
      </c>
      <c r="BG53" s="335"/>
      <c r="BH53" s="337"/>
      <c r="BI53" s="335">
        <f t="shared" si="2"/>
        <v>0</v>
      </c>
      <c r="BJ53" s="340"/>
      <c r="BK53" s="282">
        <v>23</v>
      </c>
      <c r="BM53" s="260">
        <v>46151</v>
      </c>
      <c r="BN53" s="340"/>
      <c r="BO53" s="335"/>
      <c r="BP53" s="337"/>
      <c r="BQ53" s="337"/>
      <c r="BR53" s="335"/>
      <c r="BS53" s="337"/>
      <c r="BT53" s="335">
        <f t="shared" si="3"/>
        <v>23</v>
      </c>
      <c r="BU53" s="340"/>
    </row>
    <row r="54" ht="13.2" spans="1:73">
      <c r="A54" s="346" t="s">
        <v>3045</v>
      </c>
      <c r="B54" s="7" t="s">
        <v>3046</v>
      </c>
      <c r="C54" s="352" t="s">
        <v>3047</v>
      </c>
      <c r="D54" s="250" t="s">
        <v>201</v>
      </c>
      <c r="E54" s="352" t="s">
        <v>202</v>
      </c>
      <c r="F54" s="222"/>
      <c r="G54" s="352" t="s">
        <v>3048</v>
      </c>
      <c r="H54" s="7" t="s">
        <v>2615</v>
      </c>
      <c r="I54" s="7" t="s">
        <v>220</v>
      </c>
      <c r="J54" s="7" t="s">
        <v>3049</v>
      </c>
      <c r="K54" s="7" t="s">
        <v>335</v>
      </c>
      <c r="L54" s="222" t="s">
        <v>3050</v>
      </c>
      <c r="M54" s="222" t="s">
        <v>3051</v>
      </c>
      <c r="N54" s="54">
        <v>44993</v>
      </c>
      <c r="O54" s="327" t="s">
        <v>210</v>
      </c>
      <c r="P54" s="7" t="s">
        <v>242</v>
      </c>
      <c r="Q54" s="329">
        <v>0</v>
      </c>
      <c r="S54" s="282">
        <v>17.25</v>
      </c>
      <c r="U54" s="260">
        <v>46041</v>
      </c>
      <c r="V54" s="331">
        <v>46050</v>
      </c>
      <c r="W54" s="329">
        <v>17.25</v>
      </c>
      <c r="X54" s="332" t="s">
        <v>23</v>
      </c>
      <c r="Y54" s="344"/>
      <c r="Z54" s="334"/>
      <c r="AA54" s="332"/>
      <c r="AB54" s="334">
        <f t="shared" si="8"/>
        <v>0</v>
      </c>
      <c r="AC54" s="250" t="s">
        <v>213</v>
      </c>
      <c r="AD54" s="282">
        <v>17.25</v>
      </c>
      <c r="AF54" s="260">
        <v>46072</v>
      </c>
      <c r="AG54" s="251">
        <v>46081</v>
      </c>
      <c r="AH54" s="335">
        <v>17.25</v>
      </c>
      <c r="AI54" s="336" t="s">
        <v>23</v>
      </c>
      <c r="AJ54" s="345"/>
      <c r="AK54" s="338"/>
      <c r="AL54" s="339"/>
      <c r="AM54" s="338">
        <f t="shared" si="0"/>
        <v>0</v>
      </c>
      <c r="AN54" s="340" t="s">
        <v>213</v>
      </c>
      <c r="AO54" s="282">
        <v>17.25</v>
      </c>
      <c r="AQ54" s="260">
        <v>46100</v>
      </c>
      <c r="AR54" s="340" t="s">
        <v>386</v>
      </c>
      <c r="AS54" s="335">
        <v>17.25</v>
      </c>
      <c r="AT54" s="337" t="s">
        <v>23</v>
      </c>
      <c r="AU54" s="337"/>
      <c r="AV54" s="335"/>
      <c r="AW54" s="337"/>
      <c r="AX54" s="335">
        <f t="shared" si="1"/>
        <v>0</v>
      </c>
      <c r="AY54" s="340" t="s">
        <v>213</v>
      </c>
      <c r="AZ54" s="282">
        <v>17.25</v>
      </c>
      <c r="BB54" s="260">
        <v>46131</v>
      </c>
      <c r="BC54" s="340" t="s">
        <v>892</v>
      </c>
      <c r="BD54" s="335">
        <v>17.25</v>
      </c>
      <c r="BE54" s="337" t="s">
        <v>23</v>
      </c>
      <c r="BF54" s="337" t="s">
        <v>3052</v>
      </c>
      <c r="BG54" s="335"/>
      <c r="BH54" s="337"/>
      <c r="BI54" s="335">
        <f t="shared" si="2"/>
        <v>0</v>
      </c>
      <c r="BJ54" s="340"/>
      <c r="BK54" s="282">
        <v>17.25</v>
      </c>
      <c r="BM54" s="260">
        <v>46161</v>
      </c>
      <c r="BN54" s="340"/>
      <c r="BO54" s="335"/>
      <c r="BP54" s="337"/>
      <c r="BQ54" s="337"/>
      <c r="BR54" s="335"/>
      <c r="BS54" s="337"/>
      <c r="BT54" s="335">
        <f t="shared" si="3"/>
        <v>17.25</v>
      </c>
      <c r="BU54" s="340"/>
    </row>
    <row r="55" ht="13.2" spans="1:73">
      <c r="A55" s="370" t="s">
        <v>783</v>
      </c>
      <c r="B55" s="7" t="s">
        <v>3053</v>
      </c>
      <c r="C55" s="352" t="s">
        <v>3054</v>
      </c>
      <c r="D55" s="250" t="s">
        <v>201</v>
      </c>
      <c r="E55" s="352" t="s">
        <v>202</v>
      </c>
      <c r="F55" s="222"/>
      <c r="G55" s="352" t="s">
        <v>3055</v>
      </c>
      <c r="H55" s="7" t="s">
        <v>2615</v>
      </c>
      <c r="I55" s="7" t="s">
        <v>220</v>
      </c>
      <c r="J55" s="7" t="s">
        <v>3056</v>
      </c>
      <c r="K55" s="7" t="s">
        <v>3057</v>
      </c>
      <c r="L55" s="222" t="s">
        <v>3058</v>
      </c>
      <c r="M55" s="222"/>
      <c r="N55" s="54">
        <v>44993</v>
      </c>
      <c r="O55" s="327" t="s">
        <v>210</v>
      </c>
      <c r="P55" s="7" t="s">
        <v>242</v>
      </c>
      <c r="Q55" s="329">
        <v>0</v>
      </c>
      <c r="S55" s="282">
        <v>23</v>
      </c>
      <c r="U55" s="260">
        <v>46031</v>
      </c>
      <c r="V55" s="331">
        <v>46034</v>
      </c>
      <c r="W55" s="329">
        <v>23</v>
      </c>
      <c r="X55" s="332" t="s">
        <v>23</v>
      </c>
      <c r="Y55" s="333">
        <v>119423</v>
      </c>
      <c r="Z55" s="334"/>
      <c r="AA55" s="332"/>
      <c r="AB55" s="334">
        <f t="shared" si="8"/>
        <v>0</v>
      </c>
      <c r="AC55" s="250" t="s">
        <v>3059</v>
      </c>
      <c r="AD55" s="282">
        <v>23</v>
      </c>
      <c r="AF55" s="260">
        <v>46062</v>
      </c>
      <c r="AG55" s="251">
        <v>46067</v>
      </c>
      <c r="AH55" s="335">
        <v>23</v>
      </c>
      <c r="AI55" s="336" t="s">
        <v>23</v>
      </c>
      <c r="AJ55" s="337" t="s">
        <v>3060</v>
      </c>
      <c r="AK55" s="335"/>
      <c r="AL55" s="336"/>
      <c r="AM55" s="335">
        <f t="shared" si="0"/>
        <v>0</v>
      </c>
      <c r="AN55" s="340" t="s">
        <v>3061</v>
      </c>
      <c r="AO55" s="282">
        <v>23</v>
      </c>
      <c r="AQ55" s="260">
        <v>46090</v>
      </c>
      <c r="AR55" s="340" t="s">
        <v>498</v>
      </c>
      <c r="AS55" s="335">
        <v>23</v>
      </c>
      <c r="AT55" s="337" t="s">
        <v>23</v>
      </c>
      <c r="AU55" s="337"/>
      <c r="AV55" s="335"/>
      <c r="AW55" s="337"/>
      <c r="AX55" s="335">
        <f t="shared" si="1"/>
        <v>0</v>
      </c>
      <c r="AY55" s="340" t="s">
        <v>3062</v>
      </c>
      <c r="AZ55" s="282">
        <v>23</v>
      </c>
      <c r="BB55" s="260">
        <v>46121</v>
      </c>
      <c r="BC55" s="340" t="s">
        <v>1202</v>
      </c>
      <c r="BD55" s="335">
        <v>23</v>
      </c>
      <c r="BE55" s="337" t="s">
        <v>23</v>
      </c>
      <c r="BF55" s="337" t="s">
        <v>3063</v>
      </c>
      <c r="BG55" s="335"/>
      <c r="BH55" s="337"/>
      <c r="BI55" s="335">
        <f t="shared" si="2"/>
        <v>0</v>
      </c>
      <c r="BJ55" s="340" t="s">
        <v>3064</v>
      </c>
      <c r="BK55" s="282">
        <v>23</v>
      </c>
      <c r="BM55" s="260">
        <v>46151</v>
      </c>
      <c r="BN55" s="340"/>
      <c r="BO55" s="335"/>
      <c r="BP55" s="337"/>
      <c r="BQ55" s="337"/>
      <c r="BR55" s="335"/>
      <c r="BS55" s="337"/>
      <c r="BT55" s="335">
        <f t="shared" si="3"/>
        <v>23</v>
      </c>
      <c r="BU55" s="340"/>
    </row>
    <row r="56" ht="13.2" spans="1:73">
      <c r="A56" s="324" t="s">
        <v>3065</v>
      </c>
      <c r="B56" s="134" t="s">
        <v>3066</v>
      </c>
      <c r="C56" s="352" t="s">
        <v>3067</v>
      </c>
      <c r="D56" s="250" t="s">
        <v>201</v>
      </c>
      <c r="E56" s="352" t="s">
        <v>202</v>
      </c>
      <c r="F56" s="222"/>
      <c r="G56" s="352" t="s">
        <v>3068</v>
      </c>
      <c r="H56" s="7" t="s">
        <v>2615</v>
      </c>
      <c r="I56" s="7" t="s">
        <v>206</v>
      </c>
      <c r="J56" s="7" t="s">
        <v>3069</v>
      </c>
      <c r="K56" s="7" t="s">
        <v>3070</v>
      </c>
      <c r="L56" s="222" t="s">
        <v>3071</v>
      </c>
      <c r="M56" s="222"/>
      <c r="N56" s="54">
        <v>45000</v>
      </c>
      <c r="O56" s="327" t="s">
        <v>464</v>
      </c>
      <c r="P56" s="7" t="s">
        <v>242</v>
      </c>
      <c r="Q56" s="329">
        <v>-8.08</v>
      </c>
      <c r="S56" s="282">
        <v>32.2</v>
      </c>
      <c r="U56" s="260">
        <v>46036</v>
      </c>
      <c r="V56" s="331">
        <v>46035</v>
      </c>
      <c r="W56" s="329">
        <v>33</v>
      </c>
      <c r="X56" s="332" t="s">
        <v>35</v>
      </c>
      <c r="Y56" s="344"/>
      <c r="Z56" s="334"/>
      <c r="AA56" s="332"/>
      <c r="AB56" s="334">
        <f>Q56+S56+T56-W56-Z56</f>
        <v>-8.88</v>
      </c>
      <c r="AC56" s="250" t="s">
        <v>3072</v>
      </c>
      <c r="AD56" s="282">
        <v>32.2</v>
      </c>
      <c r="AF56" s="260">
        <v>46067</v>
      </c>
      <c r="AG56" s="251">
        <v>46066</v>
      </c>
      <c r="AH56" s="335">
        <v>33</v>
      </c>
      <c r="AI56" s="336" t="s">
        <v>35</v>
      </c>
      <c r="AJ56" s="337"/>
      <c r="AK56" s="335"/>
      <c r="AL56" s="336"/>
      <c r="AM56" s="335">
        <f t="shared" si="0"/>
        <v>-9.67999999999999</v>
      </c>
      <c r="AN56" s="340" t="s">
        <v>213</v>
      </c>
      <c r="AO56" s="282">
        <v>32.2</v>
      </c>
      <c r="AQ56" s="260">
        <v>46095</v>
      </c>
      <c r="AR56" s="340" t="s">
        <v>309</v>
      </c>
      <c r="AS56" s="335">
        <v>22.55</v>
      </c>
      <c r="AT56" s="337" t="s">
        <v>35</v>
      </c>
      <c r="AU56" s="337"/>
      <c r="AV56" s="335"/>
      <c r="AW56" s="337"/>
      <c r="AX56" s="335">
        <f t="shared" si="1"/>
        <v>-0.0299999999999905</v>
      </c>
      <c r="AY56" s="340" t="s">
        <v>213</v>
      </c>
      <c r="AZ56" s="282">
        <v>32.2</v>
      </c>
      <c r="BB56" s="260">
        <v>46126</v>
      </c>
      <c r="BC56" s="340" t="s">
        <v>3073</v>
      </c>
      <c r="BD56" s="335">
        <v>32.2</v>
      </c>
      <c r="BE56" s="337" t="s">
        <v>35</v>
      </c>
      <c r="BF56" s="337"/>
      <c r="BG56" s="335"/>
      <c r="BH56" s="337"/>
      <c r="BI56" s="335">
        <f t="shared" si="2"/>
        <v>-0.0299999999999869</v>
      </c>
      <c r="BJ56" s="340"/>
      <c r="BK56" s="282">
        <v>32.2</v>
      </c>
      <c r="BM56" s="260">
        <v>46156</v>
      </c>
      <c r="BN56" s="340"/>
      <c r="BO56" s="335"/>
      <c r="BP56" s="337"/>
      <c r="BQ56" s="337"/>
      <c r="BR56" s="335"/>
      <c r="BS56" s="337"/>
      <c r="BT56" s="335">
        <f t="shared" si="3"/>
        <v>32.17</v>
      </c>
      <c r="BU56" s="340"/>
    </row>
    <row r="57" ht="13.2" spans="1:73">
      <c r="A57" s="346" t="s">
        <v>811</v>
      </c>
      <c r="B57" s="298" t="s">
        <v>3074</v>
      </c>
      <c r="C57" s="352" t="s">
        <v>3075</v>
      </c>
      <c r="D57" s="250" t="s">
        <v>251</v>
      </c>
      <c r="E57" s="222"/>
      <c r="F57" s="222"/>
      <c r="G57" s="325" t="s">
        <v>3076</v>
      </c>
      <c r="H57" s="7" t="s">
        <v>2615</v>
      </c>
      <c r="I57" s="7" t="s">
        <v>220</v>
      </c>
      <c r="J57" s="7" t="s">
        <v>3077</v>
      </c>
      <c r="K57" s="7" t="s">
        <v>3078</v>
      </c>
      <c r="L57" s="50" t="s">
        <v>3079</v>
      </c>
      <c r="M57" s="50"/>
      <c r="N57" s="54">
        <v>45004</v>
      </c>
      <c r="O57" s="327" t="s">
        <v>210</v>
      </c>
      <c r="P57" s="60">
        <v>10</v>
      </c>
      <c r="Q57" s="329">
        <v>0</v>
      </c>
      <c r="U57" s="349"/>
      <c r="V57" s="350"/>
      <c r="W57" s="334"/>
      <c r="X57" s="332"/>
      <c r="Y57" s="344"/>
      <c r="Z57" s="334"/>
      <c r="AA57" s="332"/>
      <c r="AB57" s="334">
        <f t="shared" ref="AB57:AB65" si="9">S57+T57-W57-Z57</f>
        <v>0</v>
      </c>
      <c r="AC57" s="250" t="s">
        <v>213</v>
      </c>
      <c r="AF57" s="349"/>
      <c r="AH57" s="338"/>
      <c r="AI57" s="339"/>
      <c r="AJ57" s="345"/>
      <c r="AK57" s="338"/>
      <c r="AL57" s="339"/>
      <c r="AM57" s="338">
        <f t="shared" si="0"/>
        <v>0</v>
      </c>
      <c r="AN57" s="340" t="s">
        <v>213</v>
      </c>
      <c r="AQ57" s="349"/>
      <c r="AR57" s="340"/>
      <c r="AS57" s="335"/>
      <c r="AT57" s="337"/>
      <c r="AU57" s="337"/>
      <c r="AV57" s="335"/>
      <c r="AW57" s="337"/>
      <c r="AX57" s="335">
        <f t="shared" si="1"/>
        <v>0</v>
      </c>
      <c r="AY57" s="340" t="s">
        <v>213</v>
      </c>
      <c r="BB57" s="349"/>
      <c r="BC57" s="340"/>
      <c r="BD57" s="335"/>
      <c r="BE57" s="337"/>
      <c r="BF57" s="337"/>
      <c r="BG57" s="335"/>
      <c r="BH57" s="337"/>
      <c r="BI57" s="335">
        <f t="shared" si="2"/>
        <v>0</v>
      </c>
      <c r="BJ57" s="340"/>
      <c r="BM57" s="349"/>
      <c r="BN57" s="340"/>
      <c r="BO57" s="335"/>
      <c r="BP57" s="337"/>
      <c r="BQ57" s="337"/>
      <c r="BR57" s="335"/>
      <c r="BS57" s="337"/>
      <c r="BT57" s="335">
        <f t="shared" si="3"/>
        <v>0</v>
      </c>
      <c r="BU57" s="340"/>
    </row>
    <row r="58" ht="13.2" spans="1:73">
      <c r="A58" s="346" t="s">
        <v>822</v>
      </c>
      <c r="B58" s="298" t="s">
        <v>3080</v>
      </c>
      <c r="C58" s="352" t="s">
        <v>3081</v>
      </c>
      <c r="D58" s="250" t="s">
        <v>251</v>
      </c>
      <c r="E58" s="222"/>
      <c r="F58" s="222"/>
      <c r="G58" s="352" t="s">
        <v>3082</v>
      </c>
      <c r="H58" s="7" t="s">
        <v>2615</v>
      </c>
      <c r="I58" s="7" t="s">
        <v>206</v>
      </c>
      <c r="J58" s="7" t="s">
        <v>3083</v>
      </c>
      <c r="K58" s="7" t="s">
        <v>2958</v>
      </c>
      <c r="L58" s="222" t="s">
        <v>3084</v>
      </c>
      <c r="M58" s="222"/>
      <c r="N58" s="54">
        <v>45005</v>
      </c>
      <c r="O58" s="327" t="s">
        <v>210</v>
      </c>
      <c r="P58" s="60">
        <v>5</v>
      </c>
      <c r="Q58" s="329">
        <v>0</v>
      </c>
      <c r="U58" s="349"/>
      <c r="V58" s="350"/>
      <c r="W58" s="334"/>
      <c r="X58" s="332"/>
      <c r="Y58" s="344"/>
      <c r="Z58" s="334"/>
      <c r="AA58" s="332"/>
      <c r="AB58" s="334">
        <f t="shared" si="9"/>
        <v>0</v>
      </c>
      <c r="AC58" s="250" t="s">
        <v>213</v>
      </c>
      <c r="AF58" s="349"/>
      <c r="AH58" s="338"/>
      <c r="AI58" s="339"/>
      <c r="AJ58" s="345"/>
      <c r="AK58" s="338"/>
      <c r="AL58" s="339"/>
      <c r="AM58" s="338">
        <f t="shared" si="0"/>
        <v>0</v>
      </c>
      <c r="AN58" s="340" t="s">
        <v>213</v>
      </c>
      <c r="AQ58" s="349"/>
      <c r="AR58" s="340"/>
      <c r="AS58" s="335"/>
      <c r="AT58" s="337"/>
      <c r="AU58" s="337"/>
      <c r="AV58" s="335"/>
      <c r="AW58" s="337"/>
      <c r="AX58" s="335">
        <f t="shared" si="1"/>
        <v>0</v>
      </c>
      <c r="AY58" s="340" t="s">
        <v>213</v>
      </c>
      <c r="BB58" s="349"/>
      <c r="BC58" s="340"/>
      <c r="BD58" s="335"/>
      <c r="BE58" s="337"/>
      <c r="BF58" s="337"/>
      <c r="BG58" s="335"/>
      <c r="BH58" s="337"/>
      <c r="BI58" s="335">
        <f t="shared" si="2"/>
        <v>0</v>
      </c>
      <c r="BJ58" s="340"/>
      <c r="BM58" s="349"/>
      <c r="BN58" s="340"/>
      <c r="BO58" s="335"/>
      <c r="BP58" s="337"/>
      <c r="BQ58" s="337"/>
      <c r="BR58" s="335"/>
      <c r="BS58" s="337"/>
      <c r="BT58" s="335">
        <f t="shared" si="3"/>
        <v>0</v>
      </c>
      <c r="BU58" s="340"/>
    </row>
    <row r="59" ht="13.2" spans="1:73">
      <c r="A59" s="346" t="s">
        <v>829</v>
      </c>
      <c r="B59" s="298" t="s">
        <v>3085</v>
      </c>
      <c r="C59" s="352" t="s">
        <v>2637</v>
      </c>
      <c r="D59" s="250" t="s">
        <v>251</v>
      </c>
      <c r="E59" s="352" t="s">
        <v>202</v>
      </c>
      <c r="F59" s="222"/>
      <c r="G59" s="352" t="s">
        <v>3086</v>
      </c>
      <c r="H59" s="7" t="s">
        <v>2615</v>
      </c>
      <c r="I59" s="7" t="s">
        <v>220</v>
      </c>
      <c r="J59" s="7" t="s">
        <v>3087</v>
      </c>
      <c r="K59" s="7" t="s">
        <v>3088</v>
      </c>
      <c r="L59" s="222" t="s">
        <v>3089</v>
      </c>
      <c r="M59" s="222"/>
      <c r="N59" s="355">
        <v>45015</v>
      </c>
      <c r="O59" s="327" t="s">
        <v>232</v>
      </c>
      <c r="P59" s="7"/>
      <c r="Q59" s="329">
        <v>0</v>
      </c>
      <c r="U59" s="349"/>
      <c r="V59" s="350"/>
      <c r="W59" s="334"/>
      <c r="X59" s="332"/>
      <c r="Y59" s="344"/>
      <c r="Z59" s="334"/>
      <c r="AA59" s="332"/>
      <c r="AB59" s="334">
        <f t="shared" si="9"/>
        <v>0</v>
      </c>
      <c r="AC59" s="250" t="s">
        <v>213</v>
      </c>
      <c r="AF59" s="349"/>
      <c r="AH59" s="338"/>
      <c r="AI59" s="339"/>
      <c r="AJ59" s="345"/>
      <c r="AK59" s="338"/>
      <c r="AL59" s="339"/>
      <c r="AM59" s="338">
        <f t="shared" si="0"/>
        <v>0</v>
      </c>
      <c r="AN59" s="340" t="s">
        <v>213</v>
      </c>
      <c r="AQ59" s="349"/>
      <c r="AR59" s="340"/>
      <c r="AS59" s="335"/>
      <c r="AT59" s="337"/>
      <c r="AU59" s="337"/>
      <c r="AV59" s="335"/>
      <c r="AW59" s="337"/>
      <c r="AX59" s="335">
        <f t="shared" si="1"/>
        <v>0</v>
      </c>
      <c r="AY59" s="340" t="s">
        <v>213</v>
      </c>
      <c r="BB59" s="349"/>
      <c r="BC59" s="340"/>
      <c r="BD59" s="335"/>
      <c r="BE59" s="337"/>
      <c r="BF59" s="337"/>
      <c r="BG59" s="335"/>
      <c r="BH59" s="337"/>
      <c r="BI59" s="335">
        <f t="shared" si="2"/>
        <v>0</v>
      </c>
      <c r="BJ59" s="340"/>
      <c r="BM59" s="349"/>
      <c r="BN59" s="340"/>
      <c r="BO59" s="335"/>
      <c r="BP59" s="337"/>
      <c r="BQ59" s="337"/>
      <c r="BR59" s="335"/>
      <c r="BS59" s="337"/>
      <c r="BT59" s="335">
        <f t="shared" si="3"/>
        <v>0</v>
      </c>
      <c r="BU59" s="340"/>
    </row>
    <row r="60" ht="13.2" spans="1:73">
      <c r="A60" s="346" t="s">
        <v>844</v>
      </c>
      <c r="B60" s="7" t="s">
        <v>3090</v>
      </c>
      <c r="C60" s="352" t="s">
        <v>3091</v>
      </c>
      <c r="D60" s="250" t="s">
        <v>201</v>
      </c>
      <c r="E60" s="352" t="s">
        <v>226</v>
      </c>
      <c r="F60" s="222"/>
      <c r="G60" s="352" t="s">
        <v>3092</v>
      </c>
      <c r="H60" s="7" t="s">
        <v>2615</v>
      </c>
      <c r="I60" s="7" t="s">
        <v>220</v>
      </c>
      <c r="J60" s="7" t="s">
        <v>3093</v>
      </c>
      <c r="K60" s="7" t="s">
        <v>3094</v>
      </c>
      <c r="L60" s="222" t="s">
        <v>3095</v>
      </c>
      <c r="M60" s="371" t="s">
        <v>3096</v>
      </c>
      <c r="N60" s="54">
        <v>45028</v>
      </c>
      <c r="O60" s="327" t="s">
        <v>210</v>
      </c>
      <c r="P60" s="60">
        <v>10</v>
      </c>
      <c r="Q60" s="329">
        <v>0</v>
      </c>
      <c r="S60" s="282">
        <v>23</v>
      </c>
      <c r="U60" s="260">
        <v>46031</v>
      </c>
      <c r="V60" s="331">
        <v>46034</v>
      </c>
      <c r="W60" s="329">
        <v>23</v>
      </c>
      <c r="X60" s="332" t="s">
        <v>23</v>
      </c>
      <c r="Y60" s="333">
        <v>119425</v>
      </c>
      <c r="Z60" s="334"/>
      <c r="AA60" s="332"/>
      <c r="AB60" s="334">
        <f t="shared" si="9"/>
        <v>0</v>
      </c>
      <c r="AC60" s="250" t="s">
        <v>3097</v>
      </c>
      <c r="AD60" s="282">
        <v>23</v>
      </c>
      <c r="AF60" s="260">
        <v>46062</v>
      </c>
      <c r="AG60" s="251">
        <v>46067</v>
      </c>
      <c r="AH60" s="335">
        <v>23</v>
      </c>
      <c r="AI60" s="336" t="s">
        <v>23</v>
      </c>
      <c r="AJ60" s="337" t="s">
        <v>3098</v>
      </c>
      <c r="AK60" s="335"/>
      <c r="AL60" s="336"/>
      <c r="AM60" s="335">
        <f t="shared" si="0"/>
        <v>0</v>
      </c>
      <c r="AN60" s="340" t="s">
        <v>3099</v>
      </c>
      <c r="AO60" s="282">
        <v>23</v>
      </c>
      <c r="AQ60" s="260">
        <v>46090</v>
      </c>
      <c r="AR60" s="340" t="s">
        <v>748</v>
      </c>
      <c r="AS60" s="335">
        <v>23</v>
      </c>
      <c r="AT60" s="337" t="s">
        <v>23</v>
      </c>
      <c r="AU60" s="337"/>
      <c r="AV60" s="335"/>
      <c r="AW60" s="337"/>
      <c r="AX60" s="335">
        <f t="shared" si="1"/>
        <v>0</v>
      </c>
      <c r="AY60" s="340" t="s">
        <v>3100</v>
      </c>
      <c r="AZ60" s="282">
        <v>23</v>
      </c>
      <c r="BB60" s="260">
        <v>46121</v>
      </c>
      <c r="BC60" s="340" t="s">
        <v>905</v>
      </c>
      <c r="BD60" s="335">
        <v>23</v>
      </c>
      <c r="BE60" s="337" t="s">
        <v>23</v>
      </c>
      <c r="BF60" s="337" t="s">
        <v>3101</v>
      </c>
      <c r="BG60" s="335"/>
      <c r="BH60" s="337"/>
      <c r="BI60" s="335">
        <f t="shared" si="2"/>
        <v>0</v>
      </c>
      <c r="BJ60" s="340" t="s">
        <v>3102</v>
      </c>
      <c r="BK60" s="282">
        <v>23</v>
      </c>
      <c r="BM60" s="260">
        <v>46151</v>
      </c>
      <c r="BN60" s="340"/>
      <c r="BO60" s="335"/>
      <c r="BP60" s="337"/>
      <c r="BQ60" s="337"/>
      <c r="BR60" s="335"/>
      <c r="BS60" s="337"/>
      <c r="BT60" s="335">
        <f t="shared" si="3"/>
        <v>23</v>
      </c>
      <c r="BU60" s="340"/>
    </row>
    <row r="61" ht="13.2" spans="1:73">
      <c r="A61" s="346" t="s">
        <v>875</v>
      </c>
      <c r="B61" s="7" t="s">
        <v>3103</v>
      </c>
      <c r="C61" s="352" t="s">
        <v>3104</v>
      </c>
      <c r="D61" s="250" t="s">
        <v>201</v>
      </c>
      <c r="E61" s="352" t="s">
        <v>202</v>
      </c>
      <c r="F61" s="222"/>
      <c r="G61" s="352" t="s">
        <v>3105</v>
      </c>
      <c r="H61" s="7" t="s">
        <v>2615</v>
      </c>
      <c r="I61" s="7" t="s">
        <v>220</v>
      </c>
      <c r="J61" s="7" t="s">
        <v>2842</v>
      </c>
      <c r="K61" s="7" t="s">
        <v>3106</v>
      </c>
      <c r="L61" s="222" t="s">
        <v>3107</v>
      </c>
      <c r="M61" s="354" t="s">
        <v>3108</v>
      </c>
      <c r="N61" s="54">
        <v>45089</v>
      </c>
      <c r="O61" s="327" t="s">
        <v>210</v>
      </c>
      <c r="P61" s="60">
        <v>14</v>
      </c>
      <c r="Q61" s="329">
        <v>0</v>
      </c>
      <c r="S61" s="282">
        <v>23</v>
      </c>
      <c r="T61" s="282">
        <v>0</v>
      </c>
      <c r="U61" s="260">
        <v>46031</v>
      </c>
      <c r="V61" s="361">
        <v>46174</v>
      </c>
      <c r="W61" s="329">
        <v>23</v>
      </c>
      <c r="X61" s="332" t="s">
        <v>23</v>
      </c>
      <c r="Y61" s="344"/>
      <c r="Z61" s="334"/>
      <c r="AA61" s="332"/>
      <c r="AB61" s="334">
        <f t="shared" si="9"/>
        <v>0</v>
      </c>
      <c r="AC61" s="250" t="s">
        <v>3109</v>
      </c>
      <c r="AD61" s="282">
        <v>23</v>
      </c>
      <c r="AE61" s="282">
        <v>0</v>
      </c>
      <c r="AF61" s="260">
        <v>46062</v>
      </c>
      <c r="AG61" s="251">
        <v>46058</v>
      </c>
      <c r="AH61" s="335">
        <v>23</v>
      </c>
      <c r="AI61" s="336" t="s">
        <v>23</v>
      </c>
      <c r="AJ61" s="337" t="s">
        <v>3110</v>
      </c>
      <c r="AK61" s="335"/>
      <c r="AL61" s="336"/>
      <c r="AM61" s="335">
        <f t="shared" si="0"/>
        <v>0</v>
      </c>
      <c r="AN61" s="340" t="s">
        <v>3111</v>
      </c>
      <c r="AO61" s="282">
        <v>23</v>
      </c>
      <c r="AP61" s="282">
        <v>0</v>
      </c>
      <c r="AQ61" s="260">
        <v>46090</v>
      </c>
      <c r="AR61" s="340" t="s">
        <v>233</v>
      </c>
      <c r="AS61" s="335">
        <v>23</v>
      </c>
      <c r="AT61" s="337" t="s">
        <v>23</v>
      </c>
      <c r="AU61" s="337"/>
      <c r="AV61" s="335"/>
      <c r="AW61" s="337"/>
      <c r="AX61" s="335">
        <f t="shared" si="1"/>
        <v>0</v>
      </c>
      <c r="AY61" s="340" t="s">
        <v>3112</v>
      </c>
      <c r="AZ61" s="282">
        <v>23</v>
      </c>
      <c r="BA61" s="282">
        <v>0</v>
      </c>
      <c r="BB61" s="260">
        <v>46121</v>
      </c>
      <c r="BC61" s="340" t="s">
        <v>1381</v>
      </c>
      <c r="BD61" s="335">
        <v>23</v>
      </c>
      <c r="BE61" s="337" t="s">
        <v>23</v>
      </c>
      <c r="BF61" s="337"/>
      <c r="BG61" s="335"/>
      <c r="BH61" s="337"/>
      <c r="BI61" s="335">
        <f t="shared" si="2"/>
        <v>0</v>
      </c>
      <c r="BJ61" s="340" t="s">
        <v>3113</v>
      </c>
      <c r="BK61" s="282">
        <v>23</v>
      </c>
      <c r="BL61" s="282">
        <v>0</v>
      </c>
      <c r="BM61" s="260">
        <v>46151</v>
      </c>
      <c r="BN61" s="340"/>
      <c r="BO61" s="335"/>
      <c r="BP61" s="337"/>
      <c r="BQ61" s="337"/>
      <c r="BR61" s="335"/>
      <c r="BS61" s="337"/>
      <c r="BT61" s="335">
        <f t="shared" si="3"/>
        <v>23</v>
      </c>
      <c r="BU61" s="340"/>
    </row>
    <row r="62" ht="13.2" spans="1:73">
      <c r="A62" s="377" t="s">
        <v>3114</v>
      </c>
      <c r="B62" s="378" t="s">
        <v>3115</v>
      </c>
      <c r="C62" s="379" t="s">
        <v>3116</v>
      </c>
      <c r="D62" s="250" t="s">
        <v>251</v>
      </c>
      <c r="E62" s="379" t="s">
        <v>202</v>
      </c>
      <c r="F62" s="380"/>
      <c r="G62" s="379" t="s">
        <v>3117</v>
      </c>
      <c r="H62" s="1" t="s">
        <v>2615</v>
      </c>
      <c r="I62" s="1" t="s">
        <v>220</v>
      </c>
      <c r="J62" s="1" t="s">
        <v>3118</v>
      </c>
      <c r="K62" s="1" t="s">
        <v>3119</v>
      </c>
      <c r="L62" s="380" t="s">
        <v>3120</v>
      </c>
      <c r="M62" s="380"/>
      <c r="N62" s="231">
        <v>45090</v>
      </c>
      <c r="O62" s="327" t="s">
        <v>232</v>
      </c>
      <c r="P62" s="1" t="s">
        <v>242</v>
      </c>
      <c r="Q62" s="329">
        <v>0</v>
      </c>
      <c r="U62" s="349"/>
      <c r="V62" s="350"/>
      <c r="W62" s="334"/>
      <c r="X62" s="332"/>
      <c r="Y62" s="344"/>
      <c r="Z62" s="334"/>
      <c r="AA62" s="332"/>
      <c r="AB62" s="334">
        <f t="shared" si="9"/>
        <v>0</v>
      </c>
      <c r="AC62" s="250" t="s">
        <v>213</v>
      </c>
      <c r="AF62" s="349"/>
      <c r="AH62" s="338"/>
      <c r="AI62" s="339"/>
      <c r="AJ62" s="345"/>
      <c r="AK62" s="338"/>
      <c r="AL62" s="339"/>
      <c r="AM62" s="338">
        <f t="shared" si="0"/>
        <v>0</v>
      </c>
      <c r="AN62" s="340" t="s">
        <v>213</v>
      </c>
      <c r="AQ62" s="349"/>
      <c r="AR62" s="340"/>
      <c r="AS62" s="335"/>
      <c r="AT62" s="337"/>
      <c r="AU62" s="337"/>
      <c r="AV62" s="335"/>
      <c r="AW62" s="337"/>
      <c r="AX62" s="335">
        <f t="shared" si="1"/>
        <v>0</v>
      </c>
      <c r="AY62" s="340" t="s">
        <v>213</v>
      </c>
      <c r="BB62" s="349"/>
      <c r="BC62" s="340"/>
      <c r="BD62" s="335"/>
      <c r="BE62" s="337"/>
      <c r="BF62" s="337"/>
      <c r="BG62" s="335"/>
      <c r="BH62" s="337"/>
      <c r="BI62" s="335">
        <f t="shared" si="2"/>
        <v>0</v>
      </c>
      <c r="BJ62" s="340"/>
      <c r="BM62" s="349"/>
      <c r="BN62" s="340"/>
      <c r="BO62" s="335"/>
      <c r="BP62" s="337"/>
      <c r="BQ62" s="337"/>
      <c r="BR62" s="335"/>
      <c r="BS62" s="337"/>
      <c r="BT62" s="335">
        <f t="shared" si="3"/>
        <v>0</v>
      </c>
      <c r="BU62" s="340"/>
    </row>
    <row r="63" ht="13.2" spans="1:73">
      <c r="A63" s="346" t="s">
        <v>883</v>
      </c>
      <c r="B63" s="381" t="s">
        <v>3121</v>
      </c>
      <c r="C63" s="379" t="s">
        <v>3122</v>
      </c>
      <c r="D63" s="250" t="s">
        <v>201</v>
      </c>
      <c r="E63" s="379" t="s">
        <v>202</v>
      </c>
      <c r="F63" s="380"/>
      <c r="G63" s="379" t="s">
        <v>3123</v>
      </c>
      <c r="H63" s="1" t="s">
        <v>2615</v>
      </c>
      <c r="I63" s="1" t="s">
        <v>206</v>
      </c>
      <c r="J63" s="1" t="s">
        <v>3124</v>
      </c>
      <c r="K63" s="1" t="s">
        <v>3125</v>
      </c>
      <c r="L63" s="380" t="s">
        <v>3126</v>
      </c>
      <c r="M63" s="382" t="s">
        <v>3127</v>
      </c>
      <c r="N63" s="231">
        <v>45698</v>
      </c>
      <c r="O63" s="378" t="s">
        <v>210</v>
      </c>
      <c r="P63" s="178">
        <v>7</v>
      </c>
      <c r="Q63" s="329">
        <v>23</v>
      </c>
      <c r="S63" s="282">
        <f>23+15+22+18</f>
        <v>78</v>
      </c>
      <c r="U63" s="260">
        <v>46051</v>
      </c>
      <c r="V63" s="331">
        <v>46025</v>
      </c>
      <c r="W63" s="329">
        <f>37+23+18</f>
        <v>78</v>
      </c>
      <c r="X63" s="332" t="s">
        <v>35</v>
      </c>
      <c r="Y63" s="344"/>
      <c r="Z63" s="334"/>
      <c r="AA63" s="332"/>
      <c r="AB63" s="334">
        <f t="shared" si="9"/>
        <v>0</v>
      </c>
      <c r="AC63" s="250" t="s">
        <v>213</v>
      </c>
      <c r="AD63" s="282">
        <f>23+18</f>
        <v>41</v>
      </c>
      <c r="AF63" s="260">
        <v>46082</v>
      </c>
      <c r="AG63" s="251">
        <v>46081</v>
      </c>
      <c r="AH63" s="335">
        <v>41</v>
      </c>
      <c r="AI63" s="336" t="s">
        <v>35</v>
      </c>
      <c r="AJ63" s="345"/>
      <c r="AK63" s="338"/>
      <c r="AL63" s="339"/>
      <c r="AM63" s="338">
        <f t="shared" si="0"/>
        <v>0</v>
      </c>
      <c r="AN63" s="340" t="s">
        <v>213</v>
      </c>
      <c r="AO63" s="282">
        <v>23</v>
      </c>
      <c r="AQ63" s="260">
        <v>46113</v>
      </c>
      <c r="AR63" s="340" t="s">
        <v>891</v>
      </c>
      <c r="AS63" s="335">
        <v>23</v>
      </c>
      <c r="AT63" s="337" t="s">
        <v>35</v>
      </c>
      <c r="AU63" s="337"/>
      <c r="AV63" s="335"/>
      <c r="AW63" s="337"/>
      <c r="AX63" s="335">
        <f t="shared" si="1"/>
        <v>0</v>
      </c>
      <c r="AY63" s="340" t="s">
        <v>213</v>
      </c>
      <c r="AZ63" s="282">
        <v>23</v>
      </c>
      <c r="BB63" s="260">
        <v>46143</v>
      </c>
      <c r="BC63" s="340" t="s">
        <v>892</v>
      </c>
      <c r="BD63" s="335">
        <v>23</v>
      </c>
      <c r="BE63" s="337" t="s">
        <v>35</v>
      </c>
      <c r="BF63" s="337"/>
      <c r="BG63" s="335"/>
      <c r="BH63" s="337"/>
      <c r="BI63" s="335">
        <f t="shared" si="2"/>
        <v>0</v>
      </c>
      <c r="BJ63" s="340"/>
      <c r="BK63" s="282">
        <v>23</v>
      </c>
      <c r="BM63" s="260">
        <v>46174</v>
      </c>
      <c r="BN63" s="340"/>
      <c r="BO63" s="335"/>
      <c r="BP63" s="337"/>
      <c r="BQ63" s="337"/>
      <c r="BR63" s="335"/>
      <c r="BS63" s="337"/>
      <c r="BT63" s="335">
        <f t="shared" si="3"/>
        <v>23</v>
      </c>
      <c r="BU63" s="340"/>
    </row>
    <row r="64" ht="13.2" spans="1:73">
      <c r="A64" s="346" t="s">
        <v>955</v>
      </c>
      <c r="B64" s="383" t="s">
        <v>3128</v>
      </c>
      <c r="C64" s="379" t="s">
        <v>3129</v>
      </c>
      <c r="D64" s="250" t="s">
        <v>201</v>
      </c>
      <c r="E64" s="379" t="s">
        <v>226</v>
      </c>
      <c r="F64" s="379" t="s">
        <v>170</v>
      </c>
      <c r="G64" s="379" t="s">
        <v>3130</v>
      </c>
      <c r="H64" s="1" t="s">
        <v>2615</v>
      </c>
      <c r="I64" s="1" t="s">
        <v>220</v>
      </c>
      <c r="J64" s="1" t="s">
        <v>3118</v>
      </c>
      <c r="K64" s="1" t="s">
        <v>3131</v>
      </c>
      <c r="L64" s="380" t="s">
        <v>3132</v>
      </c>
      <c r="M64" s="380"/>
      <c r="N64" s="231">
        <v>45179</v>
      </c>
      <c r="O64" s="327" t="s">
        <v>232</v>
      </c>
      <c r="P64" s="1" t="s">
        <v>242</v>
      </c>
      <c r="Q64" s="329">
        <v>0</v>
      </c>
      <c r="S64" s="282">
        <v>11.5</v>
      </c>
      <c r="U64" s="260">
        <v>46041</v>
      </c>
      <c r="V64" s="350" t="s">
        <v>2673</v>
      </c>
      <c r="W64" s="329">
        <v>11.5</v>
      </c>
      <c r="X64" s="332" t="s">
        <v>23</v>
      </c>
      <c r="Y64" s="344"/>
      <c r="Z64" s="334"/>
      <c r="AA64" s="332"/>
      <c r="AB64" s="334">
        <f t="shared" si="9"/>
        <v>0</v>
      </c>
      <c r="AC64" s="250" t="s">
        <v>213</v>
      </c>
      <c r="AD64" s="282">
        <v>11.5</v>
      </c>
      <c r="AF64" s="260">
        <v>46072</v>
      </c>
      <c r="AG64" s="251">
        <v>46067</v>
      </c>
      <c r="AH64" s="335">
        <v>11.5</v>
      </c>
      <c r="AI64" s="336" t="s">
        <v>23</v>
      </c>
      <c r="AJ64" s="337" t="s">
        <v>3133</v>
      </c>
      <c r="AK64" s="338"/>
      <c r="AL64" s="339"/>
      <c r="AM64" s="338">
        <f t="shared" si="0"/>
        <v>0</v>
      </c>
      <c r="AN64" s="340" t="s">
        <v>213</v>
      </c>
      <c r="AO64" s="282">
        <v>11.5</v>
      </c>
      <c r="AQ64" s="260">
        <v>46100</v>
      </c>
      <c r="AR64" s="340" t="s">
        <v>723</v>
      </c>
      <c r="AS64" s="335">
        <v>11.5</v>
      </c>
      <c r="AT64" s="337" t="s">
        <v>23</v>
      </c>
      <c r="AU64" s="337" t="s">
        <v>3134</v>
      </c>
      <c r="AV64" s="335"/>
      <c r="AW64" s="337"/>
      <c r="AX64" s="335">
        <f t="shared" si="1"/>
        <v>0</v>
      </c>
      <c r="AY64" s="340" t="s">
        <v>213</v>
      </c>
      <c r="AZ64" s="282">
        <v>11.5</v>
      </c>
      <c r="BB64" s="260">
        <v>46131</v>
      </c>
      <c r="BC64" s="340" t="s">
        <v>223</v>
      </c>
      <c r="BD64" s="335">
        <v>11.5</v>
      </c>
      <c r="BE64" s="337" t="s">
        <v>23</v>
      </c>
      <c r="BF64" s="337" t="s">
        <v>3135</v>
      </c>
      <c r="BG64" s="335"/>
      <c r="BH64" s="337"/>
      <c r="BI64" s="335">
        <f t="shared" si="2"/>
        <v>0</v>
      </c>
      <c r="BJ64" s="340"/>
      <c r="BK64" s="282">
        <v>11.5</v>
      </c>
      <c r="BM64" s="260">
        <v>46161</v>
      </c>
      <c r="BN64" s="340"/>
      <c r="BO64" s="335"/>
      <c r="BP64" s="337"/>
      <c r="BQ64" s="337"/>
      <c r="BR64" s="335"/>
      <c r="BS64" s="337"/>
      <c r="BT64" s="335">
        <f t="shared" si="3"/>
        <v>11.5</v>
      </c>
      <c r="BU64" s="340"/>
    </row>
    <row r="65" ht="13.95" spans="1:73">
      <c r="A65" s="384" t="s">
        <v>979</v>
      </c>
      <c r="B65" s="7" t="s">
        <v>3136</v>
      </c>
      <c r="C65" s="352" t="s">
        <v>3137</v>
      </c>
      <c r="D65" s="250" t="s">
        <v>201</v>
      </c>
      <c r="E65" s="352" t="s">
        <v>226</v>
      </c>
      <c r="F65" s="352" t="s">
        <v>3138</v>
      </c>
      <c r="G65" s="352" t="s">
        <v>2989</v>
      </c>
      <c r="H65" s="7" t="s">
        <v>2615</v>
      </c>
      <c r="I65" s="7" t="s">
        <v>220</v>
      </c>
      <c r="J65" s="7" t="s">
        <v>3139</v>
      </c>
      <c r="K65" s="7" t="s">
        <v>2991</v>
      </c>
      <c r="L65" s="222" t="s">
        <v>3140</v>
      </c>
      <c r="M65" s="222"/>
      <c r="N65" s="54">
        <v>45209</v>
      </c>
      <c r="O65" s="327" t="s">
        <v>232</v>
      </c>
      <c r="P65" s="60">
        <v>45</v>
      </c>
      <c r="Q65" s="329">
        <v>0</v>
      </c>
      <c r="S65" s="282">
        <v>17.25</v>
      </c>
      <c r="U65" s="385">
        <v>46031</v>
      </c>
      <c r="V65" s="331">
        <v>46038</v>
      </c>
      <c r="W65" s="329">
        <v>17.25</v>
      </c>
      <c r="X65" s="332" t="s">
        <v>23</v>
      </c>
      <c r="Y65" s="333">
        <v>120484</v>
      </c>
      <c r="Z65" s="334"/>
      <c r="AA65" s="332"/>
      <c r="AB65" s="334">
        <f t="shared" si="9"/>
        <v>0</v>
      </c>
      <c r="AC65" s="250" t="s">
        <v>213</v>
      </c>
      <c r="AD65" s="282">
        <v>17.25</v>
      </c>
      <c r="AF65" s="385">
        <v>46062</v>
      </c>
      <c r="AG65" s="251">
        <v>46072</v>
      </c>
      <c r="AH65" s="335">
        <v>17.25</v>
      </c>
      <c r="AI65" s="336" t="s">
        <v>23</v>
      </c>
      <c r="AJ65" s="337" t="s">
        <v>3141</v>
      </c>
      <c r="AK65" s="338"/>
      <c r="AL65" s="339"/>
      <c r="AM65" s="338">
        <f t="shared" si="0"/>
        <v>0</v>
      </c>
      <c r="AN65" s="340" t="s">
        <v>213</v>
      </c>
      <c r="AO65" s="282">
        <v>17.25</v>
      </c>
      <c r="AQ65" s="385">
        <v>46090</v>
      </c>
      <c r="AR65" s="340" t="s">
        <v>582</v>
      </c>
      <c r="AS65" s="335">
        <v>17.25</v>
      </c>
      <c r="AT65" s="337" t="s">
        <v>23</v>
      </c>
      <c r="AU65" s="337"/>
      <c r="AV65" s="335"/>
      <c r="AW65" s="337"/>
      <c r="AX65" s="335">
        <f t="shared" si="1"/>
        <v>0</v>
      </c>
      <c r="AY65" s="340" t="s">
        <v>213</v>
      </c>
      <c r="AZ65" s="282">
        <v>17.25</v>
      </c>
      <c r="BB65" s="385">
        <v>46121</v>
      </c>
      <c r="BC65" s="340" t="s">
        <v>905</v>
      </c>
      <c r="BD65" s="335">
        <v>17.25</v>
      </c>
      <c r="BE65" s="337" t="s">
        <v>23</v>
      </c>
      <c r="BF65" s="337"/>
      <c r="BG65" s="335"/>
      <c r="BH65" s="337"/>
      <c r="BI65" s="335">
        <f t="shared" si="2"/>
        <v>0</v>
      </c>
      <c r="BJ65" s="340"/>
      <c r="BK65" s="282">
        <v>17.25</v>
      </c>
      <c r="BM65" s="385">
        <v>46151</v>
      </c>
      <c r="BN65" s="340"/>
      <c r="BO65" s="335"/>
      <c r="BP65" s="337"/>
      <c r="BQ65" s="337"/>
      <c r="BR65" s="335"/>
      <c r="BS65" s="337"/>
      <c r="BT65" s="335">
        <f t="shared" si="3"/>
        <v>17.25</v>
      </c>
      <c r="BU65" s="340"/>
    </row>
    <row r="66" ht="14.7" spans="1:73">
      <c r="A66" s="386" t="s">
        <v>3142</v>
      </c>
      <c r="B66" s="387" t="s">
        <v>3143</v>
      </c>
      <c r="C66" s="388" t="s">
        <v>3144</v>
      </c>
      <c r="D66" s="250" t="s">
        <v>201</v>
      </c>
      <c r="E66" s="389" t="s">
        <v>202</v>
      </c>
      <c r="F66" s="390">
        <v>20</v>
      </c>
      <c r="G66" s="389" t="s">
        <v>3145</v>
      </c>
      <c r="H66" s="388" t="s">
        <v>2615</v>
      </c>
      <c r="I66" s="388" t="s">
        <v>206</v>
      </c>
      <c r="J66" s="388" t="s">
        <v>3146</v>
      </c>
      <c r="K66" s="388" t="s">
        <v>3147</v>
      </c>
      <c r="L66" s="388" t="s">
        <v>3148</v>
      </c>
      <c r="M66" s="388"/>
      <c r="N66" s="391">
        <v>45349</v>
      </c>
      <c r="O66" s="327" t="s">
        <v>232</v>
      </c>
      <c r="P66" s="388" t="s">
        <v>242</v>
      </c>
      <c r="Q66" s="329">
        <v>-34.5</v>
      </c>
      <c r="S66" s="282">
        <v>17.25</v>
      </c>
      <c r="U66" s="392"/>
      <c r="V66" s="350"/>
      <c r="W66" s="334"/>
      <c r="X66" s="332"/>
      <c r="Y66" s="344"/>
      <c r="Z66" s="334"/>
      <c r="AA66" s="332"/>
      <c r="AB66" s="334">
        <f>Q66+S66+T66-W66-Z66</f>
        <v>-17.25</v>
      </c>
      <c r="AC66" s="250" t="s">
        <v>213</v>
      </c>
      <c r="AD66" s="282">
        <v>17.25</v>
      </c>
      <c r="AF66" s="392"/>
      <c r="AH66" s="338"/>
      <c r="AI66" s="339"/>
      <c r="AJ66" s="345"/>
      <c r="AK66" s="338"/>
      <c r="AL66" s="339"/>
      <c r="AM66" s="338">
        <f t="shared" si="0"/>
        <v>0</v>
      </c>
      <c r="AN66" s="340" t="s">
        <v>213</v>
      </c>
      <c r="AO66" s="282">
        <v>20.54</v>
      </c>
      <c r="AQ66" s="392"/>
      <c r="AR66" s="340"/>
      <c r="AS66" s="335"/>
      <c r="AT66" s="337"/>
      <c r="AU66" s="337"/>
      <c r="AV66" s="335"/>
      <c r="AW66" s="337"/>
      <c r="AX66" s="335">
        <f t="shared" si="1"/>
        <v>20.54</v>
      </c>
      <c r="AY66" s="340" t="s">
        <v>213</v>
      </c>
      <c r="AZ66" s="282">
        <v>20.54</v>
      </c>
      <c r="BB66" s="392"/>
      <c r="BC66" s="340"/>
      <c r="BD66" s="335"/>
      <c r="BE66" s="337"/>
      <c r="BF66" s="337"/>
      <c r="BG66" s="335"/>
      <c r="BH66" s="337"/>
      <c r="BI66" s="393">
        <f t="shared" si="2"/>
        <v>41.08</v>
      </c>
      <c r="BJ66" s="340"/>
      <c r="BK66" s="282">
        <v>20.54</v>
      </c>
      <c r="BM66" s="392"/>
      <c r="BN66" s="340"/>
      <c r="BO66" s="335"/>
      <c r="BP66" s="337"/>
      <c r="BQ66" s="337"/>
      <c r="BR66" s="335"/>
      <c r="BS66" s="337"/>
      <c r="BT66" s="335">
        <f t="shared" si="3"/>
        <v>61.62</v>
      </c>
      <c r="BU66" s="340"/>
    </row>
    <row r="67" ht="13.2" spans="1:73">
      <c r="A67" s="394" t="s">
        <v>985</v>
      </c>
      <c r="B67" s="395" t="s">
        <v>3149</v>
      </c>
      <c r="C67" s="396" t="s">
        <v>3150</v>
      </c>
      <c r="D67" s="250" t="s">
        <v>201</v>
      </c>
      <c r="E67" s="397" t="s">
        <v>226</v>
      </c>
      <c r="F67" s="398">
        <v>24</v>
      </c>
      <c r="G67" s="397" t="s">
        <v>3151</v>
      </c>
      <c r="H67" s="396" t="s">
        <v>2615</v>
      </c>
      <c r="I67" s="396" t="s">
        <v>220</v>
      </c>
      <c r="J67" s="396" t="s">
        <v>3152</v>
      </c>
      <c r="K67" s="399" t="s">
        <v>3153</v>
      </c>
      <c r="L67" s="400" t="s">
        <v>3154</v>
      </c>
      <c r="M67" s="396"/>
      <c r="N67" s="401">
        <v>45418</v>
      </c>
      <c r="O67" s="327" t="s">
        <v>232</v>
      </c>
      <c r="P67" s="402">
        <v>45</v>
      </c>
      <c r="Q67" s="329">
        <v>0</v>
      </c>
      <c r="S67" s="282">
        <v>17.25</v>
      </c>
      <c r="U67" s="260">
        <v>46031</v>
      </c>
      <c r="V67" s="331">
        <v>46029</v>
      </c>
      <c r="W67" s="329">
        <v>17.25</v>
      </c>
      <c r="X67" s="332" t="s">
        <v>23</v>
      </c>
      <c r="Y67" s="344"/>
      <c r="Z67" s="334"/>
      <c r="AA67" s="332"/>
      <c r="AB67" s="334">
        <f t="shared" ref="AB67:AB88" si="10">S67+T67-W67-Z67</f>
        <v>0</v>
      </c>
      <c r="AC67" s="250" t="s">
        <v>3155</v>
      </c>
      <c r="AD67" s="282">
        <v>17.25</v>
      </c>
      <c r="AF67" s="260">
        <v>46062</v>
      </c>
      <c r="AG67" s="251">
        <v>46059</v>
      </c>
      <c r="AH67" s="335">
        <v>17.25</v>
      </c>
      <c r="AI67" s="336" t="s">
        <v>23</v>
      </c>
      <c r="AJ67" s="337" t="s">
        <v>3156</v>
      </c>
      <c r="AK67" s="335"/>
      <c r="AL67" s="336"/>
      <c r="AM67" s="335">
        <f t="shared" si="0"/>
        <v>0</v>
      </c>
      <c r="AN67" s="340" t="s">
        <v>3157</v>
      </c>
      <c r="AO67" s="282">
        <v>17.25</v>
      </c>
      <c r="AQ67" s="260">
        <v>46090</v>
      </c>
      <c r="AR67" s="340" t="s">
        <v>840</v>
      </c>
      <c r="AS67" s="335">
        <v>17.27</v>
      </c>
      <c r="AT67" s="337" t="s">
        <v>23</v>
      </c>
      <c r="AU67" s="337"/>
      <c r="AV67" s="335"/>
      <c r="AW67" s="337"/>
      <c r="AX67" s="335">
        <f t="shared" si="1"/>
        <v>-0.0199999999999996</v>
      </c>
      <c r="AY67" s="340" t="s">
        <v>3158</v>
      </c>
      <c r="AZ67" s="282">
        <v>17.25</v>
      </c>
      <c r="BB67" s="260">
        <v>46121</v>
      </c>
      <c r="BC67" s="340" t="s">
        <v>234</v>
      </c>
      <c r="BD67" s="335">
        <v>17.25</v>
      </c>
      <c r="BE67" s="337" t="s">
        <v>23</v>
      </c>
      <c r="BF67" s="337" t="s">
        <v>3159</v>
      </c>
      <c r="BG67" s="335"/>
      <c r="BH67" s="337"/>
      <c r="BI67" s="335">
        <f t="shared" si="2"/>
        <v>-0.0199999999999996</v>
      </c>
      <c r="BJ67" s="340" t="s">
        <v>3160</v>
      </c>
      <c r="BK67" s="282">
        <v>17.25</v>
      </c>
      <c r="BM67" s="260">
        <v>46151</v>
      </c>
      <c r="BN67" s="340"/>
      <c r="BO67" s="335"/>
      <c r="BP67" s="337"/>
      <c r="BQ67" s="337"/>
      <c r="BR67" s="335"/>
      <c r="BS67" s="337"/>
      <c r="BT67" s="335">
        <f t="shared" si="3"/>
        <v>17.23</v>
      </c>
      <c r="BU67" s="340"/>
    </row>
    <row r="68" ht="13.95" spans="1:73">
      <c r="A68" s="403" t="s">
        <v>3161</v>
      </c>
      <c r="B68" s="404" t="s">
        <v>3162</v>
      </c>
      <c r="C68" s="405" t="s">
        <v>3163</v>
      </c>
      <c r="D68" s="250" t="s">
        <v>201</v>
      </c>
      <c r="E68" s="406" t="s">
        <v>226</v>
      </c>
      <c r="F68" s="407">
        <v>24</v>
      </c>
      <c r="G68" s="406" t="s">
        <v>3164</v>
      </c>
      <c r="H68" s="405" t="s">
        <v>2615</v>
      </c>
      <c r="I68" s="405" t="s">
        <v>220</v>
      </c>
      <c r="J68" s="405" t="s">
        <v>3031</v>
      </c>
      <c r="K68" s="405" t="s">
        <v>3165</v>
      </c>
      <c r="L68" s="408" t="s">
        <v>3166</v>
      </c>
      <c r="M68" s="409" t="s">
        <v>3167</v>
      </c>
      <c r="N68" s="410">
        <v>45425</v>
      </c>
      <c r="O68" s="411" t="s">
        <v>210</v>
      </c>
      <c r="P68" s="412">
        <v>45</v>
      </c>
      <c r="Q68" s="329">
        <v>-0.2</v>
      </c>
      <c r="S68" s="282">
        <v>23</v>
      </c>
      <c r="T68" s="282">
        <v>0</v>
      </c>
      <c r="U68" s="413">
        <v>46031</v>
      </c>
      <c r="V68" s="331">
        <v>46027</v>
      </c>
      <c r="W68" s="329">
        <v>23</v>
      </c>
      <c r="X68" s="332" t="s">
        <v>23</v>
      </c>
      <c r="Y68" s="344"/>
      <c r="Z68" s="334"/>
      <c r="AA68" s="332"/>
      <c r="AB68" s="334">
        <f t="shared" si="10"/>
        <v>0</v>
      </c>
      <c r="AC68" s="250" t="s">
        <v>3168</v>
      </c>
      <c r="AD68" s="282">
        <v>23</v>
      </c>
      <c r="AE68" s="282">
        <v>0</v>
      </c>
      <c r="AF68" s="413">
        <v>46062</v>
      </c>
      <c r="AG68" s="251">
        <v>46055</v>
      </c>
      <c r="AH68" s="335">
        <v>23</v>
      </c>
      <c r="AI68" s="336" t="s">
        <v>23</v>
      </c>
      <c r="AJ68" s="337"/>
      <c r="AK68" s="335"/>
      <c r="AL68" s="336"/>
      <c r="AM68" s="335">
        <f t="shared" si="0"/>
        <v>0</v>
      </c>
      <c r="AN68" s="340" t="s">
        <v>3169</v>
      </c>
      <c r="AO68" s="282">
        <v>23</v>
      </c>
      <c r="AP68" s="282">
        <v>0</v>
      </c>
      <c r="AQ68" s="413">
        <v>46090</v>
      </c>
      <c r="AR68" s="340" t="s">
        <v>1379</v>
      </c>
      <c r="AS68" s="335">
        <v>23</v>
      </c>
      <c r="AT68" s="337" t="s">
        <v>23</v>
      </c>
      <c r="AU68" s="337"/>
      <c r="AV68" s="335"/>
      <c r="AW68" s="337"/>
      <c r="AX68" s="335">
        <f t="shared" si="1"/>
        <v>0</v>
      </c>
      <c r="AY68" s="340" t="s">
        <v>3170</v>
      </c>
      <c r="AZ68" s="282">
        <v>23</v>
      </c>
      <c r="BA68" s="282">
        <v>0</v>
      </c>
      <c r="BB68" s="413">
        <v>46121</v>
      </c>
      <c r="BC68" s="340" t="s">
        <v>795</v>
      </c>
      <c r="BD68" s="335">
        <v>23</v>
      </c>
      <c r="BE68" s="337" t="s">
        <v>23</v>
      </c>
      <c r="BF68" s="337"/>
      <c r="BG68" s="335"/>
      <c r="BH68" s="337"/>
      <c r="BI68" s="335">
        <f t="shared" si="2"/>
        <v>0</v>
      </c>
      <c r="BJ68" s="340" t="s">
        <v>3171</v>
      </c>
      <c r="BK68" s="282">
        <v>23</v>
      </c>
      <c r="BL68" s="282">
        <v>0</v>
      </c>
      <c r="BM68" s="413">
        <v>46151</v>
      </c>
      <c r="BN68" s="340" t="s">
        <v>797</v>
      </c>
      <c r="BO68" s="335">
        <v>23</v>
      </c>
      <c r="BP68" s="337" t="s">
        <v>23</v>
      </c>
      <c r="BQ68" s="337"/>
      <c r="BR68" s="335"/>
      <c r="BS68" s="337"/>
      <c r="BT68" s="335">
        <f t="shared" si="3"/>
        <v>0</v>
      </c>
      <c r="BU68" s="340"/>
    </row>
    <row r="69" ht="13.2" spans="1:73">
      <c r="A69" s="346" t="s">
        <v>3172</v>
      </c>
      <c r="B69" s="298" t="s">
        <v>3173</v>
      </c>
      <c r="C69" s="7" t="s">
        <v>3174</v>
      </c>
      <c r="D69" s="250" t="s">
        <v>251</v>
      </c>
      <c r="E69" s="352" t="s">
        <v>226</v>
      </c>
      <c r="F69" s="275">
        <v>24</v>
      </c>
      <c r="G69" s="352" t="s">
        <v>3175</v>
      </c>
      <c r="H69" s="7" t="s">
        <v>2615</v>
      </c>
      <c r="I69" s="7" t="s">
        <v>220</v>
      </c>
      <c r="J69" s="7" t="s">
        <v>3176</v>
      </c>
      <c r="K69" s="7" t="s">
        <v>3177</v>
      </c>
      <c r="L69" s="222" t="s">
        <v>3178</v>
      </c>
      <c r="M69" s="298" t="s">
        <v>3179</v>
      </c>
      <c r="N69" s="54">
        <v>45483</v>
      </c>
      <c r="O69" s="327" t="s">
        <v>384</v>
      </c>
      <c r="P69" s="7" t="s">
        <v>242</v>
      </c>
      <c r="Q69" s="329">
        <v>130.54</v>
      </c>
      <c r="U69" s="260">
        <v>46031</v>
      </c>
      <c r="V69" s="350"/>
      <c r="W69" s="334"/>
      <c r="X69" s="332"/>
      <c r="Y69" s="344"/>
      <c r="Z69" s="334"/>
      <c r="AA69" s="332"/>
      <c r="AB69" s="334">
        <f t="shared" si="10"/>
        <v>0</v>
      </c>
      <c r="AC69" s="250" t="s">
        <v>213</v>
      </c>
      <c r="AF69" s="260">
        <v>46062</v>
      </c>
      <c r="AH69" s="338"/>
      <c r="AI69" s="339"/>
      <c r="AJ69" s="345"/>
      <c r="AK69" s="338"/>
      <c r="AL69" s="339"/>
      <c r="AM69" s="338">
        <f t="shared" si="0"/>
        <v>0</v>
      </c>
      <c r="AN69" s="340" t="s">
        <v>213</v>
      </c>
      <c r="AQ69" s="260">
        <v>46090</v>
      </c>
      <c r="AR69" s="340"/>
      <c r="AS69" s="335"/>
      <c r="AT69" s="337"/>
      <c r="AU69" s="337"/>
      <c r="AV69" s="335"/>
      <c r="AW69" s="337"/>
      <c r="AX69" s="335">
        <f t="shared" si="1"/>
        <v>0</v>
      </c>
      <c r="AY69" s="340" t="s">
        <v>213</v>
      </c>
      <c r="BB69" s="260">
        <v>46121</v>
      </c>
      <c r="BC69" s="340"/>
      <c r="BD69" s="335"/>
      <c r="BE69" s="337"/>
      <c r="BF69" s="337"/>
      <c r="BG69" s="335"/>
      <c r="BH69" s="337"/>
      <c r="BI69" s="335">
        <f t="shared" si="2"/>
        <v>0</v>
      </c>
      <c r="BJ69" s="340"/>
      <c r="BM69" s="260">
        <v>46151</v>
      </c>
      <c r="BN69" s="340"/>
      <c r="BO69" s="335"/>
      <c r="BP69" s="337"/>
      <c r="BQ69" s="337"/>
      <c r="BR69" s="335"/>
      <c r="BS69" s="337"/>
      <c r="BT69" s="335">
        <f t="shared" si="3"/>
        <v>0</v>
      </c>
      <c r="BU69" s="340"/>
    </row>
    <row r="70" ht="13.2" spans="1:73">
      <c r="A70" s="346" t="s">
        <v>991</v>
      </c>
      <c r="B70" s="298" t="s">
        <v>3180</v>
      </c>
      <c r="C70" s="7"/>
      <c r="D70" s="250" t="s">
        <v>251</v>
      </c>
      <c r="E70" s="222"/>
      <c r="F70" s="7"/>
      <c r="G70" s="222"/>
      <c r="H70" s="7"/>
      <c r="I70" s="7"/>
      <c r="J70" s="7"/>
      <c r="K70" s="7"/>
      <c r="L70" s="222"/>
      <c r="M70" s="7"/>
      <c r="N70" s="49"/>
      <c r="O70" s="327"/>
      <c r="P70" s="7"/>
      <c r="Q70" s="329">
        <v>0</v>
      </c>
      <c r="U70" s="349"/>
      <c r="V70" s="350"/>
      <c r="W70" s="334"/>
      <c r="X70" s="332"/>
      <c r="Y70" s="344"/>
      <c r="Z70" s="334"/>
      <c r="AA70" s="332"/>
      <c r="AB70" s="334">
        <f t="shared" si="10"/>
        <v>0</v>
      </c>
      <c r="AC70" s="250" t="s">
        <v>213</v>
      </c>
      <c r="AF70" s="349"/>
      <c r="AH70" s="338"/>
      <c r="AI70" s="339"/>
      <c r="AJ70" s="345"/>
      <c r="AK70" s="338"/>
      <c r="AL70" s="339"/>
      <c r="AM70" s="338">
        <f t="shared" si="0"/>
        <v>0</v>
      </c>
      <c r="AN70" s="340" t="s">
        <v>213</v>
      </c>
      <c r="AQ70" s="349"/>
      <c r="AR70" s="340"/>
      <c r="AS70" s="335"/>
      <c r="AT70" s="337"/>
      <c r="AU70" s="337"/>
      <c r="AV70" s="335"/>
      <c r="AW70" s="337"/>
      <c r="AX70" s="335">
        <f t="shared" si="1"/>
        <v>0</v>
      </c>
      <c r="AY70" s="340" t="s">
        <v>213</v>
      </c>
      <c r="BB70" s="349"/>
      <c r="BC70" s="340"/>
      <c r="BD70" s="335"/>
      <c r="BE70" s="337"/>
      <c r="BF70" s="337"/>
      <c r="BG70" s="335"/>
      <c r="BH70" s="337"/>
      <c r="BI70" s="335">
        <f t="shared" si="2"/>
        <v>0</v>
      </c>
      <c r="BJ70" s="340"/>
      <c r="BM70" s="349"/>
      <c r="BN70" s="340"/>
      <c r="BO70" s="335"/>
      <c r="BP70" s="337"/>
      <c r="BQ70" s="337"/>
      <c r="BR70" s="335"/>
      <c r="BS70" s="337"/>
      <c r="BT70" s="335">
        <f t="shared" si="3"/>
        <v>0</v>
      </c>
      <c r="BU70" s="340"/>
    </row>
    <row r="71" ht="13.2" spans="1:73">
      <c r="A71" s="346" t="s">
        <v>998</v>
      </c>
      <c r="B71" s="298" t="s">
        <v>3181</v>
      </c>
      <c r="C71" s="7" t="s">
        <v>3182</v>
      </c>
      <c r="D71" s="250" t="s">
        <v>251</v>
      </c>
      <c r="E71" s="222"/>
      <c r="F71" s="7"/>
      <c r="G71" s="352" t="s">
        <v>3183</v>
      </c>
      <c r="H71" s="7" t="s">
        <v>2615</v>
      </c>
      <c r="I71" s="7" t="s">
        <v>220</v>
      </c>
      <c r="J71" s="7" t="s">
        <v>3176</v>
      </c>
      <c r="K71" s="7" t="s">
        <v>3184</v>
      </c>
      <c r="L71" s="222" t="s">
        <v>3185</v>
      </c>
      <c r="M71" s="7"/>
      <c r="N71" s="54">
        <v>45486</v>
      </c>
      <c r="O71" s="327" t="s">
        <v>384</v>
      </c>
      <c r="P71" s="7" t="s">
        <v>242</v>
      </c>
      <c r="Q71" s="329">
        <v>0</v>
      </c>
      <c r="U71" s="349"/>
      <c r="V71" s="350"/>
      <c r="W71" s="334"/>
      <c r="X71" s="332"/>
      <c r="Y71" s="344"/>
      <c r="Z71" s="334"/>
      <c r="AA71" s="332"/>
      <c r="AB71" s="334">
        <f t="shared" si="10"/>
        <v>0</v>
      </c>
      <c r="AC71" s="250" t="s">
        <v>213</v>
      </c>
      <c r="AF71" s="349"/>
      <c r="AH71" s="338"/>
      <c r="AI71" s="339"/>
      <c r="AJ71" s="345"/>
      <c r="AK71" s="338"/>
      <c r="AL71" s="339"/>
      <c r="AM71" s="338">
        <f t="shared" si="0"/>
        <v>0</v>
      </c>
      <c r="AN71" s="340" t="s">
        <v>213</v>
      </c>
      <c r="AQ71" s="349"/>
      <c r="AR71" s="340"/>
      <c r="AS71" s="335"/>
      <c r="AT71" s="337"/>
      <c r="AU71" s="337"/>
      <c r="AV71" s="335"/>
      <c r="AW71" s="337"/>
      <c r="AX71" s="335">
        <f t="shared" si="1"/>
        <v>0</v>
      </c>
      <c r="AY71" s="340" t="s">
        <v>213</v>
      </c>
      <c r="BB71" s="349"/>
      <c r="BC71" s="340"/>
      <c r="BD71" s="335"/>
      <c r="BE71" s="337"/>
      <c r="BF71" s="337"/>
      <c r="BG71" s="335"/>
      <c r="BH71" s="337"/>
      <c r="BI71" s="335">
        <f t="shared" si="2"/>
        <v>0</v>
      </c>
      <c r="BJ71" s="340"/>
      <c r="BM71" s="349"/>
      <c r="BN71" s="340"/>
      <c r="BO71" s="335"/>
      <c r="BP71" s="337"/>
      <c r="BQ71" s="337"/>
      <c r="BR71" s="335"/>
      <c r="BS71" s="337"/>
      <c r="BT71" s="335">
        <f t="shared" si="3"/>
        <v>0</v>
      </c>
      <c r="BU71" s="340"/>
    </row>
    <row r="72" ht="13.2" spans="1:73">
      <c r="A72" s="346" t="s">
        <v>1005</v>
      </c>
      <c r="B72" s="7" t="s">
        <v>3186</v>
      </c>
      <c r="C72" s="7" t="s">
        <v>3187</v>
      </c>
      <c r="D72" s="250" t="s">
        <v>201</v>
      </c>
      <c r="E72" s="352" t="s">
        <v>226</v>
      </c>
      <c r="F72" s="275">
        <v>12</v>
      </c>
      <c r="G72" s="352" t="s">
        <v>3188</v>
      </c>
      <c r="H72" s="7" t="s">
        <v>2615</v>
      </c>
      <c r="I72" s="7" t="s">
        <v>220</v>
      </c>
      <c r="J72" s="7" t="s">
        <v>3176</v>
      </c>
      <c r="K72" s="7" t="s">
        <v>3189</v>
      </c>
      <c r="L72" s="222" t="s">
        <v>3190</v>
      </c>
      <c r="M72" s="414" t="s">
        <v>3191</v>
      </c>
      <c r="N72" s="54">
        <v>45505</v>
      </c>
      <c r="O72" s="327" t="s">
        <v>464</v>
      </c>
      <c r="P72" s="7" t="s">
        <v>242</v>
      </c>
      <c r="Q72" s="329">
        <v>8.05</v>
      </c>
      <c r="S72" s="282">
        <v>8.05</v>
      </c>
      <c r="T72" s="282">
        <v>0</v>
      </c>
      <c r="U72" s="260">
        <v>46031</v>
      </c>
      <c r="V72" s="350" t="s">
        <v>429</v>
      </c>
      <c r="W72" s="329">
        <v>8.05</v>
      </c>
      <c r="X72" s="332" t="s">
        <v>23</v>
      </c>
      <c r="Y72" s="344"/>
      <c r="Z72" s="334"/>
      <c r="AA72" s="332"/>
      <c r="AB72" s="334">
        <f t="shared" si="10"/>
        <v>0</v>
      </c>
      <c r="AC72" s="250" t="s">
        <v>213</v>
      </c>
      <c r="AD72" s="282">
        <v>8.05</v>
      </c>
      <c r="AE72" s="282">
        <v>0</v>
      </c>
      <c r="AF72" s="260">
        <v>46062</v>
      </c>
      <c r="AG72" s="251">
        <v>46076</v>
      </c>
      <c r="AH72" s="335">
        <v>8.05</v>
      </c>
      <c r="AI72" s="336" t="s">
        <v>23</v>
      </c>
      <c r="AJ72" s="345"/>
      <c r="AK72" s="338"/>
      <c r="AL72" s="339"/>
      <c r="AM72" s="338">
        <f t="shared" si="0"/>
        <v>0</v>
      </c>
      <c r="AN72" s="340" t="s">
        <v>213</v>
      </c>
      <c r="AO72" s="282">
        <v>8.05</v>
      </c>
      <c r="AP72" s="282">
        <v>0</v>
      </c>
      <c r="AQ72" s="260">
        <v>46090</v>
      </c>
      <c r="AR72" s="340" t="s">
        <v>386</v>
      </c>
      <c r="AS72" s="335">
        <v>8.05</v>
      </c>
      <c r="AT72" s="337" t="s">
        <v>35</v>
      </c>
      <c r="AU72" s="337"/>
      <c r="AV72" s="335"/>
      <c r="AW72" s="337"/>
      <c r="AX72" s="335">
        <f t="shared" si="1"/>
        <v>0</v>
      </c>
      <c r="AY72" s="340" t="s">
        <v>213</v>
      </c>
      <c r="AZ72" s="282">
        <v>8.05</v>
      </c>
      <c r="BA72" s="282">
        <v>0</v>
      </c>
      <c r="BB72" s="260">
        <v>46121</v>
      </c>
      <c r="BC72" s="340" t="s">
        <v>411</v>
      </c>
      <c r="BD72" s="335">
        <v>8.05</v>
      </c>
      <c r="BE72" s="337" t="s">
        <v>35</v>
      </c>
      <c r="BF72" s="337"/>
      <c r="BG72" s="335"/>
      <c r="BH72" s="337"/>
      <c r="BI72" s="335">
        <f t="shared" si="2"/>
        <v>0</v>
      </c>
      <c r="BJ72" s="340"/>
      <c r="BK72" s="282">
        <v>8.05</v>
      </c>
      <c r="BL72" s="282">
        <v>0</v>
      </c>
      <c r="BM72" s="260">
        <v>46151</v>
      </c>
      <c r="BN72" s="340"/>
      <c r="BO72" s="335"/>
      <c r="BP72" s="337"/>
      <c r="BQ72" s="337"/>
      <c r="BR72" s="335"/>
      <c r="BS72" s="337"/>
      <c r="BT72" s="335">
        <f t="shared" si="3"/>
        <v>8.05</v>
      </c>
      <c r="BU72" s="340"/>
    </row>
    <row r="73" ht="13.95" spans="1:73">
      <c r="A73" s="346" t="s">
        <v>1012</v>
      </c>
      <c r="B73" s="7" t="s">
        <v>3192</v>
      </c>
      <c r="C73" s="7" t="s">
        <v>3193</v>
      </c>
      <c r="D73" s="250" t="s">
        <v>201</v>
      </c>
      <c r="E73" s="352" t="s">
        <v>226</v>
      </c>
      <c r="F73" s="275">
        <v>24</v>
      </c>
      <c r="G73" s="352" t="s">
        <v>3194</v>
      </c>
      <c r="H73" s="7" t="s">
        <v>2615</v>
      </c>
      <c r="I73" s="7" t="s">
        <v>220</v>
      </c>
      <c r="J73" s="7" t="s">
        <v>3176</v>
      </c>
      <c r="K73" s="7" t="s">
        <v>3195</v>
      </c>
      <c r="L73" s="222" t="s">
        <v>3196</v>
      </c>
      <c r="M73" s="7"/>
      <c r="N73" s="54">
        <v>45756</v>
      </c>
      <c r="O73" s="327" t="s">
        <v>210</v>
      </c>
      <c r="P73" s="7" t="s">
        <v>242</v>
      </c>
      <c r="Q73" s="329">
        <v>0</v>
      </c>
      <c r="S73" s="282">
        <v>11.5</v>
      </c>
      <c r="U73" s="260">
        <v>46031</v>
      </c>
      <c r="V73" s="350" t="s">
        <v>385</v>
      </c>
      <c r="W73" s="329">
        <v>11.5</v>
      </c>
      <c r="X73" s="332" t="s">
        <v>35</v>
      </c>
      <c r="Y73" s="344"/>
      <c r="Z73" s="334"/>
      <c r="AA73" s="332"/>
      <c r="AB73" s="334">
        <f t="shared" si="10"/>
        <v>0</v>
      </c>
      <c r="AC73" s="250" t="s">
        <v>213</v>
      </c>
      <c r="AD73" s="282">
        <v>11.5</v>
      </c>
      <c r="AF73" s="260">
        <v>46062</v>
      </c>
      <c r="AG73" s="251">
        <v>46071</v>
      </c>
      <c r="AH73" s="335">
        <v>11.5</v>
      </c>
      <c r="AI73" s="336" t="s">
        <v>35</v>
      </c>
      <c r="AJ73" s="345"/>
      <c r="AK73" s="338"/>
      <c r="AL73" s="339"/>
      <c r="AM73" s="338">
        <f t="shared" si="0"/>
        <v>0</v>
      </c>
      <c r="AN73" s="340" t="s">
        <v>213</v>
      </c>
      <c r="AO73" s="282">
        <f>11.5+15</f>
        <v>26.5</v>
      </c>
      <c r="AQ73" s="260">
        <v>46090</v>
      </c>
      <c r="AR73" s="340" t="s">
        <v>386</v>
      </c>
      <c r="AS73" s="335">
        <f>11.5+15</f>
        <v>26.5</v>
      </c>
      <c r="AT73" s="337" t="s">
        <v>35</v>
      </c>
      <c r="AU73" s="337"/>
      <c r="AV73" s="335"/>
      <c r="AW73" s="337"/>
      <c r="AX73" s="335">
        <f t="shared" si="1"/>
        <v>0</v>
      </c>
      <c r="AY73" s="340" t="s">
        <v>213</v>
      </c>
      <c r="AZ73" s="282">
        <f>11.5+15</f>
        <v>26.5</v>
      </c>
      <c r="BB73" s="260">
        <v>46121</v>
      </c>
      <c r="BC73" s="340" t="s">
        <v>626</v>
      </c>
      <c r="BD73" s="335">
        <v>26.5</v>
      </c>
      <c r="BE73" s="337" t="s">
        <v>35</v>
      </c>
      <c r="BF73" s="337"/>
      <c r="BG73" s="335"/>
      <c r="BH73" s="337"/>
      <c r="BI73" s="335">
        <f t="shared" si="2"/>
        <v>0</v>
      </c>
      <c r="BJ73" s="340"/>
      <c r="BK73" s="282">
        <f>11.5+15</f>
        <v>26.5</v>
      </c>
      <c r="BM73" s="260">
        <v>46151</v>
      </c>
      <c r="BN73" s="340"/>
      <c r="BO73" s="335"/>
      <c r="BP73" s="337"/>
      <c r="BQ73" s="337"/>
      <c r="BR73" s="335"/>
      <c r="BS73" s="337"/>
      <c r="BT73" s="335">
        <f t="shared" si="3"/>
        <v>26.5</v>
      </c>
      <c r="BU73" s="340"/>
    </row>
    <row r="74" ht="13.2" spans="1:73">
      <c r="A74" s="346" t="s">
        <v>1019</v>
      </c>
      <c r="B74" s="217" t="s">
        <v>3197</v>
      </c>
      <c r="C74" s="7" t="s">
        <v>3198</v>
      </c>
      <c r="D74" s="250" t="s">
        <v>201</v>
      </c>
      <c r="E74" s="352" t="s">
        <v>226</v>
      </c>
      <c r="F74" s="7"/>
      <c r="G74" s="352" t="s">
        <v>3199</v>
      </c>
      <c r="H74" s="7" t="s">
        <v>2615</v>
      </c>
      <c r="I74" s="7" t="s">
        <v>220</v>
      </c>
      <c r="J74" s="7" t="s">
        <v>3176</v>
      </c>
      <c r="K74" s="7" t="s">
        <v>3200</v>
      </c>
      <c r="L74" s="222" t="s">
        <v>3201</v>
      </c>
      <c r="M74" s="415" t="s">
        <v>3202</v>
      </c>
      <c r="N74" s="54">
        <v>45497</v>
      </c>
      <c r="O74" s="327"/>
      <c r="P74" s="7"/>
      <c r="Q74" s="329">
        <v>-1.84</v>
      </c>
      <c r="S74" s="282">
        <v>20.54</v>
      </c>
      <c r="T74" s="282">
        <v>2</v>
      </c>
      <c r="U74" s="260">
        <v>46031</v>
      </c>
      <c r="V74" s="331">
        <v>46024</v>
      </c>
      <c r="W74" s="329">
        <v>20.54</v>
      </c>
      <c r="X74" s="332" t="s">
        <v>35</v>
      </c>
      <c r="Y74" s="344"/>
      <c r="Z74" s="329">
        <v>1.96</v>
      </c>
      <c r="AA74" s="332" t="s">
        <v>35</v>
      </c>
      <c r="AB74" s="334">
        <f t="shared" si="10"/>
        <v>0.04</v>
      </c>
      <c r="AC74" s="250" t="s">
        <v>3203</v>
      </c>
      <c r="AD74" s="282">
        <v>20.54</v>
      </c>
      <c r="AE74" s="282">
        <v>2</v>
      </c>
      <c r="AF74" s="260">
        <v>46062</v>
      </c>
      <c r="AG74" s="251">
        <v>46055</v>
      </c>
      <c r="AH74" s="335">
        <v>22.5</v>
      </c>
      <c r="AI74" s="336" t="s">
        <v>35</v>
      </c>
      <c r="AJ74" s="337"/>
      <c r="AK74" s="335"/>
      <c r="AL74" s="336"/>
      <c r="AM74" s="335">
        <f t="shared" si="0"/>
        <v>0.0799999999999983</v>
      </c>
      <c r="AN74" s="340" t="s">
        <v>3204</v>
      </c>
      <c r="AO74" s="282">
        <v>20.54</v>
      </c>
      <c r="AP74" s="282">
        <v>2</v>
      </c>
      <c r="AQ74" s="260">
        <v>46090</v>
      </c>
      <c r="AR74" s="340" t="s">
        <v>508</v>
      </c>
      <c r="AS74" s="335">
        <v>20.5</v>
      </c>
      <c r="AT74" s="337" t="s">
        <v>35</v>
      </c>
      <c r="AU74" s="337"/>
      <c r="AV74" s="335">
        <v>2</v>
      </c>
      <c r="AW74" s="337" t="s">
        <v>35</v>
      </c>
      <c r="AX74" s="335">
        <f t="shared" si="1"/>
        <v>0.119999999999997</v>
      </c>
      <c r="AY74" s="340" t="s">
        <v>3205</v>
      </c>
      <c r="AZ74" s="282">
        <v>20.54</v>
      </c>
      <c r="BA74" s="282">
        <v>2</v>
      </c>
      <c r="BB74" s="260">
        <v>46121</v>
      </c>
      <c r="BC74" s="340" t="s">
        <v>510</v>
      </c>
      <c r="BD74" s="335">
        <v>22.5</v>
      </c>
      <c r="BE74" s="337" t="s">
        <v>35</v>
      </c>
      <c r="BF74" s="337"/>
      <c r="BG74" s="335"/>
      <c r="BH74" s="337"/>
      <c r="BI74" s="335">
        <f t="shared" si="2"/>
        <v>0.159999999999997</v>
      </c>
      <c r="BJ74" s="340" t="s">
        <v>3206</v>
      </c>
      <c r="BK74" s="282">
        <v>20.54</v>
      </c>
      <c r="BL74" s="282">
        <v>2</v>
      </c>
      <c r="BM74" s="260">
        <v>46151</v>
      </c>
      <c r="BN74" s="340" t="s">
        <v>3207</v>
      </c>
      <c r="BO74" s="335">
        <v>20.5</v>
      </c>
      <c r="BP74" s="337" t="s">
        <v>35</v>
      </c>
      <c r="BQ74" s="337"/>
      <c r="BR74" s="335">
        <v>2</v>
      </c>
      <c r="BS74" s="337" t="s">
        <v>35</v>
      </c>
      <c r="BT74" s="335">
        <f t="shared" si="3"/>
        <v>0.199999999999996</v>
      </c>
      <c r="BU74" s="340"/>
    </row>
    <row r="75" ht="13.2" spans="1:73">
      <c r="A75" s="346" t="s">
        <v>1029</v>
      </c>
      <c r="B75" s="7" t="s">
        <v>3208</v>
      </c>
      <c r="C75" s="7" t="s">
        <v>3209</v>
      </c>
      <c r="D75" s="250" t="s">
        <v>201</v>
      </c>
      <c r="E75" s="352" t="s">
        <v>202</v>
      </c>
      <c r="F75" s="275">
        <v>12</v>
      </c>
      <c r="G75" s="352" t="s">
        <v>3210</v>
      </c>
      <c r="H75" s="7" t="s">
        <v>2615</v>
      </c>
      <c r="I75" s="7" t="s">
        <v>220</v>
      </c>
      <c r="J75" s="7" t="s">
        <v>3211</v>
      </c>
      <c r="K75" s="7" t="s">
        <v>3212</v>
      </c>
      <c r="L75" s="222" t="s">
        <v>3213</v>
      </c>
      <c r="M75" s="414" t="s">
        <v>3214</v>
      </c>
      <c r="N75" s="54">
        <v>45505</v>
      </c>
      <c r="O75" s="327" t="s">
        <v>384</v>
      </c>
      <c r="P75" s="7" t="s">
        <v>242</v>
      </c>
      <c r="Q75" s="329">
        <v>0</v>
      </c>
      <c r="S75" s="282">
        <v>20.54</v>
      </c>
      <c r="U75" s="260">
        <v>46031</v>
      </c>
      <c r="V75" s="331">
        <v>46032</v>
      </c>
      <c r="W75" s="329">
        <v>20</v>
      </c>
      <c r="X75" s="332" t="s">
        <v>35</v>
      </c>
      <c r="Y75" s="344"/>
      <c r="Z75" s="334"/>
      <c r="AA75" s="332"/>
      <c r="AB75" s="334">
        <f t="shared" si="10"/>
        <v>0.539999999999999</v>
      </c>
      <c r="AC75" s="250" t="s">
        <v>213</v>
      </c>
      <c r="AD75" s="282">
        <v>20.54</v>
      </c>
      <c r="AF75" s="260">
        <v>46062</v>
      </c>
      <c r="AG75" s="251">
        <v>46062</v>
      </c>
      <c r="AH75" s="335">
        <v>21.08</v>
      </c>
      <c r="AI75" s="336" t="s">
        <v>35</v>
      </c>
      <c r="AJ75" s="345"/>
      <c r="AK75" s="338"/>
      <c r="AL75" s="339"/>
      <c r="AM75" s="338">
        <f t="shared" si="0"/>
        <v>0</v>
      </c>
      <c r="AN75" s="340" t="s">
        <v>213</v>
      </c>
      <c r="AO75" s="282">
        <v>20.54</v>
      </c>
      <c r="AQ75" s="260">
        <v>46090</v>
      </c>
      <c r="AR75" s="340" t="s">
        <v>498</v>
      </c>
      <c r="AS75" s="335">
        <v>20.5</v>
      </c>
      <c r="AT75" s="337" t="s">
        <v>35</v>
      </c>
      <c r="AU75" s="337"/>
      <c r="AV75" s="335"/>
      <c r="AW75" s="337"/>
      <c r="AX75" s="335">
        <f t="shared" si="1"/>
        <v>0.0399999999999991</v>
      </c>
      <c r="AY75" s="340" t="s">
        <v>213</v>
      </c>
      <c r="AZ75" s="282">
        <v>20.54</v>
      </c>
      <c r="BB75" s="260">
        <v>46121</v>
      </c>
      <c r="BC75" s="340" t="s">
        <v>563</v>
      </c>
      <c r="BD75" s="335">
        <v>20</v>
      </c>
      <c r="BE75" s="337" t="s">
        <v>35</v>
      </c>
      <c r="BF75" s="337"/>
      <c r="BG75" s="335"/>
      <c r="BH75" s="337"/>
      <c r="BI75" s="335">
        <f t="shared" si="2"/>
        <v>0.579999999999998</v>
      </c>
      <c r="BJ75" s="340"/>
      <c r="BK75" s="282">
        <v>20.54</v>
      </c>
      <c r="BM75" s="260">
        <v>46151</v>
      </c>
      <c r="BN75" s="340"/>
      <c r="BO75" s="335"/>
      <c r="BP75" s="337"/>
      <c r="BQ75" s="337"/>
      <c r="BR75" s="335"/>
      <c r="BS75" s="337"/>
      <c r="BT75" s="335">
        <f t="shared" si="3"/>
        <v>21.12</v>
      </c>
      <c r="BU75" s="340"/>
    </row>
    <row r="76" ht="13.2" spans="1:73">
      <c r="A76" s="346" t="s">
        <v>1037</v>
      </c>
      <c r="B76" s="7" t="s">
        <v>3215</v>
      </c>
      <c r="C76" s="7" t="s">
        <v>3216</v>
      </c>
      <c r="D76" s="250" t="s">
        <v>201</v>
      </c>
      <c r="E76" s="352" t="s">
        <v>202</v>
      </c>
      <c r="F76" s="275">
        <v>24</v>
      </c>
      <c r="G76" s="352" t="s">
        <v>3210</v>
      </c>
      <c r="H76" s="7" t="s">
        <v>2615</v>
      </c>
      <c r="I76" s="7" t="s">
        <v>220</v>
      </c>
      <c r="J76" s="7" t="s">
        <v>3217</v>
      </c>
      <c r="K76" s="7" t="s">
        <v>3212</v>
      </c>
      <c r="L76" s="222" t="s">
        <v>3213</v>
      </c>
      <c r="M76" s="414" t="s">
        <v>3214</v>
      </c>
      <c r="N76" s="54">
        <v>45505</v>
      </c>
      <c r="O76" s="327" t="s">
        <v>384</v>
      </c>
      <c r="P76" s="7" t="s">
        <v>242</v>
      </c>
      <c r="Q76" s="329">
        <v>0.4</v>
      </c>
      <c r="S76" s="282">
        <v>20.54</v>
      </c>
      <c r="T76" s="282">
        <v>0</v>
      </c>
      <c r="U76" s="260">
        <v>46031</v>
      </c>
      <c r="V76" s="331">
        <v>46032</v>
      </c>
      <c r="W76" s="329">
        <v>20</v>
      </c>
      <c r="X76" s="332" t="s">
        <v>35</v>
      </c>
      <c r="Y76" s="344"/>
      <c r="Z76" s="334"/>
      <c r="AA76" s="332"/>
      <c r="AB76" s="334">
        <f t="shared" si="10"/>
        <v>0.539999999999999</v>
      </c>
      <c r="AC76" s="250" t="s">
        <v>213</v>
      </c>
      <c r="AD76" s="282">
        <v>20.54</v>
      </c>
      <c r="AE76" s="282">
        <v>0</v>
      </c>
      <c r="AF76" s="260">
        <v>46062</v>
      </c>
      <c r="AG76" s="251">
        <v>46062</v>
      </c>
      <c r="AH76" s="335">
        <v>21.08</v>
      </c>
      <c r="AI76" s="336" t="s">
        <v>35</v>
      </c>
      <c r="AJ76" s="345"/>
      <c r="AK76" s="338"/>
      <c r="AL76" s="339"/>
      <c r="AM76" s="338">
        <f t="shared" si="0"/>
        <v>0</v>
      </c>
      <c r="AN76" s="340" t="s">
        <v>213</v>
      </c>
      <c r="AO76" s="282">
        <v>20.54</v>
      </c>
      <c r="AP76" s="282">
        <v>0</v>
      </c>
      <c r="AQ76" s="260">
        <v>46090</v>
      </c>
      <c r="AR76" s="340" t="s">
        <v>498</v>
      </c>
      <c r="AS76" s="335">
        <v>20.5</v>
      </c>
      <c r="AT76" s="337" t="s">
        <v>35</v>
      </c>
      <c r="AU76" s="337"/>
      <c r="AV76" s="335"/>
      <c r="AW76" s="337"/>
      <c r="AX76" s="335">
        <f t="shared" si="1"/>
        <v>0.0399999999999991</v>
      </c>
      <c r="AY76" s="340" t="s">
        <v>213</v>
      </c>
      <c r="AZ76" s="282">
        <v>20.54</v>
      </c>
      <c r="BA76" s="282">
        <v>0</v>
      </c>
      <c r="BB76" s="260">
        <v>46121</v>
      </c>
      <c r="BC76" s="340" t="s">
        <v>563</v>
      </c>
      <c r="BD76" s="335">
        <v>20</v>
      </c>
      <c r="BE76" s="337" t="s">
        <v>35</v>
      </c>
      <c r="BF76" s="337"/>
      <c r="BG76" s="335"/>
      <c r="BH76" s="337"/>
      <c r="BI76" s="335">
        <f t="shared" si="2"/>
        <v>0.579999999999998</v>
      </c>
      <c r="BJ76" s="340"/>
      <c r="BK76" s="282">
        <v>20.54</v>
      </c>
      <c r="BL76" s="282">
        <v>0</v>
      </c>
      <c r="BM76" s="260">
        <v>46151</v>
      </c>
      <c r="BN76" s="340"/>
      <c r="BO76" s="335"/>
      <c r="BP76" s="337"/>
      <c r="BQ76" s="337"/>
      <c r="BR76" s="335"/>
      <c r="BS76" s="337"/>
      <c r="BT76" s="335">
        <f t="shared" si="3"/>
        <v>21.12</v>
      </c>
      <c r="BU76" s="340"/>
    </row>
    <row r="77" ht="13.2" spans="1:73">
      <c r="A77" s="346" t="s">
        <v>1044</v>
      </c>
      <c r="B77" s="7" t="s">
        <v>3218</v>
      </c>
      <c r="C77" s="7" t="s">
        <v>3219</v>
      </c>
      <c r="D77" s="250" t="s">
        <v>201</v>
      </c>
      <c r="E77" s="352" t="s">
        <v>202</v>
      </c>
      <c r="F77" s="275">
        <v>24</v>
      </c>
      <c r="G77" s="352" t="s">
        <v>3220</v>
      </c>
      <c r="H77" s="7" t="s">
        <v>2615</v>
      </c>
      <c r="I77" s="7" t="s">
        <v>220</v>
      </c>
      <c r="J77" s="7" t="s">
        <v>3217</v>
      </c>
      <c r="K77" s="7" t="s">
        <v>3221</v>
      </c>
      <c r="L77" s="222" t="s">
        <v>3222</v>
      </c>
      <c r="M77" s="414" t="s">
        <v>3223</v>
      </c>
      <c r="N77" s="54">
        <v>45505</v>
      </c>
      <c r="O77" s="327" t="s">
        <v>384</v>
      </c>
      <c r="P77" s="7" t="s">
        <v>242</v>
      </c>
      <c r="Q77" s="329">
        <v>0</v>
      </c>
      <c r="S77" s="282">
        <v>20.54</v>
      </c>
      <c r="T77" s="282">
        <v>0</v>
      </c>
      <c r="U77" s="260">
        <v>46031</v>
      </c>
      <c r="V77" s="361">
        <v>46029</v>
      </c>
      <c r="W77" s="329">
        <v>20.54</v>
      </c>
      <c r="X77" s="332" t="s">
        <v>23</v>
      </c>
      <c r="Y77" s="344"/>
      <c r="Z77" s="334"/>
      <c r="AA77" s="332"/>
      <c r="AB77" s="334">
        <f t="shared" si="10"/>
        <v>0</v>
      </c>
      <c r="AC77" s="250" t="s">
        <v>3224</v>
      </c>
      <c r="AD77" s="282">
        <v>20.54</v>
      </c>
      <c r="AE77" s="282">
        <v>0</v>
      </c>
      <c r="AF77" s="260">
        <v>46062</v>
      </c>
      <c r="AG77" s="251">
        <v>46058</v>
      </c>
      <c r="AH77" s="335">
        <v>20.54</v>
      </c>
      <c r="AI77" s="336" t="s">
        <v>23</v>
      </c>
      <c r="AJ77" s="337"/>
      <c r="AK77" s="335"/>
      <c r="AL77" s="336"/>
      <c r="AM77" s="335">
        <f t="shared" si="0"/>
        <v>0</v>
      </c>
      <c r="AN77" s="340" t="s">
        <v>3225</v>
      </c>
      <c r="AO77" s="282">
        <v>20.54</v>
      </c>
      <c r="AP77" s="282">
        <v>0</v>
      </c>
      <c r="AQ77" s="260">
        <v>46090</v>
      </c>
      <c r="AR77" s="340" t="s">
        <v>680</v>
      </c>
      <c r="AS77" s="335">
        <v>20.54</v>
      </c>
      <c r="AT77" s="337" t="s">
        <v>23</v>
      </c>
      <c r="AU77" s="337"/>
      <c r="AV77" s="335"/>
      <c r="AW77" s="337"/>
      <c r="AX77" s="335">
        <f t="shared" si="1"/>
        <v>0</v>
      </c>
      <c r="AY77" s="340" t="s">
        <v>3226</v>
      </c>
      <c r="AZ77" s="282">
        <v>20.54</v>
      </c>
      <c r="BA77" s="282">
        <v>0</v>
      </c>
      <c r="BB77" s="260">
        <v>46121</v>
      </c>
      <c r="BC77" s="340" t="s">
        <v>510</v>
      </c>
      <c r="BD77" s="336">
        <v>20.54</v>
      </c>
      <c r="BE77" s="337" t="s">
        <v>23</v>
      </c>
      <c r="BF77" s="337"/>
      <c r="BG77" s="335"/>
      <c r="BH77" s="337"/>
      <c r="BI77" s="335">
        <f t="shared" si="2"/>
        <v>0</v>
      </c>
      <c r="BJ77" s="340" t="s">
        <v>3227</v>
      </c>
      <c r="BK77" s="282">
        <v>20.54</v>
      </c>
      <c r="BL77" s="282">
        <v>0</v>
      </c>
      <c r="BM77" s="260">
        <v>46151</v>
      </c>
      <c r="BN77" s="340" t="s">
        <v>797</v>
      </c>
      <c r="BO77" s="335">
        <v>20.54</v>
      </c>
      <c r="BP77" s="337" t="s">
        <v>23</v>
      </c>
      <c r="BQ77" s="337"/>
      <c r="BR77" s="335"/>
      <c r="BS77" s="337"/>
      <c r="BT77" s="335">
        <f t="shared" si="3"/>
        <v>0</v>
      </c>
      <c r="BU77" s="340"/>
    </row>
    <row r="78" ht="13.2" spans="1:73">
      <c r="A78" s="346" t="s">
        <v>1051</v>
      </c>
      <c r="B78" s="7" t="s">
        <v>3228</v>
      </c>
      <c r="C78" s="7" t="s">
        <v>3229</v>
      </c>
      <c r="D78" s="250" t="s">
        <v>201</v>
      </c>
      <c r="E78" s="352" t="s">
        <v>202</v>
      </c>
      <c r="F78" s="275">
        <v>24</v>
      </c>
      <c r="G78" s="352" t="s">
        <v>3230</v>
      </c>
      <c r="H78" s="7" t="s">
        <v>2615</v>
      </c>
      <c r="I78" s="7" t="s">
        <v>220</v>
      </c>
      <c r="J78" s="7" t="s">
        <v>3231</v>
      </c>
      <c r="K78" s="7" t="s">
        <v>3232</v>
      </c>
      <c r="L78" s="222" t="s">
        <v>3233</v>
      </c>
      <c r="M78" s="415" t="s">
        <v>3234</v>
      </c>
      <c r="N78" s="54">
        <v>45505</v>
      </c>
      <c r="O78" s="327" t="s">
        <v>384</v>
      </c>
      <c r="P78" s="7" t="s">
        <v>242</v>
      </c>
      <c r="Q78" s="329">
        <v>0</v>
      </c>
      <c r="S78" s="282">
        <v>20.54</v>
      </c>
      <c r="T78" s="282">
        <v>0</v>
      </c>
      <c r="U78" s="260">
        <v>46037</v>
      </c>
      <c r="V78" s="331">
        <v>46038</v>
      </c>
      <c r="W78" s="329">
        <v>20.54</v>
      </c>
      <c r="X78" s="332" t="s">
        <v>23</v>
      </c>
      <c r="Y78" s="344"/>
      <c r="Z78" s="334"/>
      <c r="AA78" s="332"/>
      <c r="AB78" s="334">
        <f t="shared" si="10"/>
        <v>0</v>
      </c>
      <c r="AC78" s="250" t="s">
        <v>213</v>
      </c>
      <c r="AD78" s="282">
        <v>20.54</v>
      </c>
      <c r="AE78" s="282">
        <v>0</v>
      </c>
      <c r="AF78" s="260">
        <v>46068</v>
      </c>
      <c r="AG78" s="251">
        <v>46070</v>
      </c>
      <c r="AH78" s="335">
        <v>22.55</v>
      </c>
      <c r="AI78" s="336" t="s">
        <v>23</v>
      </c>
      <c r="AJ78" s="337" t="s">
        <v>3235</v>
      </c>
      <c r="AK78" s="338"/>
      <c r="AL78" s="339"/>
      <c r="AM78" s="338">
        <f t="shared" si="0"/>
        <v>-2.01</v>
      </c>
      <c r="AN78" s="340" t="s">
        <v>213</v>
      </c>
      <c r="AO78" s="282">
        <v>20.54</v>
      </c>
      <c r="AP78" s="282">
        <v>0</v>
      </c>
      <c r="AQ78" s="260">
        <v>46096</v>
      </c>
      <c r="AR78" s="340" t="s">
        <v>360</v>
      </c>
      <c r="AS78" s="335">
        <v>18.55</v>
      </c>
      <c r="AT78" s="337" t="s">
        <v>23</v>
      </c>
      <c r="AU78" s="337"/>
      <c r="AV78" s="335"/>
      <c r="AW78" s="337"/>
      <c r="AX78" s="335">
        <f t="shared" si="1"/>
        <v>-0.0200000000000031</v>
      </c>
      <c r="AY78" s="340" t="s">
        <v>213</v>
      </c>
      <c r="AZ78" s="282">
        <v>20.54</v>
      </c>
      <c r="BA78" s="282">
        <v>0</v>
      </c>
      <c r="BB78" s="260">
        <v>46127</v>
      </c>
      <c r="BC78" s="340" t="s">
        <v>321</v>
      </c>
      <c r="BD78" s="335">
        <v>20.52</v>
      </c>
      <c r="BE78" s="337" t="s">
        <v>23</v>
      </c>
      <c r="BF78" s="337"/>
      <c r="BG78" s="335"/>
      <c r="BH78" s="337"/>
      <c r="BI78" s="335">
        <f t="shared" si="2"/>
        <v>0</v>
      </c>
      <c r="BJ78" s="340"/>
      <c r="BK78" s="282">
        <v>20.54</v>
      </c>
      <c r="BL78" s="282">
        <v>0</v>
      </c>
      <c r="BM78" s="260">
        <v>46157</v>
      </c>
      <c r="BN78" s="340"/>
      <c r="BO78" s="335"/>
      <c r="BP78" s="337"/>
      <c r="BQ78" s="337"/>
      <c r="BR78" s="335"/>
      <c r="BS78" s="337"/>
      <c r="BT78" s="335">
        <f t="shared" si="3"/>
        <v>20.54</v>
      </c>
      <c r="BU78" s="340"/>
    </row>
    <row r="79" ht="13.2" spans="1:73">
      <c r="A79" s="346" t="s">
        <v>1063</v>
      </c>
      <c r="B79" s="298" t="s">
        <v>3236</v>
      </c>
      <c r="C79" s="7" t="s">
        <v>3237</v>
      </c>
      <c r="D79" s="250" t="s">
        <v>251</v>
      </c>
      <c r="E79" s="352" t="s">
        <v>226</v>
      </c>
      <c r="F79" s="275" t="s">
        <v>3238</v>
      </c>
      <c r="G79" s="222"/>
      <c r="H79" s="7" t="s">
        <v>2615</v>
      </c>
      <c r="I79" s="7" t="s">
        <v>220</v>
      </c>
      <c r="J79" s="7" t="s">
        <v>3217</v>
      </c>
      <c r="K79" s="7"/>
      <c r="L79" s="222"/>
      <c r="M79" s="416" t="s">
        <v>3239</v>
      </c>
      <c r="N79" s="54">
        <v>45505</v>
      </c>
      <c r="O79" s="327" t="s">
        <v>384</v>
      </c>
      <c r="P79" s="7" t="s">
        <v>242</v>
      </c>
      <c r="Q79" s="329">
        <v>0</v>
      </c>
      <c r="U79" s="349"/>
      <c r="V79" s="350"/>
      <c r="W79" s="334"/>
      <c r="X79" s="332"/>
      <c r="Y79" s="344"/>
      <c r="Z79" s="334"/>
      <c r="AA79" s="332"/>
      <c r="AB79" s="334">
        <f t="shared" si="10"/>
        <v>0</v>
      </c>
      <c r="AC79" s="250" t="s">
        <v>213</v>
      </c>
      <c r="AF79" s="349"/>
      <c r="AH79" s="338"/>
      <c r="AI79" s="339"/>
      <c r="AJ79" s="345"/>
      <c r="AK79" s="338"/>
      <c r="AL79" s="339"/>
      <c r="AM79" s="338">
        <f t="shared" si="0"/>
        <v>0</v>
      </c>
      <c r="AN79" s="340" t="s">
        <v>213</v>
      </c>
      <c r="AQ79" s="349"/>
      <c r="AR79" s="340"/>
      <c r="AS79" s="335"/>
      <c r="AT79" s="337"/>
      <c r="AU79" s="337"/>
      <c r="AV79" s="335"/>
      <c r="AW79" s="337"/>
      <c r="AX79" s="335">
        <f t="shared" si="1"/>
        <v>0</v>
      </c>
      <c r="AY79" s="340" t="s">
        <v>213</v>
      </c>
      <c r="BB79" s="349"/>
      <c r="BC79" s="340"/>
      <c r="BD79" s="335"/>
      <c r="BE79" s="337"/>
      <c r="BF79" s="337"/>
      <c r="BG79" s="335"/>
      <c r="BH79" s="337"/>
      <c r="BI79" s="335">
        <f t="shared" si="2"/>
        <v>0</v>
      </c>
      <c r="BJ79" s="340"/>
      <c r="BM79" s="349"/>
      <c r="BN79" s="340"/>
      <c r="BO79" s="335"/>
      <c r="BP79" s="337"/>
      <c r="BQ79" s="337"/>
      <c r="BR79" s="335"/>
      <c r="BS79" s="337"/>
      <c r="BT79" s="335">
        <f t="shared" si="3"/>
        <v>0</v>
      </c>
      <c r="BU79" s="340"/>
    </row>
    <row r="80" ht="13.2" spans="1:73">
      <c r="A80" s="346" t="s">
        <v>1076</v>
      </c>
      <c r="B80" s="7" t="s">
        <v>3240</v>
      </c>
      <c r="C80" s="7" t="s">
        <v>3241</v>
      </c>
      <c r="D80" s="250" t="s">
        <v>201</v>
      </c>
      <c r="E80" s="352" t="s">
        <v>202</v>
      </c>
      <c r="F80" s="275">
        <v>12</v>
      </c>
      <c r="G80" s="352" t="s">
        <v>3242</v>
      </c>
      <c r="H80" s="7" t="s">
        <v>2615</v>
      </c>
      <c r="I80" s="7" t="s">
        <v>220</v>
      </c>
      <c r="J80" s="7" t="s">
        <v>3217</v>
      </c>
      <c r="K80" s="7" t="s">
        <v>3243</v>
      </c>
      <c r="L80" s="222" t="s">
        <v>3244</v>
      </c>
      <c r="M80" s="415" t="s">
        <v>3245</v>
      </c>
      <c r="N80" s="54">
        <v>45505</v>
      </c>
      <c r="O80" s="327" t="s">
        <v>384</v>
      </c>
      <c r="P80" s="7" t="s">
        <v>242</v>
      </c>
      <c r="Q80" s="329">
        <v>-3.92</v>
      </c>
      <c r="S80" s="282">
        <v>20.54</v>
      </c>
      <c r="T80" s="282">
        <v>0</v>
      </c>
      <c r="U80" s="260">
        <v>46031</v>
      </c>
      <c r="V80" s="331">
        <v>46049</v>
      </c>
      <c r="W80" s="329">
        <v>20.54</v>
      </c>
      <c r="X80" s="332" t="s">
        <v>23</v>
      </c>
      <c r="Y80" s="344"/>
      <c r="Z80" s="334"/>
      <c r="AA80" s="332"/>
      <c r="AB80" s="334">
        <f t="shared" si="10"/>
        <v>0</v>
      </c>
      <c r="AC80" s="250" t="s">
        <v>213</v>
      </c>
      <c r="AD80" s="282">
        <v>20.54</v>
      </c>
      <c r="AE80" s="282">
        <v>0</v>
      </c>
      <c r="AF80" s="260">
        <v>46062</v>
      </c>
      <c r="AG80" s="251">
        <v>46076</v>
      </c>
      <c r="AH80" s="335">
        <v>20.54</v>
      </c>
      <c r="AI80" s="336" t="s">
        <v>23</v>
      </c>
      <c r="AJ80" s="345"/>
      <c r="AK80" s="338"/>
      <c r="AL80" s="339"/>
      <c r="AM80" s="338">
        <f t="shared" si="0"/>
        <v>0</v>
      </c>
      <c r="AN80" s="340" t="s">
        <v>213</v>
      </c>
      <c r="AO80" s="282">
        <v>20.54</v>
      </c>
      <c r="AP80" s="282">
        <v>0</v>
      </c>
      <c r="AQ80" s="260">
        <v>46090</v>
      </c>
      <c r="AR80" s="340" t="s">
        <v>795</v>
      </c>
      <c r="AS80" s="335">
        <v>20.54</v>
      </c>
      <c r="AT80" s="337" t="s">
        <v>23</v>
      </c>
      <c r="AU80" s="337"/>
      <c r="AV80" s="335"/>
      <c r="AW80" s="337"/>
      <c r="AX80" s="335">
        <f t="shared" si="1"/>
        <v>0</v>
      </c>
      <c r="AY80" s="340" t="s">
        <v>213</v>
      </c>
      <c r="AZ80" s="282">
        <v>20.54</v>
      </c>
      <c r="BA80" s="282">
        <v>0</v>
      </c>
      <c r="BB80" s="260">
        <v>46121</v>
      </c>
      <c r="BC80" s="340" t="s">
        <v>223</v>
      </c>
      <c r="BD80" s="335">
        <v>20.54</v>
      </c>
      <c r="BE80" s="337" t="s">
        <v>23</v>
      </c>
      <c r="BF80" s="337"/>
      <c r="BG80" s="335"/>
      <c r="BH80" s="337"/>
      <c r="BI80" s="335">
        <f t="shared" si="2"/>
        <v>0</v>
      </c>
      <c r="BJ80" s="340"/>
      <c r="BK80" s="282">
        <v>20.54</v>
      </c>
      <c r="BL80" s="282">
        <v>0</v>
      </c>
      <c r="BM80" s="260">
        <v>46151</v>
      </c>
      <c r="BN80" s="340"/>
      <c r="BO80" s="335"/>
      <c r="BP80" s="337"/>
      <c r="BQ80" s="337"/>
      <c r="BR80" s="335"/>
      <c r="BS80" s="337"/>
      <c r="BT80" s="335">
        <f t="shared" si="3"/>
        <v>20.54</v>
      </c>
      <c r="BU80" s="340"/>
    </row>
    <row r="81" ht="13.2" spans="1:73">
      <c r="A81" s="346" t="s">
        <v>1083</v>
      </c>
      <c r="B81" s="417" t="s">
        <v>3246</v>
      </c>
      <c r="C81" s="7" t="s">
        <v>3247</v>
      </c>
      <c r="D81" s="250" t="s">
        <v>201</v>
      </c>
      <c r="E81" s="352" t="s">
        <v>202</v>
      </c>
      <c r="F81" s="275">
        <v>12</v>
      </c>
      <c r="G81" s="352" t="s">
        <v>3248</v>
      </c>
      <c r="H81" s="7" t="s">
        <v>2615</v>
      </c>
      <c r="I81" s="7" t="s">
        <v>220</v>
      </c>
      <c r="J81" s="7" t="s">
        <v>3217</v>
      </c>
      <c r="K81" s="7" t="s">
        <v>3249</v>
      </c>
      <c r="L81" s="222" t="s">
        <v>3250</v>
      </c>
      <c r="M81" s="7"/>
      <c r="N81" s="54">
        <v>45981</v>
      </c>
      <c r="O81" s="327" t="s">
        <v>384</v>
      </c>
      <c r="P81" s="7" t="s">
        <v>242</v>
      </c>
      <c r="Q81" s="329">
        <v>0</v>
      </c>
      <c r="S81" s="282">
        <v>20.54</v>
      </c>
      <c r="T81" s="282">
        <v>0</v>
      </c>
      <c r="U81" s="260">
        <v>46031</v>
      </c>
      <c r="V81" s="331">
        <v>46044</v>
      </c>
      <c r="W81" s="329">
        <v>20.54</v>
      </c>
      <c r="X81" s="332" t="s">
        <v>23</v>
      </c>
      <c r="Y81" s="344"/>
      <c r="Z81" s="334"/>
      <c r="AA81" s="332"/>
      <c r="AB81" s="334">
        <f t="shared" si="10"/>
        <v>0</v>
      </c>
      <c r="AC81" s="250" t="s">
        <v>3251</v>
      </c>
      <c r="AD81" s="282">
        <v>20.54</v>
      </c>
      <c r="AE81" s="282">
        <v>0</v>
      </c>
      <c r="AF81" s="260">
        <v>46062</v>
      </c>
      <c r="AG81" s="251">
        <v>46066</v>
      </c>
      <c r="AH81" s="335">
        <v>20.54</v>
      </c>
      <c r="AI81" s="336" t="s">
        <v>23</v>
      </c>
      <c r="AJ81" s="337"/>
      <c r="AK81" s="335"/>
      <c r="AL81" s="336"/>
      <c r="AM81" s="335">
        <f t="shared" si="0"/>
        <v>0</v>
      </c>
      <c r="AN81" s="340" t="s">
        <v>3252</v>
      </c>
      <c r="AO81" s="282">
        <v>20.54</v>
      </c>
      <c r="AP81" s="282">
        <v>0</v>
      </c>
      <c r="AQ81" s="260">
        <v>46090</v>
      </c>
      <c r="AR81" s="340" t="s">
        <v>769</v>
      </c>
      <c r="AS81" s="335">
        <v>20.54</v>
      </c>
      <c r="AT81" s="337" t="s">
        <v>23</v>
      </c>
      <c r="AU81" s="337"/>
      <c r="AV81" s="335"/>
      <c r="AW81" s="337"/>
      <c r="AX81" s="335">
        <f t="shared" si="1"/>
        <v>0</v>
      </c>
      <c r="AY81" s="340" t="s">
        <v>3253</v>
      </c>
      <c r="AZ81" s="282">
        <v>20.54</v>
      </c>
      <c r="BA81" s="282">
        <v>0</v>
      </c>
      <c r="BB81" s="260">
        <v>46121</v>
      </c>
      <c r="BC81" s="340" t="s">
        <v>411</v>
      </c>
      <c r="BD81" s="335">
        <v>20.54</v>
      </c>
      <c r="BE81" s="337" t="s">
        <v>23</v>
      </c>
      <c r="BF81" s="337"/>
      <c r="BG81" s="335"/>
      <c r="BH81" s="337"/>
      <c r="BI81" s="335">
        <f t="shared" si="2"/>
        <v>0</v>
      </c>
      <c r="BJ81" s="340" t="s">
        <v>3254</v>
      </c>
      <c r="BK81" s="282">
        <v>20.54</v>
      </c>
      <c r="BL81" s="282">
        <v>0</v>
      </c>
      <c r="BM81" s="260">
        <v>46151</v>
      </c>
      <c r="BN81" s="340"/>
      <c r="BO81" s="335"/>
      <c r="BP81" s="337"/>
      <c r="BQ81" s="337"/>
      <c r="BR81" s="335"/>
      <c r="BS81" s="337"/>
      <c r="BT81" s="335">
        <f t="shared" si="3"/>
        <v>20.54</v>
      </c>
      <c r="BU81" s="340"/>
    </row>
    <row r="82" ht="13.95" spans="1:73">
      <c r="A82" s="384" t="s">
        <v>1095</v>
      </c>
      <c r="B82" s="7" t="s">
        <v>3255</v>
      </c>
      <c r="C82" s="7" t="s">
        <v>3256</v>
      </c>
      <c r="D82" s="250" t="s">
        <v>201</v>
      </c>
      <c r="E82" s="352" t="s">
        <v>220</v>
      </c>
      <c r="F82" s="275">
        <v>24</v>
      </c>
      <c r="G82" s="222" t="s">
        <v>3257</v>
      </c>
      <c r="H82" s="7" t="s">
        <v>2615</v>
      </c>
      <c r="I82" s="7" t="s">
        <v>220</v>
      </c>
      <c r="J82" s="7" t="s">
        <v>3231</v>
      </c>
      <c r="K82" s="7" t="s">
        <v>3258</v>
      </c>
      <c r="L82" s="7" t="s">
        <v>3259</v>
      </c>
      <c r="M82" s="415" t="s">
        <v>3260</v>
      </c>
      <c r="N82" s="54">
        <v>46059</v>
      </c>
      <c r="O82" s="411" t="s">
        <v>384</v>
      </c>
      <c r="P82" s="7" t="s">
        <v>242</v>
      </c>
      <c r="Q82" s="329">
        <v>0</v>
      </c>
      <c r="S82" s="282">
        <v>20.54</v>
      </c>
      <c r="T82" s="282">
        <v>0</v>
      </c>
      <c r="U82" s="260">
        <v>46031</v>
      </c>
      <c r="V82" s="331">
        <v>46043</v>
      </c>
      <c r="W82" s="329">
        <v>20.54</v>
      </c>
      <c r="X82" s="332" t="s">
        <v>23</v>
      </c>
      <c r="Y82" s="344"/>
      <c r="Z82" s="334"/>
      <c r="AA82" s="332"/>
      <c r="AB82" s="334">
        <f t="shared" si="10"/>
        <v>0</v>
      </c>
      <c r="AC82" s="250" t="s">
        <v>213</v>
      </c>
      <c r="AD82" s="282">
        <v>20.54</v>
      </c>
      <c r="AE82" s="282">
        <v>0</v>
      </c>
      <c r="AF82" s="260">
        <v>46062</v>
      </c>
      <c r="AG82" s="251">
        <v>46065</v>
      </c>
      <c r="AH82" s="335">
        <v>20.54</v>
      </c>
      <c r="AI82" s="336" t="s">
        <v>23</v>
      </c>
      <c r="AJ82" s="345"/>
      <c r="AK82" s="338"/>
      <c r="AL82" s="339"/>
      <c r="AM82" s="338">
        <f t="shared" si="0"/>
        <v>0</v>
      </c>
      <c r="AN82" s="340" t="s">
        <v>213</v>
      </c>
      <c r="AO82" s="282">
        <v>20.54</v>
      </c>
      <c r="AP82" s="282">
        <v>0</v>
      </c>
      <c r="AQ82" s="260">
        <v>46090</v>
      </c>
      <c r="AR82" s="340" t="s">
        <v>360</v>
      </c>
      <c r="AS82" s="335">
        <v>20.54</v>
      </c>
      <c r="AT82" s="337" t="s">
        <v>23</v>
      </c>
      <c r="AU82" s="337"/>
      <c r="AV82" s="335"/>
      <c r="AW82" s="337"/>
      <c r="AX82" s="335">
        <f t="shared" si="1"/>
        <v>0</v>
      </c>
      <c r="AY82" s="340" t="s">
        <v>213</v>
      </c>
      <c r="AZ82" s="282">
        <v>20.54</v>
      </c>
      <c r="BA82" s="282">
        <v>0</v>
      </c>
      <c r="BB82" s="260">
        <v>46121</v>
      </c>
      <c r="BC82" s="340" t="s">
        <v>984</v>
      </c>
      <c r="BD82" s="335">
        <v>20.54</v>
      </c>
      <c r="BE82" s="337" t="s">
        <v>23</v>
      </c>
      <c r="BF82" s="337"/>
      <c r="BG82" s="335"/>
      <c r="BH82" s="337"/>
      <c r="BI82" s="335">
        <f t="shared" si="2"/>
        <v>0</v>
      </c>
      <c r="BJ82" s="340"/>
      <c r="BK82" s="282">
        <v>20.54</v>
      </c>
      <c r="BL82" s="282">
        <v>0</v>
      </c>
      <c r="BM82" s="260">
        <v>46151</v>
      </c>
      <c r="BN82" s="340"/>
      <c r="BO82" s="335"/>
      <c r="BP82" s="337"/>
      <c r="BQ82" s="337"/>
      <c r="BR82" s="335"/>
      <c r="BS82" s="337"/>
      <c r="BT82" s="335">
        <f t="shared" si="3"/>
        <v>20.54</v>
      </c>
      <c r="BU82" s="340"/>
    </row>
    <row r="83" ht="13.2" spans="1:73">
      <c r="A83" s="418" t="s">
        <v>1109</v>
      </c>
      <c r="B83" s="419" t="s">
        <v>3261</v>
      </c>
      <c r="C83" s="420" t="s">
        <v>3262</v>
      </c>
      <c r="D83" s="250" t="s">
        <v>201</v>
      </c>
      <c r="E83" s="421" t="s">
        <v>226</v>
      </c>
      <c r="F83" s="422">
        <v>24</v>
      </c>
      <c r="G83" s="423" t="s">
        <v>3263</v>
      </c>
      <c r="H83" s="420" t="s">
        <v>2615</v>
      </c>
      <c r="I83" s="420" t="s">
        <v>206</v>
      </c>
      <c r="J83" s="420" t="s">
        <v>3264</v>
      </c>
      <c r="K83" s="420" t="s">
        <v>3265</v>
      </c>
      <c r="L83" s="423" t="s">
        <v>3266</v>
      </c>
      <c r="M83" s="424" t="s">
        <v>3267</v>
      </c>
      <c r="N83" s="425">
        <v>45506</v>
      </c>
      <c r="O83" s="327" t="s">
        <v>210</v>
      </c>
      <c r="P83" s="420" t="s">
        <v>242</v>
      </c>
      <c r="Q83" s="329">
        <v>0</v>
      </c>
      <c r="S83" s="282">
        <v>23</v>
      </c>
      <c r="U83" s="260">
        <v>46031</v>
      </c>
      <c r="V83" s="331">
        <v>46034</v>
      </c>
      <c r="W83" s="329">
        <v>23</v>
      </c>
      <c r="X83" s="332" t="s">
        <v>23</v>
      </c>
      <c r="Y83" s="333">
        <v>119427</v>
      </c>
      <c r="Z83" s="334"/>
      <c r="AA83" s="332"/>
      <c r="AB83" s="334">
        <f t="shared" si="10"/>
        <v>0</v>
      </c>
      <c r="AC83" s="250" t="s">
        <v>3268</v>
      </c>
      <c r="AD83" s="282">
        <v>23</v>
      </c>
      <c r="AF83" s="260">
        <v>46062</v>
      </c>
      <c r="AG83" s="251">
        <v>46081</v>
      </c>
      <c r="AH83" s="335">
        <v>23</v>
      </c>
      <c r="AI83" s="336" t="s">
        <v>23</v>
      </c>
      <c r="AJ83" s="337" t="s">
        <v>3269</v>
      </c>
      <c r="AK83" s="335"/>
      <c r="AL83" s="336"/>
      <c r="AM83" s="335">
        <f t="shared" si="0"/>
        <v>0</v>
      </c>
      <c r="AN83" s="340" t="s">
        <v>3270</v>
      </c>
      <c r="AO83" s="282">
        <v>23</v>
      </c>
      <c r="AQ83" s="260">
        <v>46090</v>
      </c>
      <c r="AR83" s="340" t="s">
        <v>214</v>
      </c>
      <c r="AS83" s="335">
        <v>23</v>
      </c>
      <c r="AT83" s="337" t="s">
        <v>23</v>
      </c>
      <c r="AU83" s="337"/>
      <c r="AV83" s="335"/>
      <c r="AW83" s="337"/>
      <c r="AX83" s="335">
        <f t="shared" si="1"/>
        <v>0</v>
      </c>
      <c r="AY83" s="340" t="s">
        <v>3271</v>
      </c>
      <c r="AZ83" s="282">
        <v>23</v>
      </c>
      <c r="BB83" s="260">
        <v>46121</v>
      </c>
      <c r="BC83" s="340" t="s">
        <v>892</v>
      </c>
      <c r="BD83" s="335">
        <v>23</v>
      </c>
      <c r="BE83" s="337" t="s">
        <v>23</v>
      </c>
      <c r="BF83" s="337"/>
      <c r="BG83" s="335"/>
      <c r="BH83" s="337"/>
      <c r="BI83" s="335">
        <f t="shared" si="2"/>
        <v>0</v>
      </c>
      <c r="BJ83" s="340" t="s">
        <v>3272</v>
      </c>
      <c r="BK83" s="282">
        <v>23</v>
      </c>
      <c r="BM83" s="260">
        <v>46151</v>
      </c>
      <c r="BN83" s="340"/>
      <c r="BO83" s="335"/>
      <c r="BP83" s="337"/>
      <c r="BQ83" s="337"/>
      <c r="BR83" s="335"/>
      <c r="BS83" s="337"/>
      <c r="BT83" s="335">
        <f t="shared" si="3"/>
        <v>23</v>
      </c>
      <c r="BU83" s="340"/>
    </row>
    <row r="84" ht="13.2" spans="1:73">
      <c r="A84" s="426" t="s">
        <v>1117</v>
      </c>
      <c r="B84" s="427" t="s">
        <v>3273</v>
      </c>
      <c r="C84" s="7" t="s">
        <v>3274</v>
      </c>
      <c r="D84" s="250" t="s">
        <v>201</v>
      </c>
      <c r="E84" s="352" t="s">
        <v>202</v>
      </c>
      <c r="F84" s="275">
        <v>24</v>
      </c>
      <c r="G84" s="222" t="s">
        <v>3275</v>
      </c>
      <c r="H84" s="7" t="s">
        <v>2615</v>
      </c>
      <c r="I84" s="7" t="s">
        <v>220</v>
      </c>
      <c r="J84" s="7" t="s">
        <v>3276</v>
      </c>
      <c r="K84" s="7" t="s">
        <v>3277</v>
      </c>
      <c r="L84" s="222" t="s">
        <v>3278</v>
      </c>
      <c r="M84" s="298" t="s">
        <v>3279</v>
      </c>
      <c r="N84" s="54">
        <v>45509</v>
      </c>
      <c r="O84" s="327" t="s">
        <v>384</v>
      </c>
      <c r="P84" s="7" t="s">
        <v>242</v>
      </c>
      <c r="Q84" s="329">
        <v>0.02</v>
      </c>
      <c r="S84" s="282">
        <v>20.54</v>
      </c>
      <c r="U84" s="260">
        <v>46038</v>
      </c>
      <c r="V84" s="350" t="s">
        <v>2673</v>
      </c>
      <c r="W84" s="329">
        <v>20.54</v>
      </c>
      <c r="X84" s="332" t="s">
        <v>23</v>
      </c>
      <c r="Y84" s="344"/>
      <c r="Z84" s="334"/>
      <c r="AA84" s="332"/>
      <c r="AB84" s="334">
        <f t="shared" si="10"/>
        <v>0</v>
      </c>
      <c r="AC84" s="250" t="s">
        <v>3280</v>
      </c>
      <c r="AD84" s="282">
        <v>20.54</v>
      </c>
      <c r="AF84" s="260">
        <v>46069</v>
      </c>
      <c r="AG84" s="251">
        <v>46071</v>
      </c>
      <c r="AH84" s="335">
        <v>20.54</v>
      </c>
      <c r="AI84" s="336" t="s">
        <v>23</v>
      </c>
      <c r="AJ84" s="337"/>
      <c r="AK84" s="335"/>
      <c r="AL84" s="336"/>
      <c r="AM84" s="335">
        <f t="shared" si="0"/>
        <v>0</v>
      </c>
      <c r="AN84" s="340" t="s">
        <v>3281</v>
      </c>
      <c r="AO84" s="282">
        <v>20.54</v>
      </c>
      <c r="AQ84" s="260">
        <v>46097</v>
      </c>
      <c r="AR84" s="340" t="s">
        <v>360</v>
      </c>
      <c r="AS84" s="335">
        <v>20.54</v>
      </c>
      <c r="AT84" s="337" t="s">
        <v>23</v>
      </c>
      <c r="AU84" s="337"/>
      <c r="AV84" s="335"/>
      <c r="AW84" s="337"/>
      <c r="AX84" s="335">
        <f t="shared" si="1"/>
        <v>0</v>
      </c>
      <c r="AY84" s="340" t="s">
        <v>3282</v>
      </c>
      <c r="AZ84" s="282">
        <v>20.54</v>
      </c>
      <c r="BB84" s="260">
        <v>46128</v>
      </c>
      <c r="BC84" s="340" t="s">
        <v>215</v>
      </c>
      <c r="BD84" s="335">
        <v>20.54</v>
      </c>
      <c r="BE84" s="337" t="s">
        <v>23</v>
      </c>
      <c r="BF84" s="337"/>
      <c r="BG84" s="335"/>
      <c r="BH84" s="337"/>
      <c r="BI84" s="335">
        <f t="shared" si="2"/>
        <v>0</v>
      </c>
      <c r="BJ84" s="340" t="s">
        <v>3283</v>
      </c>
      <c r="BK84" s="282">
        <v>20.54</v>
      </c>
      <c r="BM84" s="260">
        <v>46158</v>
      </c>
      <c r="BN84" s="340"/>
      <c r="BO84" s="335"/>
      <c r="BP84" s="337"/>
      <c r="BQ84" s="337"/>
      <c r="BR84" s="335"/>
      <c r="BS84" s="337"/>
      <c r="BT84" s="335">
        <f t="shared" si="3"/>
        <v>20.54</v>
      </c>
      <c r="BU84" s="340"/>
    </row>
    <row r="85" ht="13.2" spans="1:73">
      <c r="A85" s="346" t="s">
        <v>1128</v>
      </c>
      <c r="B85" s="427" t="s">
        <v>3284</v>
      </c>
      <c r="C85" s="7" t="s">
        <v>3285</v>
      </c>
      <c r="D85" s="250" t="s">
        <v>201</v>
      </c>
      <c r="E85" s="352" t="s">
        <v>202</v>
      </c>
      <c r="F85" s="275" t="s">
        <v>3238</v>
      </c>
      <c r="G85" s="352" t="s">
        <v>3286</v>
      </c>
      <c r="H85" s="7" t="s">
        <v>2615</v>
      </c>
      <c r="I85" s="7" t="s">
        <v>220</v>
      </c>
      <c r="J85" s="7" t="s">
        <v>3176</v>
      </c>
      <c r="K85" s="7" t="s">
        <v>3287</v>
      </c>
      <c r="L85" s="222" t="s">
        <v>3288</v>
      </c>
      <c r="M85" s="414" t="s">
        <v>3289</v>
      </c>
      <c r="N85" s="54">
        <v>45517</v>
      </c>
      <c r="O85" s="327" t="s">
        <v>384</v>
      </c>
      <c r="P85" s="7" t="s">
        <v>242</v>
      </c>
      <c r="Q85" s="329">
        <v>0</v>
      </c>
      <c r="S85" s="282">
        <v>20.54</v>
      </c>
      <c r="T85" s="282">
        <v>0</v>
      </c>
      <c r="U85" s="260">
        <v>46031</v>
      </c>
      <c r="V85" s="331">
        <v>46038</v>
      </c>
      <c r="W85" s="329">
        <v>20.54</v>
      </c>
      <c r="X85" s="332" t="s">
        <v>23</v>
      </c>
      <c r="Y85" s="333">
        <v>120486</v>
      </c>
      <c r="Z85" s="334"/>
      <c r="AA85" s="332"/>
      <c r="AB85" s="334">
        <f t="shared" si="10"/>
        <v>0</v>
      </c>
      <c r="AC85" s="250" t="s">
        <v>3290</v>
      </c>
      <c r="AD85" s="282">
        <v>20.54</v>
      </c>
      <c r="AE85" s="282">
        <v>0</v>
      </c>
      <c r="AF85" s="260">
        <v>46062</v>
      </c>
      <c r="AG85" s="251">
        <v>46072</v>
      </c>
      <c r="AH85" s="335">
        <v>20.54</v>
      </c>
      <c r="AI85" s="336" t="s">
        <v>23</v>
      </c>
      <c r="AJ85" s="337" t="s">
        <v>3291</v>
      </c>
      <c r="AK85" s="335"/>
      <c r="AL85" s="336"/>
      <c r="AM85" s="335">
        <f t="shared" si="0"/>
        <v>0</v>
      </c>
      <c r="AN85" s="340" t="s">
        <v>3292</v>
      </c>
      <c r="AO85" s="282">
        <v>20.54</v>
      </c>
      <c r="AP85" s="282">
        <v>0</v>
      </c>
      <c r="AQ85" s="260">
        <v>46090</v>
      </c>
      <c r="AR85" s="340" t="s">
        <v>769</v>
      </c>
      <c r="AS85" s="335">
        <v>20.54</v>
      </c>
      <c r="AT85" s="337" t="s">
        <v>23</v>
      </c>
      <c r="AU85" s="337"/>
      <c r="AV85" s="335"/>
      <c r="AW85" s="337"/>
      <c r="AX85" s="335">
        <f t="shared" si="1"/>
        <v>0</v>
      </c>
      <c r="AY85" s="340" t="s">
        <v>3293</v>
      </c>
      <c r="AZ85" s="282">
        <v>20.54</v>
      </c>
      <c r="BA85" s="282">
        <v>0</v>
      </c>
      <c r="BB85" s="260">
        <v>46121</v>
      </c>
      <c r="BC85" s="340" t="s">
        <v>215</v>
      </c>
      <c r="BD85" s="335">
        <v>20.54</v>
      </c>
      <c r="BE85" s="337" t="s">
        <v>23</v>
      </c>
      <c r="BF85" s="337"/>
      <c r="BG85" s="335"/>
      <c r="BH85" s="337"/>
      <c r="BI85" s="335">
        <f t="shared" si="2"/>
        <v>0</v>
      </c>
      <c r="BJ85" s="340" t="s">
        <v>3294</v>
      </c>
      <c r="BK85" s="282">
        <v>20.54</v>
      </c>
      <c r="BL85" s="282">
        <v>0</v>
      </c>
      <c r="BM85" s="260">
        <v>46151</v>
      </c>
      <c r="BN85" s="340"/>
      <c r="BO85" s="335"/>
      <c r="BP85" s="337"/>
      <c r="BQ85" s="337"/>
      <c r="BR85" s="335"/>
      <c r="BS85" s="337"/>
      <c r="BT85" s="335">
        <f t="shared" si="3"/>
        <v>20.54</v>
      </c>
      <c r="BU85" s="340"/>
    </row>
    <row r="86" ht="13.2" spans="1:73">
      <c r="A86" s="346" t="s">
        <v>1132</v>
      </c>
      <c r="B86" s="427" t="s">
        <v>3295</v>
      </c>
      <c r="C86" s="7" t="s">
        <v>3296</v>
      </c>
      <c r="D86" s="250" t="s">
        <v>201</v>
      </c>
      <c r="E86" s="352" t="s">
        <v>202</v>
      </c>
      <c r="F86" s="275" t="s">
        <v>3238</v>
      </c>
      <c r="G86" s="222" t="s">
        <v>3297</v>
      </c>
      <c r="H86" s="7" t="s">
        <v>2615</v>
      </c>
      <c r="I86" s="7" t="s">
        <v>220</v>
      </c>
      <c r="J86" s="7" t="s">
        <v>2735</v>
      </c>
      <c r="K86" s="7" t="s">
        <v>3298</v>
      </c>
      <c r="L86" s="7" t="s">
        <v>3299</v>
      </c>
      <c r="M86" s="415" t="s">
        <v>3300</v>
      </c>
      <c r="N86" s="54">
        <v>45533</v>
      </c>
      <c r="O86" s="327" t="s">
        <v>210</v>
      </c>
      <c r="P86" s="60">
        <v>25</v>
      </c>
      <c r="Q86" s="329">
        <v>0</v>
      </c>
      <c r="S86" s="282">
        <v>23</v>
      </c>
      <c r="T86" s="282">
        <v>0</v>
      </c>
      <c r="U86" s="260">
        <v>46031</v>
      </c>
      <c r="V86" s="331">
        <v>45680</v>
      </c>
      <c r="W86" s="329">
        <v>23</v>
      </c>
      <c r="X86" s="332" t="s">
        <v>23</v>
      </c>
      <c r="Y86" s="344"/>
      <c r="Z86" s="334"/>
      <c r="AA86" s="332"/>
      <c r="AB86" s="334">
        <f t="shared" si="10"/>
        <v>0</v>
      </c>
      <c r="AC86" s="250" t="s">
        <v>3301</v>
      </c>
      <c r="AD86" s="282">
        <v>23</v>
      </c>
      <c r="AE86" s="282">
        <v>0</v>
      </c>
      <c r="AF86" s="260">
        <v>46062</v>
      </c>
      <c r="AG86" s="251">
        <v>46076</v>
      </c>
      <c r="AH86" s="335">
        <v>23</v>
      </c>
      <c r="AI86" s="336" t="s">
        <v>23</v>
      </c>
      <c r="AJ86" s="337"/>
      <c r="AK86" s="335"/>
      <c r="AL86" s="336"/>
      <c r="AM86" s="335">
        <f t="shared" si="0"/>
        <v>0</v>
      </c>
      <c r="AN86" s="340" t="s">
        <v>3302</v>
      </c>
      <c r="AO86" s="282">
        <v>23</v>
      </c>
      <c r="AP86" s="282">
        <v>0</v>
      </c>
      <c r="AQ86" s="260">
        <v>46090</v>
      </c>
      <c r="AR86" s="340" t="s">
        <v>1724</v>
      </c>
      <c r="AS86" s="335">
        <v>23</v>
      </c>
      <c r="AT86" s="337" t="s">
        <v>23</v>
      </c>
      <c r="AU86" s="337"/>
      <c r="AV86" s="335"/>
      <c r="AW86" s="337"/>
      <c r="AX86" s="335">
        <f t="shared" si="1"/>
        <v>0</v>
      </c>
      <c r="AY86" s="340" t="s">
        <v>3303</v>
      </c>
      <c r="AZ86" s="282">
        <v>23</v>
      </c>
      <c r="BA86" s="282">
        <v>0</v>
      </c>
      <c r="BB86" s="260">
        <v>46121</v>
      </c>
      <c r="BC86" s="340" t="s">
        <v>626</v>
      </c>
      <c r="BD86" s="335">
        <v>23</v>
      </c>
      <c r="BE86" s="337" t="s">
        <v>23</v>
      </c>
      <c r="BF86" s="337" t="s">
        <v>3304</v>
      </c>
      <c r="BG86" s="335"/>
      <c r="BH86" s="337"/>
      <c r="BI86" s="335">
        <f t="shared" si="2"/>
        <v>0</v>
      </c>
      <c r="BJ86" s="340" t="s">
        <v>3305</v>
      </c>
      <c r="BK86" s="282">
        <v>23</v>
      </c>
      <c r="BL86" s="282">
        <v>2</v>
      </c>
      <c r="BM86" s="260">
        <v>46151</v>
      </c>
      <c r="BN86" s="340"/>
      <c r="BO86" s="335"/>
      <c r="BP86" s="337"/>
      <c r="BQ86" s="337"/>
      <c r="BR86" s="335"/>
      <c r="BS86" s="337"/>
      <c r="BT86" s="335">
        <f t="shared" si="3"/>
        <v>25</v>
      </c>
      <c r="BU86" s="340"/>
    </row>
    <row r="87" ht="13.95" spans="1:73">
      <c r="A87" s="428" t="s">
        <v>1136</v>
      </c>
      <c r="B87" s="429" t="s">
        <v>458</v>
      </c>
      <c r="C87" s="430" t="s">
        <v>3306</v>
      </c>
      <c r="D87" s="250" t="s">
        <v>251</v>
      </c>
      <c r="E87" s="431" t="s">
        <v>202</v>
      </c>
      <c r="F87" s="432">
        <v>24</v>
      </c>
      <c r="G87" s="433" t="s">
        <v>460</v>
      </c>
      <c r="H87" s="430" t="s">
        <v>2615</v>
      </c>
      <c r="I87" s="430" t="s">
        <v>220</v>
      </c>
      <c r="J87" s="430" t="s">
        <v>3307</v>
      </c>
      <c r="K87" s="430" t="s">
        <v>462</v>
      </c>
      <c r="L87" s="433" t="s">
        <v>3308</v>
      </c>
      <c r="M87" s="430" t="s">
        <v>3309</v>
      </c>
      <c r="N87" s="434">
        <v>45534</v>
      </c>
      <c r="O87" s="411" t="s">
        <v>3310</v>
      </c>
      <c r="P87" s="430" t="s">
        <v>242</v>
      </c>
      <c r="Q87" s="329">
        <v>0</v>
      </c>
      <c r="U87" s="435"/>
      <c r="V87" s="350"/>
      <c r="W87" s="334"/>
      <c r="X87" s="332"/>
      <c r="Y87" s="344"/>
      <c r="Z87" s="334"/>
      <c r="AA87" s="332"/>
      <c r="AB87" s="334">
        <f t="shared" si="10"/>
        <v>0</v>
      </c>
      <c r="AC87" s="250" t="s">
        <v>213</v>
      </c>
      <c r="AF87" s="435"/>
      <c r="AH87" s="338"/>
      <c r="AI87" s="339"/>
      <c r="AJ87" s="345"/>
      <c r="AK87" s="338"/>
      <c r="AL87" s="339"/>
      <c r="AM87" s="338">
        <f t="shared" si="0"/>
        <v>0</v>
      </c>
      <c r="AN87" s="340" t="s">
        <v>213</v>
      </c>
      <c r="AQ87" s="435"/>
      <c r="AR87" s="340"/>
      <c r="AS87" s="335"/>
      <c r="AT87" s="337"/>
      <c r="AU87" s="337"/>
      <c r="AV87" s="335"/>
      <c r="AW87" s="337"/>
      <c r="AX87" s="335">
        <f t="shared" si="1"/>
        <v>0</v>
      </c>
      <c r="AY87" s="340" t="s">
        <v>213</v>
      </c>
      <c r="BB87" s="435"/>
      <c r="BC87" s="340"/>
      <c r="BD87" s="335"/>
      <c r="BE87" s="337"/>
      <c r="BF87" s="337"/>
      <c r="BG87" s="335"/>
      <c r="BH87" s="337"/>
      <c r="BI87" s="335">
        <f t="shared" si="2"/>
        <v>0</v>
      </c>
      <c r="BJ87" s="340"/>
      <c r="BM87" s="435"/>
      <c r="BN87" s="340"/>
      <c r="BO87" s="335"/>
      <c r="BP87" s="337"/>
      <c r="BQ87" s="337"/>
      <c r="BR87" s="335"/>
      <c r="BS87" s="337"/>
      <c r="BT87" s="335">
        <f t="shared" si="3"/>
        <v>0</v>
      </c>
      <c r="BU87" s="340"/>
    </row>
    <row r="88" ht="13.95" spans="1:73">
      <c r="A88" s="346" t="s">
        <v>1141</v>
      </c>
      <c r="B88" s="298" t="s">
        <v>3311</v>
      </c>
      <c r="C88" s="7" t="s">
        <v>3312</v>
      </c>
      <c r="D88" s="250" t="s">
        <v>251</v>
      </c>
      <c r="E88" s="352" t="s">
        <v>202</v>
      </c>
      <c r="F88" s="275" t="s">
        <v>3238</v>
      </c>
      <c r="G88" s="222" t="s">
        <v>3313</v>
      </c>
      <c r="H88" s="7" t="s">
        <v>2615</v>
      </c>
      <c r="I88" s="7"/>
      <c r="J88" s="7" t="s">
        <v>3307</v>
      </c>
      <c r="K88" s="7" t="s">
        <v>3314</v>
      </c>
      <c r="L88" s="222" t="s">
        <v>3315</v>
      </c>
      <c r="M88" s="7"/>
      <c r="N88" s="54">
        <v>45544</v>
      </c>
      <c r="O88" s="327" t="s">
        <v>232</v>
      </c>
      <c r="P88" s="7" t="s">
        <v>242</v>
      </c>
      <c r="Q88" s="329">
        <v>0</v>
      </c>
      <c r="U88" s="261"/>
      <c r="V88" s="350"/>
      <c r="W88" s="334"/>
      <c r="X88" s="332"/>
      <c r="Y88" s="344"/>
      <c r="Z88" s="334"/>
      <c r="AA88" s="332"/>
      <c r="AB88" s="334">
        <f t="shared" si="10"/>
        <v>0</v>
      </c>
      <c r="AC88" s="250" t="s">
        <v>213</v>
      </c>
      <c r="AF88" s="261"/>
      <c r="AH88" s="338"/>
      <c r="AI88" s="339"/>
      <c r="AJ88" s="345"/>
      <c r="AK88" s="338"/>
      <c r="AL88" s="339"/>
      <c r="AM88" s="338">
        <f t="shared" si="0"/>
        <v>0</v>
      </c>
      <c r="AN88" s="340" t="s">
        <v>213</v>
      </c>
      <c r="AQ88" s="261"/>
      <c r="AR88" s="340"/>
      <c r="AS88" s="335"/>
      <c r="AT88" s="337"/>
      <c r="AU88" s="337"/>
      <c r="AV88" s="335"/>
      <c r="AW88" s="337"/>
      <c r="AX88" s="335">
        <f t="shared" si="1"/>
        <v>0</v>
      </c>
      <c r="AY88" s="340" t="s">
        <v>213</v>
      </c>
      <c r="BB88" s="261"/>
      <c r="BC88" s="340"/>
      <c r="BD88" s="335"/>
      <c r="BE88" s="337"/>
      <c r="BF88" s="337"/>
      <c r="BG88" s="335"/>
      <c r="BH88" s="337"/>
      <c r="BI88" s="335">
        <f t="shared" si="2"/>
        <v>0</v>
      </c>
      <c r="BJ88" s="340"/>
      <c r="BM88" s="261"/>
      <c r="BN88" s="340"/>
      <c r="BO88" s="335"/>
      <c r="BP88" s="337"/>
      <c r="BQ88" s="337"/>
      <c r="BR88" s="335"/>
      <c r="BS88" s="337"/>
      <c r="BT88" s="335">
        <f t="shared" si="3"/>
        <v>0</v>
      </c>
      <c r="BU88" s="340"/>
    </row>
    <row r="89" ht="13.2" spans="1:73">
      <c r="A89" s="346" t="s">
        <v>1149</v>
      </c>
      <c r="B89" s="298" t="s">
        <v>3316</v>
      </c>
      <c r="C89" s="7" t="s">
        <v>3317</v>
      </c>
      <c r="D89" s="250" t="s">
        <v>251</v>
      </c>
      <c r="E89" s="275" t="s">
        <v>226</v>
      </c>
      <c r="F89" s="275" t="s">
        <v>3238</v>
      </c>
      <c r="G89" s="7"/>
      <c r="H89" s="7" t="s">
        <v>2615</v>
      </c>
      <c r="I89" s="7"/>
      <c r="J89" s="7"/>
      <c r="K89" s="7"/>
      <c r="L89" s="60">
        <v>998135858</v>
      </c>
      <c r="M89" s="298" t="s">
        <v>3318</v>
      </c>
      <c r="N89" s="54">
        <v>45549</v>
      </c>
      <c r="O89" s="327"/>
      <c r="P89" s="60">
        <v>45</v>
      </c>
      <c r="Q89" s="329">
        <v>90.54</v>
      </c>
      <c r="S89" s="282">
        <v>10</v>
      </c>
      <c r="U89" s="260">
        <v>46031</v>
      </c>
      <c r="V89" s="350"/>
      <c r="W89" s="334"/>
      <c r="X89" s="332"/>
      <c r="Y89" s="344"/>
      <c r="Z89" s="334"/>
      <c r="AA89" s="332"/>
      <c r="AB89" s="329">
        <v>0</v>
      </c>
      <c r="AC89" s="250" t="s">
        <v>213</v>
      </c>
      <c r="AD89" s="282"/>
      <c r="AF89" s="260">
        <v>46062</v>
      </c>
      <c r="AH89" s="338"/>
      <c r="AI89" s="339"/>
      <c r="AJ89" s="345"/>
      <c r="AK89" s="338"/>
      <c r="AL89" s="339"/>
      <c r="AM89" s="338">
        <f t="shared" si="0"/>
        <v>0</v>
      </c>
      <c r="AN89" s="340" t="s">
        <v>213</v>
      </c>
      <c r="AO89" s="282"/>
      <c r="AQ89" s="260">
        <v>46090</v>
      </c>
      <c r="AR89" s="340"/>
      <c r="AS89" s="335"/>
      <c r="AT89" s="337"/>
      <c r="AU89" s="337"/>
      <c r="AV89" s="335"/>
      <c r="AW89" s="337"/>
      <c r="AX89" s="335">
        <f t="shared" si="1"/>
        <v>0</v>
      </c>
      <c r="AY89" s="340" t="s">
        <v>213</v>
      </c>
      <c r="AZ89" s="282"/>
      <c r="BB89" s="260">
        <v>46121</v>
      </c>
      <c r="BC89" s="340"/>
      <c r="BD89" s="335"/>
      <c r="BE89" s="337"/>
      <c r="BF89" s="337"/>
      <c r="BG89" s="335"/>
      <c r="BH89" s="337"/>
      <c r="BI89" s="335">
        <f t="shared" si="2"/>
        <v>0</v>
      </c>
      <c r="BJ89" s="340"/>
      <c r="BK89" s="282"/>
      <c r="BM89" s="260">
        <v>46151</v>
      </c>
      <c r="BN89" s="340"/>
      <c r="BO89" s="335"/>
      <c r="BP89" s="337"/>
      <c r="BQ89" s="337"/>
      <c r="BR89" s="335"/>
      <c r="BS89" s="337"/>
      <c r="BT89" s="335">
        <f t="shared" si="3"/>
        <v>0</v>
      </c>
      <c r="BU89" s="340"/>
    </row>
    <row r="90" ht="13.2" spans="1:73">
      <c r="A90" s="346" t="s">
        <v>1161</v>
      </c>
      <c r="B90" s="436" t="s">
        <v>3319</v>
      </c>
      <c r="C90" s="7" t="s">
        <v>3320</v>
      </c>
      <c r="D90" s="250" t="s">
        <v>251</v>
      </c>
      <c r="E90" s="352" t="s">
        <v>202</v>
      </c>
      <c r="F90" s="275">
        <v>24</v>
      </c>
      <c r="G90" s="222" t="s">
        <v>3321</v>
      </c>
      <c r="H90" s="7" t="s">
        <v>2615</v>
      </c>
      <c r="I90" s="7" t="s">
        <v>220</v>
      </c>
      <c r="J90" s="7" t="s">
        <v>3217</v>
      </c>
      <c r="K90" s="7" t="s">
        <v>3322</v>
      </c>
      <c r="L90" s="222" t="s">
        <v>3323</v>
      </c>
      <c r="M90" s="298" t="s">
        <v>3324</v>
      </c>
      <c r="N90" s="54">
        <v>45549</v>
      </c>
      <c r="O90" s="327" t="s">
        <v>384</v>
      </c>
      <c r="P90" s="7" t="s">
        <v>242</v>
      </c>
      <c r="Q90" s="329">
        <v>0</v>
      </c>
      <c r="S90" s="282">
        <v>20.54</v>
      </c>
      <c r="U90" s="260">
        <v>46031</v>
      </c>
      <c r="V90" s="350"/>
      <c r="W90" s="334"/>
      <c r="X90" s="332"/>
      <c r="Y90" s="344"/>
      <c r="Z90" s="334"/>
      <c r="AA90" s="332"/>
      <c r="AB90" s="334">
        <f t="shared" ref="AB90:AB95" si="11">S90+T90-W90-Z90</f>
        <v>20.54</v>
      </c>
      <c r="AC90" s="250" t="s">
        <v>213</v>
      </c>
      <c r="AD90" s="282">
        <v>10</v>
      </c>
      <c r="AF90" s="260">
        <v>46062</v>
      </c>
      <c r="AH90" s="338"/>
      <c r="AI90" s="339"/>
      <c r="AJ90" s="345"/>
      <c r="AK90" s="338"/>
      <c r="AL90" s="339"/>
      <c r="AM90" s="338">
        <f t="shared" si="0"/>
        <v>30.54</v>
      </c>
      <c r="AN90" s="340" t="s">
        <v>213</v>
      </c>
      <c r="AO90" s="282">
        <v>10</v>
      </c>
      <c r="AQ90" s="260">
        <v>46090</v>
      </c>
      <c r="AR90" s="340" t="s">
        <v>1379</v>
      </c>
      <c r="AS90" s="335">
        <v>40.54</v>
      </c>
      <c r="AT90" s="337" t="s">
        <v>23</v>
      </c>
      <c r="AU90" s="337"/>
      <c r="AV90" s="335"/>
      <c r="AW90" s="337"/>
      <c r="AX90" s="335">
        <f t="shared" si="1"/>
        <v>0</v>
      </c>
      <c r="AY90" s="340" t="s">
        <v>213</v>
      </c>
      <c r="AZ90" s="282"/>
      <c r="BB90" s="260">
        <v>46121</v>
      </c>
      <c r="BC90" s="340"/>
      <c r="BD90" s="335"/>
      <c r="BE90" s="337"/>
      <c r="BF90" s="337"/>
      <c r="BG90" s="335"/>
      <c r="BH90" s="337"/>
      <c r="BI90" s="335">
        <f t="shared" si="2"/>
        <v>0</v>
      </c>
      <c r="BJ90" s="340"/>
      <c r="BK90" s="282"/>
      <c r="BM90" s="260">
        <v>46151</v>
      </c>
      <c r="BN90" s="340"/>
      <c r="BO90" s="335"/>
      <c r="BP90" s="337"/>
      <c r="BQ90" s="337"/>
      <c r="BR90" s="335"/>
      <c r="BS90" s="337"/>
      <c r="BT90" s="335">
        <f t="shared" si="3"/>
        <v>0</v>
      </c>
      <c r="BU90" s="340"/>
    </row>
    <row r="91" ht="13.2" spans="1:73">
      <c r="A91" s="346">
        <v>117</v>
      </c>
      <c r="B91" s="7" t="s">
        <v>3325</v>
      </c>
      <c r="C91" s="7" t="s">
        <v>3326</v>
      </c>
      <c r="D91" s="250" t="s">
        <v>201</v>
      </c>
      <c r="E91" s="352" t="s">
        <v>226</v>
      </c>
      <c r="F91" s="275">
        <v>24</v>
      </c>
      <c r="G91" s="222" t="s">
        <v>3327</v>
      </c>
      <c r="H91" s="7" t="s">
        <v>2615</v>
      </c>
      <c r="I91" s="7" t="s">
        <v>220</v>
      </c>
      <c r="J91" s="7" t="s">
        <v>3328</v>
      </c>
      <c r="K91" s="7" t="s">
        <v>3329</v>
      </c>
      <c r="L91" s="222" t="s">
        <v>3330</v>
      </c>
      <c r="M91" s="298" t="s">
        <v>3331</v>
      </c>
      <c r="N91" s="54">
        <v>45573</v>
      </c>
      <c r="O91" s="327" t="s">
        <v>210</v>
      </c>
      <c r="P91" s="7" t="s">
        <v>242</v>
      </c>
      <c r="Q91" s="329">
        <v>0</v>
      </c>
      <c r="S91" s="282">
        <v>23</v>
      </c>
      <c r="U91" s="260">
        <v>46031</v>
      </c>
      <c r="V91" s="350" t="s">
        <v>429</v>
      </c>
      <c r="W91" s="329">
        <v>23</v>
      </c>
      <c r="X91" s="332" t="s">
        <v>23</v>
      </c>
      <c r="Y91" s="344"/>
      <c r="Z91" s="334"/>
      <c r="AA91" s="332"/>
      <c r="AB91" s="334">
        <f t="shared" si="11"/>
        <v>0</v>
      </c>
      <c r="AC91" s="250" t="s">
        <v>3332</v>
      </c>
      <c r="AD91" s="282">
        <v>23</v>
      </c>
      <c r="AF91" s="260">
        <v>46062</v>
      </c>
      <c r="AG91" s="251">
        <v>46076</v>
      </c>
      <c r="AH91" s="335">
        <v>23</v>
      </c>
      <c r="AI91" s="336" t="s">
        <v>23</v>
      </c>
      <c r="AJ91" s="337"/>
      <c r="AK91" s="335"/>
      <c r="AL91" s="336"/>
      <c r="AM91" s="335">
        <f t="shared" si="0"/>
        <v>0</v>
      </c>
      <c r="AN91" s="340" t="s">
        <v>3333</v>
      </c>
      <c r="AO91" s="282">
        <f>23+15</f>
        <v>38</v>
      </c>
      <c r="AQ91" s="260">
        <v>46090</v>
      </c>
      <c r="AR91" s="340" t="s">
        <v>386</v>
      </c>
      <c r="AS91" s="335">
        <f>23+15</f>
        <v>38</v>
      </c>
      <c r="AT91" s="337" t="s">
        <v>35</v>
      </c>
      <c r="AU91" s="337"/>
      <c r="AV91" s="335"/>
      <c r="AW91" s="337"/>
      <c r="AX91" s="335">
        <f t="shared" si="1"/>
        <v>0</v>
      </c>
      <c r="AY91" s="340" t="s">
        <v>3334</v>
      </c>
      <c r="AZ91" s="282">
        <v>23</v>
      </c>
      <c r="BB91" s="260">
        <v>46121</v>
      </c>
      <c r="BC91" s="340" t="s">
        <v>3034</v>
      </c>
      <c r="BD91" s="335">
        <v>23</v>
      </c>
      <c r="BE91" s="337" t="s">
        <v>35</v>
      </c>
      <c r="BF91" s="337"/>
      <c r="BG91" s="335"/>
      <c r="BH91" s="337"/>
      <c r="BI91" s="335">
        <f t="shared" si="2"/>
        <v>0</v>
      </c>
      <c r="BJ91" s="340" t="s">
        <v>3335</v>
      </c>
      <c r="BK91" s="282">
        <v>23</v>
      </c>
      <c r="BM91" s="260">
        <v>46151</v>
      </c>
      <c r="BN91" s="340"/>
      <c r="BO91" s="335"/>
      <c r="BP91" s="337"/>
      <c r="BQ91" s="337"/>
      <c r="BR91" s="335"/>
      <c r="BS91" s="337"/>
      <c r="BT91" s="335">
        <f t="shared" si="3"/>
        <v>23</v>
      </c>
      <c r="BU91" s="340"/>
    </row>
    <row r="92" ht="13.2" spans="1:73">
      <c r="A92" s="346" t="s">
        <v>3336</v>
      </c>
      <c r="B92" s="7" t="s">
        <v>3337</v>
      </c>
      <c r="C92" s="7" t="s">
        <v>3338</v>
      </c>
      <c r="D92" s="250" t="s">
        <v>201</v>
      </c>
      <c r="E92" s="352" t="s">
        <v>202</v>
      </c>
      <c r="F92" s="275">
        <v>12</v>
      </c>
      <c r="G92" s="222" t="s">
        <v>3339</v>
      </c>
      <c r="H92" s="7" t="s">
        <v>2615</v>
      </c>
      <c r="I92" s="7" t="s">
        <v>220</v>
      </c>
      <c r="J92" s="7" t="s">
        <v>3340</v>
      </c>
      <c r="K92" s="7" t="s">
        <v>3341</v>
      </c>
      <c r="L92" s="7" t="s">
        <v>3342</v>
      </c>
      <c r="M92" s="414" t="s">
        <v>3343</v>
      </c>
      <c r="N92" s="54">
        <v>45363</v>
      </c>
      <c r="O92" s="327" t="s">
        <v>384</v>
      </c>
      <c r="P92" s="7" t="s">
        <v>242</v>
      </c>
      <c r="Q92" s="329">
        <v>-0.46</v>
      </c>
      <c r="S92" s="282">
        <v>20.54</v>
      </c>
      <c r="T92" s="282">
        <v>0</v>
      </c>
      <c r="U92" s="260">
        <v>46031</v>
      </c>
      <c r="V92" s="350" t="s">
        <v>429</v>
      </c>
      <c r="W92" s="329">
        <v>20.54</v>
      </c>
      <c r="X92" s="332" t="s">
        <v>35</v>
      </c>
      <c r="Y92" s="344"/>
      <c r="Z92" s="334"/>
      <c r="AA92" s="332"/>
      <c r="AB92" s="334">
        <f t="shared" si="11"/>
        <v>0</v>
      </c>
      <c r="AC92" s="250" t="s">
        <v>213</v>
      </c>
      <c r="AD92" s="282">
        <v>20.54</v>
      </c>
      <c r="AE92" s="282">
        <v>0</v>
      </c>
      <c r="AF92" s="260">
        <v>46062</v>
      </c>
      <c r="AG92" s="251">
        <v>46074</v>
      </c>
      <c r="AH92" s="335">
        <v>20.54</v>
      </c>
      <c r="AI92" s="336" t="s">
        <v>35</v>
      </c>
      <c r="AJ92" s="345"/>
      <c r="AK92" s="338"/>
      <c r="AL92" s="339"/>
      <c r="AM92" s="338">
        <f t="shared" si="0"/>
        <v>0</v>
      </c>
      <c r="AN92" s="340" t="s">
        <v>213</v>
      </c>
      <c r="AO92" s="282">
        <v>20.54</v>
      </c>
      <c r="AP92" s="282">
        <v>0</v>
      </c>
      <c r="AQ92" s="260">
        <v>46090</v>
      </c>
      <c r="AR92" s="340" t="s">
        <v>386</v>
      </c>
      <c r="AS92" s="335">
        <v>20.54</v>
      </c>
      <c r="AT92" s="337" t="s">
        <v>35</v>
      </c>
      <c r="AU92" s="337"/>
      <c r="AV92" s="335"/>
      <c r="AW92" s="337"/>
      <c r="AX92" s="335">
        <f t="shared" si="1"/>
        <v>0</v>
      </c>
      <c r="AY92" s="340" t="s">
        <v>213</v>
      </c>
      <c r="AZ92" s="282">
        <v>20.54</v>
      </c>
      <c r="BA92" s="282">
        <v>0</v>
      </c>
      <c r="BB92" s="260">
        <v>46121</v>
      </c>
      <c r="BC92" s="340" t="s">
        <v>468</v>
      </c>
      <c r="BD92" s="335">
        <v>20.54</v>
      </c>
      <c r="BE92" s="337" t="s">
        <v>35</v>
      </c>
      <c r="BF92" s="337"/>
      <c r="BG92" s="335"/>
      <c r="BH92" s="337"/>
      <c r="BI92" s="335">
        <f t="shared" si="2"/>
        <v>0</v>
      </c>
      <c r="BJ92" s="340"/>
      <c r="BK92" s="282">
        <v>20.54</v>
      </c>
      <c r="BL92" s="282">
        <v>0</v>
      </c>
      <c r="BM92" s="260">
        <v>46151</v>
      </c>
      <c r="BN92" s="340"/>
      <c r="BO92" s="335"/>
      <c r="BP92" s="337"/>
      <c r="BQ92" s="337"/>
      <c r="BR92" s="335"/>
      <c r="BS92" s="337"/>
      <c r="BT92" s="335">
        <f t="shared" si="3"/>
        <v>20.54</v>
      </c>
      <c r="BU92" s="340"/>
    </row>
    <row r="93" ht="13.2" spans="1:73">
      <c r="A93" s="346" t="s">
        <v>1183</v>
      </c>
      <c r="B93" s="7" t="s">
        <v>3344</v>
      </c>
      <c r="C93" s="7" t="s">
        <v>3345</v>
      </c>
      <c r="D93" s="250" t="s">
        <v>201</v>
      </c>
      <c r="E93" s="352" t="s">
        <v>202</v>
      </c>
      <c r="F93" s="275">
        <v>12</v>
      </c>
      <c r="G93" s="222" t="s">
        <v>3346</v>
      </c>
      <c r="H93" s="7" t="s">
        <v>2615</v>
      </c>
      <c r="I93" s="7" t="s">
        <v>206</v>
      </c>
      <c r="J93" s="7" t="s">
        <v>3347</v>
      </c>
      <c r="K93" s="7" t="s">
        <v>3348</v>
      </c>
      <c r="L93" s="222" t="s">
        <v>3349</v>
      </c>
      <c r="M93" s="7"/>
      <c r="N93" s="54">
        <v>45579</v>
      </c>
      <c r="O93" s="327" t="s">
        <v>384</v>
      </c>
      <c r="P93" s="7" t="s">
        <v>242</v>
      </c>
      <c r="Q93" s="329">
        <v>-2.68</v>
      </c>
      <c r="S93" s="282">
        <v>0</v>
      </c>
      <c r="U93" s="260">
        <v>46046</v>
      </c>
      <c r="V93" s="350"/>
      <c r="W93" s="334"/>
      <c r="X93" s="332"/>
      <c r="Y93" s="344"/>
      <c r="Z93" s="334"/>
      <c r="AA93" s="332"/>
      <c r="AB93" s="334">
        <f t="shared" si="11"/>
        <v>0</v>
      </c>
      <c r="AC93" s="250" t="s">
        <v>213</v>
      </c>
      <c r="AD93" s="282">
        <v>20.54</v>
      </c>
      <c r="AF93" s="260">
        <v>46077</v>
      </c>
      <c r="AG93" s="251">
        <v>46081</v>
      </c>
      <c r="AH93" s="335">
        <v>20.54</v>
      </c>
      <c r="AI93" s="336" t="s">
        <v>23</v>
      </c>
      <c r="AJ93" s="345"/>
      <c r="AK93" s="338"/>
      <c r="AL93" s="339"/>
      <c r="AM93" s="338">
        <f t="shared" si="0"/>
        <v>0</v>
      </c>
      <c r="AN93" s="340" t="s">
        <v>213</v>
      </c>
      <c r="AO93" s="282">
        <v>20.54</v>
      </c>
      <c r="AQ93" s="260">
        <v>46105</v>
      </c>
      <c r="AR93" s="340" t="s">
        <v>386</v>
      </c>
      <c r="AS93" s="335">
        <v>20.5</v>
      </c>
      <c r="AT93" s="337" t="s">
        <v>23</v>
      </c>
      <c r="AU93" s="337"/>
      <c r="AV93" s="335"/>
      <c r="AW93" s="337"/>
      <c r="AX93" s="335">
        <f t="shared" si="1"/>
        <v>0.0399999999999991</v>
      </c>
      <c r="AY93" s="340" t="s">
        <v>213</v>
      </c>
      <c r="AZ93" s="282">
        <v>20.54</v>
      </c>
      <c r="BB93" s="260">
        <v>46136</v>
      </c>
      <c r="BC93" s="340" t="s">
        <v>905</v>
      </c>
      <c r="BD93" s="335">
        <v>21</v>
      </c>
      <c r="BE93" s="337" t="s">
        <v>35</v>
      </c>
      <c r="BF93" s="337"/>
      <c r="BG93" s="335"/>
      <c r="BH93" s="337"/>
      <c r="BI93" s="335">
        <f t="shared" si="2"/>
        <v>-0.420000000000002</v>
      </c>
      <c r="BJ93" s="340"/>
      <c r="BK93" s="282">
        <v>20.54</v>
      </c>
      <c r="BM93" s="260">
        <v>46166</v>
      </c>
      <c r="BN93" s="340"/>
      <c r="BO93" s="335"/>
      <c r="BP93" s="337"/>
      <c r="BQ93" s="337"/>
      <c r="BR93" s="335"/>
      <c r="BS93" s="337"/>
      <c r="BT93" s="335">
        <f t="shared" si="3"/>
        <v>20.12</v>
      </c>
      <c r="BU93" s="340"/>
    </row>
    <row r="94" ht="13.2" spans="1:73">
      <c r="A94" s="346" t="s">
        <v>1191</v>
      </c>
      <c r="B94" s="7" t="s">
        <v>3350</v>
      </c>
      <c r="C94" s="7" t="s">
        <v>3351</v>
      </c>
      <c r="D94" s="250" t="s">
        <v>201</v>
      </c>
      <c r="E94" s="352" t="s">
        <v>202</v>
      </c>
      <c r="F94" s="275">
        <v>24</v>
      </c>
      <c r="G94" s="222" t="s">
        <v>3352</v>
      </c>
      <c r="H94" s="7" t="s">
        <v>2615</v>
      </c>
      <c r="I94" s="7" t="s">
        <v>206</v>
      </c>
      <c r="J94" s="7" t="s">
        <v>2735</v>
      </c>
      <c r="K94" s="7" t="s">
        <v>3353</v>
      </c>
      <c r="L94" s="7" t="s">
        <v>3354</v>
      </c>
      <c r="M94" s="414" t="s">
        <v>3355</v>
      </c>
      <c r="N94" s="54">
        <v>45582</v>
      </c>
      <c r="O94" s="327" t="s">
        <v>210</v>
      </c>
      <c r="P94" s="7" t="s">
        <v>242</v>
      </c>
      <c r="Q94" s="329">
        <v>0</v>
      </c>
      <c r="S94" s="282">
        <v>23</v>
      </c>
      <c r="T94" s="282">
        <v>0</v>
      </c>
      <c r="U94" s="260">
        <v>46032</v>
      </c>
      <c r="V94" s="331">
        <v>46034</v>
      </c>
      <c r="W94" s="329">
        <v>23</v>
      </c>
      <c r="X94" s="332" t="s">
        <v>23</v>
      </c>
      <c r="Y94" s="344"/>
      <c r="Z94" s="334"/>
      <c r="AA94" s="332"/>
      <c r="AB94" s="334">
        <f t="shared" si="11"/>
        <v>0</v>
      </c>
      <c r="AC94" s="250" t="s">
        <v>3356</v>
      </c>
      <c r="AD94" s="282">
        <v>23</v>
      </c>
      <c r="AE94" s="282">
        <v>0</v>
      </c>
      <c r="AF94" s="260">
        <v>46063</v>
      </c>
      <c r="AG94" s="251">
        <v>46071</v>
      </c>
      <c r="AH94" s="335">
        <v>23</v>
      </c>
      <c r="AI94" s="336" t="s">
        <v>23</v>
      </c>
      <c r="AJ94" s="337"/>
      <c r="AK94" s="335"/>
      <c r="AL94" s="336"/>
      <c r="AM94" s="335">
        <f t="shared" si="0"/>
        <v>0</v>
      </c>
      <c r="AN94" s="340" t="s">
        <v>3357</v>
      </c>
      <c r="AO94" s="282">
        <v>23</v>
      </c>
      <c r="AP94" s="282">
        <v>0</v>
      </c>
      <c r="AQ94" s="260">
        <v>46091</v>
      </c>
      <c r="AR94" s="340" t="s">
        <v>680</v>
      </c>
      <c r="AS94" s="335">
        <v>23</v>
      </c>
      <c r="AT94" s="337" t="s">
        <v>35</v>
      </c>
      <c r="AU94" s="337"/>
      <c r="AV94" s="335"/>
      <c r="AW94" s="337"/>
      <c r="AX94" s="335">
        <f t="shared" si="1"/>
        <v>0</v>
      </c>
      <c r="AY94" s="340" t="s">
        <v>3358</v>
      </c>
      <c r="AZ94" s="282">
        <v>23</v>
      </c>
      <c r="BA94" s="282">
        <v>0</v>
      </c>
      <c r="BB94" s="260">
        <v>46122</v>
      </c>
      <c r="BC94" s="340" t="s">
        <v>1777</v>
      </c>
      <c r="BD94" s="335">
        <v>23</v>
      </c>
      <c r="BE94" s="337" t="s">
        <v>23</v>
      </c>
      <c r="BF94" s="337"/>
      <c r="BG94" s="335"/>
      <c r="BH94" s="337"/>
      <c r="BI94" s="335">
        <f t="shared" si="2"/>
        <v>0</v>
      </c>
      <c r="BJ94" s="340" t="s">
        <v>3359</v>
      </c>
      <c r="BK94" s="282">
        <v>23</v>
      </c>
      <c r="BL94" s="282">
        <v>0</v>
      </c>
      <c r="BM94" s="260">
        <v>46152</v>
      </c>
      <c r="BN94" s="340"/>
      <c r="BO94" s="335"/>
      <c r="BP94" s="337"/>
      <c r="BQ94" s="337"/>
      <c r="BR94" s="335"/>
      <c r="BS94" s="337"/>
      <c r="BT94" s="335">
        <f t="shared" si="3"/>
        <v>23</v>
      </c>
      <c r="BU94" s="340"/>
    </row>
    <row r="95" ht="13.95" spans="1:73">
      <c r="A95" s="437" t="s">
        <v>3360</v>
      </c>
      <c r="B95" s="438" t="s">
        <v>3361</v>
      </c>
      <c r="C95" s="439" t="s">
        <v>3362</v>
      </c>
      <c r="D95" s="250" t="s">
        <v>201</v>
      </c>
      <c r="E95" s="440" t="s">
        <v>202</v>
      </c>
      <c r="F95" s="441">
        <v>24</v>
      </c>
      <c r="G95" s="222" t="s">
        <v>3363</v>
      </c>
      <c r="H95" s="439" t="s">
        <v>2615</v>
      </c>
      <c r="I95" s="439" t="s">
        <v>220</v>
      </c>
      <c r="J95" s="439" t="s">
        <v>3364</v>
      </c>
      <c r="K95" s="439" t="s">
        <v>3365</v>
      </c>
      <c r="L95" s="439" t="s">
        <v>3366</v>
      </c>
      <c r="M95" s="415" t="s">
        <v>3367</v>
      </c>
      <c r="N95" s="442">
        <v>45582</v>
      </c>
      <c r="O95" s="443" t="s">
        <v>210</v>
      </c>
      <c r="P95" s="439" t="s">
        <v>242</v>
      </c>
      <c r="Q95" s="329">
        <v>0</v>
      </c>
      <c r="S95" s="282">
        <v>23</v>
      </c>
      <c r="T95" s="282">
        <v>0</v>
      </c>
      <c r="U95" s="260">
        <v>46032</v>
      </c>
      <c r="V95" s="331">
        <v>46029</v>
      </c>
      <c r="W95" s="329">
        <v>23</v>
      </c>
      <c r="X95" s="332" t="s">
        <v>23</v>
      </c>
      <c r="Y95" s="333">
        <v>117684</v>
      </c>
      <c r="Z95" s="334"/>
      <c r="AA95" s="332"/>
      <c r="AB95" s="334">
        <f t="shared" si="11"/>
        <v>0</v>
      </c>
      <c r="AC95" s="250" t="s">
        <v>3368</v>
      </c>
      <c r="AD95" s="282">
        <f>23</f>
        <v>23</v>
      </c>
      <c r="AE95" s="282">
        <v>0</v>
      </c>
      <c r="AF95" s="260">
        <v>46063</v>
      </c>
      <c r="AG95" s="251">
        <v>46072</v>
      </c>
      <c r="AH95" s="335">
        <v>23</v>
      </c>
      <c r="AI95" s="336" t="s">
        <v>23</v>
      </c>
      <c r="AJ95" s="337" t="s">
        <v>3369</v>
      </c>
      <c r="AK95" s="335"/>
      <c r="AL95" s="336"/>
      <c r="AM95" s="335">
        <f t="shared" si="0"/>
        <v>0</v>
      </c>
      <c r="AN95" s="340" t="s">
        <v>3370</v>
      </c>
      <c r="AO95" s="282">
        <f>23</f>
        <v>23</v>
      </c>
      <c r="AP95" s="282">
        <v>0</v>
      </c>
      <c r="AQ95" s="260">
        <v>46091</v>
      </c>
      <c r="AR95" s="340" t="s">
        <v>840</v>
      </c>
      <c r="AS95" s="335">
        <v>23</v>
      </c>
      <c r="AT95" s="337" t="s">
        <v>23</v>
      </c>
      <c r="AU95" s="337"/>
      <c r="AV95" s="335"/>
      <c r="AW95" s="337"/>
      <c r="AX95" s="335">
        <f t="shared" si="1"/>
        <v>0</v>
      </c>
      <c r="AY95" s="340" t="s">
        <v>3371</v>
      </c>
      <c r="AZ95" s="282">
        <f>23</f>
        <v>23</v>
      </c>
      <c r="BA95" s="282">
        <v>0</v>
      </c>
      <c r="BB95" s="260">
        <v>46122</v>
      </c>
      <c r="BC95" s="340" t="s">
        <v>234</v>
      </c>
      <c r="BD95" s="335">
        <v>23</v>
      </c>
      <c r="BE95" s="337" t="s">
        <v>23</v>
      </c>
      <c r="BF95" s="337" t="s">
        <v>3372</v>
      </c>
      <c r="BG95" s="335"/>
      <c r="BH95" s="337"/>
      <c r="BI95" s="335">
        <f t="shared" si="2"/>
        <v>0</v>
      </c>
      <c r="BJ95" s="340" t="s">
        <v>3373</v>
      </c>
      <c r="BK95" s="282">
        <f>23</f>
        <v>23</v>
      </c>
      <c r="BL95" s="282">
        <v>0</v>
      </c>
      <c r="BM95" s="260">
        <v>46152</v>
      </c>
      <c r="BN95" s="340"/>
      <c r="BO95" s="335"/>
      <c r="BP95" s="337"/>
      <c r="BQ95" s="337"/>
      <c r="BR95" s="335"/>
      <c r="BS95" s="337"/>
      <c r="BT95" s="335">
        <f t="shared" si="3"/>
        <v>23</v>
      </c>
      <c r="BU95" s="340"/>
    </row>
    <row r="96" ht="13.95" spans="1:73">
      <c r="A96" s="437" t="s">
        <v>1204</v>
      </c>
      <c r="B96" s="7" t="s">
        <v>3374</v>
      </c>
      <c r="C96" s="7" t="s">
        <v>3375</v>
      </c>
      <c r="D96" s="250" t="s">
        <v>201</v>
      </c>
      <c r="E96" s="352" t="s">
        <v>226</v>
      </c>
      <c r="F96" s="275">
        <v>24</v>
      </c>
      <c r="G96" s="222" t="s">
        <v>3376</v>
      </c>
      <c r="H96" s="7" t="s">
        <v>2615</v>
      </c>
      <c r="I96" s="7" t="s">
        <v>206</v>
      </c>
      <c r="J96" s="7" t="s">
        <v>3377</v>
      </c>
      <c r="K96" s="7" t="s">
        <v>3378</v>
      </c>
      <c r="L96" s="222" t="s">
        <v>3379</v>
      </c>
      <c r="M96" s="415" t="s">
        <v>3380</v>
      </c>
      <c r="N96" s="54">
        <v>45596</v>
      </c>
      <c r="O96" s="327" t="s">
        <v>210</v>
      </c>
      <c r="P96" s="7" t="s">
        <v>242</v>
      </c>
      <c r="Q96" s="329">
        <v>0.5</v>
      </c>
      <c r="S96" s="282">
        <v>23</v>
      </c>
      <c r="T96" s="282">
        <v>0</v>
      </c>
      <c r="U96" s="260">
        <v>46032</v>
      </c>
      <c r="V96" s="331">
        <v>46037</v>
      </c>
      <c r="W96" s="329">
        <v>22.5</v>
      </c>
      <c r="X96" s="332" t="s">
        <v>35</v>
      </c>
      <c r="Y96" s="344"/>
      <c r="Z96" s="334"/>
      <c r="AA96" s="332"/>
      <c r="AB96" s="334">
        <f t="shared" ref="AB96:AB97" si="12">Q96+S96+T96-W96-Z96</f>
        <v>1</v>
      </c>
      <c r="AC96" s="250" t="s">
        <v>213</v>
      </c>
      <c r="AD96" s="282">
        <v>23</v>
      </c>
      <c r="AE96" s="282">
        <v>0</v>
      </c>
      <c r="AF96" s="260">
        <v>46063</v>
      </c>
      <c r="AG96" s="251">
        <v>46077</v>
      </c>
      <c r="AH96" s="335">
        <v>25</v>
      </c>
      <c r="AI96" s="336" t="s">
        <v>35</v>
      </c>
      <c r="AJ96" s="345"/>
      <c r="AK96" s="338"/>
      <c r="AL96" s="339"/>
      <c r="AM96" s="338">
        <f t="shared" si="0"/>
        <v>-1</v>
      </c>
      <c r="AN96" s="340" t="s">
        <v>213</v>
      </c>
      <c r="AO96" s="282">
        <v>23</v>
      </c>
      <c r="AP96" s="282">
        <v>0</v>
      </c>
      <c r="AQ96" s="260">
        <v>46091</v>
      </c>
      <c r="AR96" s="340" t="s">
        <v>386</v>
      </c>
      <c r="AS96" s="335">
        <v>23</v>
      </c>
      <c r="AT96" s="337" t="s">
        <v>35</v>
      </c>
      <c r="AU96" s="337"/>
      <c r="AV96" s="335"/>
      <c r="AW96" s="337"/>
      <c r="AX96" s="335">
        <f t="shared" si="1"/>
        <v>-1</v>
      </c>
      <c r="AY96" s="340" t="s">
        <v>213</v>
      </c>
      <c r="AZ96" s="282">
        <v>23</v>
      </c>
      <c r="BA96" s="282">
        <v>0</v>
      </c>
      <c r="BB96" s="260">
        <v>46122</v>
      </c>
      <c r="BC96" s="340" t="s">
        <v>223</v>
      </c>
      <c r="BD96" s="335">
        <v>23</v>
      </c>
      <c r="BE96" s="337" t="s">
        <v>35</v>
      </c>
      <c r="BF96" s="337"/>
      <c r="BG96" s="335"/>
      <c r="BH96" s="337"/>
      <c r="BI96" s="335">
        <f t="shared" si="2"/>
        <v>-1</v>
      </c>
      <c r="BJ96" s="340"/>
      <c r="BK96" s="282">
        <v>23</v>
      </c>
      <c r="BL96" s="282">
        <v>0</v>
      </c>
      <c r="BM96" s="260">
        <v>46152</v>
      </c>
      <c r="BN96" s="340"/>
      <c r="BO96" s="335"/>
      <c r="BP96" s="337"/>
      <c r="BQ96" s="337"/>
      <c r="BR96" s="335"/>
      <c r="BS96" s="337"/>
      <c r="BT96" s="335">
        <f t="shared" si="3"/>
        <v>22</v>
      </c>
      <c r="BU96" s="340"/>
    </row>
    <row r="97" ht="13.95" spans="1:73">
      <c r="A97" s="437" t="s">
        <v>1211</v>
      </c>
      <c r="B97" s="427" t="s">
        <v>3381</v>
      </c>
      <c r="C97" s="7" t="s">
        <v>3382</v>
      </c>
      <c r="D97" s="250" t="s">
        <v>201</v>
      </c>
      <c r="E97" s="352" t="s">
        <v>202</v>
      </c>
      <c r="F97" s="275">
        <v>24</v>
      </c>
      <c r="G97" s="222" t="s">
        <v>3383</v>
      </c>
      <c r="H97" s="7" t="s">
        <v>2615</v>
      </c>
      <c r="I97" s="7" t="s">
        <v>206</v>
      </c>
      <c r="J97" s="7" t="s">
        <v>3384</v>
      </c>
      <c r="K97" s="7" t="s">
        <v>3385</v>
      </c>
      <c r="L97" s="222" t="s">
        <v>3386</v>
      </c>
      <c r="M97" s="415" t="s">
        <v>3387</v>
      </c>
      <c r="N97" s="54">
        <v>45602</v>
      </c>
      <c r="O97" s="327" t="s">
        <v>384</v>
      </c>
      <c r="P97" s="7" t="s">
        <v>242</v>
      </c>
      <c r="Q97" s="329">
        <v>-6.08</v>
      </c>
      <c r="S97" s="282">
        <v>20.54</v>
      </c>
      <c r="T97" s="282">
        <v>0</v>
      </c>
      <c r="U97" s="260">
        <v>46032</v>
      </c>
      <c r="V97" s="331">
        <v>46048</v>
      </c>
      <c r="W97" s="329">
        <v>25</v>
      </c>
      <c r="X97" s="332" t="s">
        <v>35</v>
      </c>
      <c r="Y97" s="344"/>
      <c r="Z97" s="334"/>
      <c r="AA97" s="332"/>
      <c r="AB97" s="334">
        <f t="shared" si="12"/>
        <v>-10.54</v>
      </c>
      <c r="AC97" s="250" t="s">
        <v>213</v>
      </c>
      <c r="AD97" s="282">
        <f>20.54+45</f>
        <v>65.54</v>
      </c>
      <c r="AE97" s="282">
        <v>0</v>
      </c>
      <c r="AF97" s="260">
        <v>46063</v>
      </c>
      <c r="AG97" s="251">
        <v>46078</v>
      </c>
      <c r="AH97" s="335">
        <v>70</v>
      </c>
      <c r="AI97" s="336" t="s">
        <v>35</v>
      </c>
      <c r="AJ97" s="345"/>
      <c r="AK97" s="338"/>
      <c r="AL97" s="339"/>
      <c r="AM97" s="338">
        <f t="shared" si="0"/>
        <v>-15</v>
      </c>
      <c r="AN97" s="340" t="s">
        <v>213</v>
      </c>
      <c r="AO97" s="282">
        <v>20.54</v>
      </c>
      <c r="AP97" s="282">
        <v>0</v>
      </c>
      <c r="AQ97" s="260">
        <v>46091</v>
      </c>
      <c r="AR97" s="340" t="s">
        <v>1028</v>
      </c>
      <c r="AS97" s="335">
        <v>20</v>
      </c>
      <c r="AT97" s="337" t="s">
        <v>35</v>
      </c>
      <c r="AU97" s="337"/>
      <c r="AV97" s="335"/>
      <c r="AW97" s="337"/>
      <c r="AX97" s="335">
        <f t="shared" si="1"/>
        <v>-14.46</v>
      </c>
      <c r="AY97" s="340" t="s">
        <v>213</v>
      </c>
      <c r="AZ97" s="282">
        <v>20.54</v>
      </c>
      <c r="BA97" s="282">
        <v>0</v>
      </c>
      <c r="BB97" s="260">
        <v>46122</v>
      </c>
      <c r="BC97" s="340" t="s">
        <v>905</v>
      </c>
      <c r="BD97" s="335">
        <v>22</v>
      </c>
      <c r="BE97" s="337" t="s">
        <v>35</v>
      </c>
      <c r="BF97" s="337"/>
      <c r="BG97" s="335"/>
      <c r="BH97" s="337"/>
      <c r="BI97" s="335">
        <f t="shared" si="2"/>
        <v>-15.92</v>
      </c>
      <c r="BJ97" s="340"/>
      <c r="BK97" s="282">
        <v>20.54</v>
      </c>
      <c r="BL97" s="282">
        <v>0</v>
      </c>
      <c r="BM97" s="260">
        <v>46152</v>
      </c>
      <c r="BN97" s="340"/>
      <c r="BO97" s="335"/>
      <c r="BP97" s="337"/>
      <c r="BQ97" s="337"/>
      <c r="BR97" s="335"/>
      <c r="BS97" s="337"/>
      <c r="BT97" s="335">
        <f t="shared" si="3"/>
        <v>4.61999999999999</v>
      </c>
      <c r="BU97" s="340"/>
    </row>
    <row r="98" ht="13.95" spans="1:73">
      <c r="A98" s="437" t="s">
        <v>1223</v>
      </c>
      <c r="B98" s="7" t="s">
        <v>3388</v>
      </c>
      <c r="C98" s="7" t="s">
        <v>3389</v>
      </c>
      <c r="D98" s="250" t="s">
        <v>201</v>
      </c>
      <c r="E98" s="352" t="s">
        <v>202</v>
      </c>
      <c r="F98" s="275">
        <v>24</v>
      </c>
      <c r="G98" s="222" t="s">
        <v>3390</v>
      </c>
      <c r="H98" s="7" t="s">
        <v>2615</v>
      </c>
      <c r="I98" s="7" t="s">
        <v>206</v>
      </c>
      <c r="J98" s="7" t="s">
        <v>3391</v>
      </c>
      <c r="K98" s="7" t="s">
        <v>3392</v>
      </c>
      <c r="L98" s="222" t="s">
        <v>3393</v>
      </c>
      <c r="M98" s="284" t="s">
        <v>3394</v>
      </c>
      <c r="N98" s="54">
        <v>45608</v>
      </c>
      <c r="O98" s="327" t="s">
        <v>232</v>
      </c>
      <c r="P98" s="7" t="s">
        <v>242</v>
      </c>
      <c r="Q98" s="329">
        <v>-3</v>
      </c>
      <c r="S98" s="282">
        <v>17.25</v>
      </c>
      <c r="T98" s="282">
        <v>2</v>
      </c>
      <c r="U98" s="260">
        <v>46032</v>
      </c>
      <c r="V98" s="331">
        <v>46034</v>
      </c>
      <c r="W98" s="329">
        <v>20</v>
      </c>
      <c r="X98" s="332" t="s">
        <v>35</v>
      </c>
      <c r="Y98" s="344"/>
      <c r="Z98" s="334"/>
      <c r="AA98" s="332"/>
      <c r="AB98" s="334">
        <f t="shared" ref="AB98:AB100" si="13">S98+T98-W98-Z98</f>
        <v>-0.75</v>
      </c>
      <c r="AC98" s="250" t="s">
        <v>213</v>
      </c>
      <c r="AD98" s="282">
        <v>17.25</v>
      </c>
      <c r="AE98" s="282">
        <v>2</v>
      </c>
      <c r="AF98" s="260">
        <v>46063</v>
      </c>
      <c r="AG98" s="251">
        <v>46062</v>
      </c>
      <c r="AH98" s="335">
        <v>20</v>
      </c>
      <c r="AI98" s="336" t="s">
        <v>35</v>
      </c>
      <c r="AJ98" s="345"/>
      <c r="AK98" s="338"/>
      <c r="AL98" s="339"/>
      <c r="AM98" s="338">
        <f t="shared" si="0"/>
        <v>-1.5</v>
      </c>
      <c r="AN98" s="340" t="s">
        <v>213</v>
      </c>
      <c r="AO98" s="282">
        <v>17.25</v>
      </c>
      <c r="AP98" s="282">
        <v>2</v>
      </c>
      <c r="AQ98" s="260">
        <v>46091</v>
      </c>
      <c r="AR98" s="340" t="s">
        <v>467</v>
      </c>
      <c r="AS98" s="335">
        <v>20</v>
      </c>
      <c r="AT98" s="337" t="s">
        <v>35</v>
      </c>
      <c r="AU98" s="337"/>
      <c r="AV98" s="335"/>
      <c r="AW98" s="337"/>
      <c r="AX98" s="335">
        <f t="shared" si="1"/>
        <v>-2.25</v>
      </c>
      <c r="AY98" s="340" t="s">
        <v>213</v>
      </c>
      <c r="AZ98" s="282">
        <v>17.25</v>
      </c>
      <c r="BA98" s="282">
        <v>2</v>
      </c>
      <c r="BB98" s="260">
        <v>46122</v>
      </c>
      <c r="BC98" s="340" t="s">
        <v>1062</v>
      </c>
      <c r="BD98" s="335">
        <v>20</v>
      </c>
      <c r="BE98" s="337" t="s">
        <v>35</v>
      </c>
      <c r="BF98" s="337"/>
      <c r="BG98" s="335"/>
      <c r="BH98" s="337"/>
      <c r="BI98" s="335">
        <f t="shared" si="2"/>
        <v>-3</v>
      </c>
      <c r="BJ98" s="340"/>
      <c r="BK98" s="282">
        <v>17.25</v>
      </c>
      <c r="BL98" s="282">
        <v>2</v>
      </c>
      <c r="BM98" s="260">
        <v>46152</v>
      </c>
      <c r="BN98" s="340"/>
      <c r="BO98" s="335"/>
      <c r="BP98" s="337"/>
      <c r="BQ98" s="337"/>
      <c r="BR98" s="335"/>
      <c r="BS98" s="337"/>
      <c r="BT98" s="335">
        <f t="shared" si="3"/>
        <v>16.25</v>
      </c>
      <c r="BU98" s="340"/>
    </row>
    <row r="99" ht="13.95" spans="1:73">
      <c r="A99" s="437" t="s">
        <v>1235</v>
      </c>
      <c r="B99" s="7" t="s">
        <v>3395</v>
      </c>
      <c r="C99" s="7" t="s">
        <v>3396</v>
      </c>
      <c r="D99" s="250" t="s">
        <v>201</v>
      </c>
      <c r="E99" s="352" t="s">
        <v>202</v>
      </c>
      <c r="F99" s="275">
        <v>24</v>
      </c>
      <c r="G99" s="222" t="s">
        <v>3397</v>
      </c>
      <c r="H99" s="7" t="s">
        <v>2615</v>
      </c>
      <c r="I99" s="7" t="s">
        <v>220</v>
      </c>
      <c r="J99" s="7" t="s">
        <v>3398</v>
      </c>
      <c r="K99" s="7" t="s">
        <v>3399</v>
      </c>
      <c r="L99" s="222" t="s">
        <v>3400</v>
      </c>
      <c r="M99" s="7"/>
      <c r="N99" s="355">
        <v>45962</v>
      </c>
      <c r="O99" s="327" t="s">
        <v>384</v>
      </c>
      <c r="P99" s="7" t="s">
        <v>242</v>
      </c>
      <c r="Q99" s="329">
        <v>0</v>
      </c>
      <c r="S99" s="282">
        <v>20.54</v>
      </c>
      <c r="U99" s="260">
        <v>46032</v>
      </c>
      <c r="V99" s="331">
        <v>46049</v>
      </c>
      <c r="W99" s="329">
        <v>20</v>
      </c>
      <c r="X99" s="332" t="s">
        <v>35</v>
      </c>
      <c r="Y99" s="333"/>
      <c r="Z99" s="329"/>
      <c r="AA99" s="332"/>
      <c r="AB99" s="334">
        <f t="shared" si="13"/>
        <v>0.539999999999999</v>
      </c>
      <c r="AC99" s="250" t="s">
        <v>3401</v>
      </c>
      <c r="AD99" s="282">
        <v>20.54</v>
      </c>
      <c r="AF99" s="260">
        <v>46063</v>
      </c>
      <c r="AG99" s="251">
        <v>46077</v>
      </c>
      <c r="AH99" s="335">
        <v>21.08</v>
      </c>
      <c r="AI99" s="336" t="s">
        <v>23</v>
      </c>
      <c r="AJ99" s="337"/>
      <c r="AK99" s="335"/>
      <c r="AL99" s="336"/>
      <c r="AM99" s="335">
        <f t="shared" si="0"/>
        <v>0</v>
      </c>
      <c r="AN99" s="340" t="s">
        <v>3402</v>
      </c>
      <c r="AO99" s="282">
        <f>20.54+17.5</f>
        <v>38.04</v>
      </c>
      <c r="AQ99" s="260">
        <v>46091</v>
      </c>
      <c r="AR99" s="340"/>
      <c r="AS99" s="335">
        <v>38.04</v>
      </c>
      <c r="AT99" s="337" t="s">
        <v>23</v>
      </c>
      <c r="AU99" s="337"/>
      <c r="AV99" s="335"/>
      <c r="AW99" s="337"/>
      <c r="AX99" s="335">
        <f t="shared" si="1"/>
        <v>0</v>
      </c>
      <c r="AY99" s="340" t="s">
        <v>3403</v>
      </c>
      <c r="AZ99" s="282">
        <f>20.54+17.5</f>
        <v>38.04</v>
      </c>
      <c r="BB99" s="260">
        <v>46122</v>
      </c>
      <c r="BC99" s="340" t="s">
        <v>626</v>
      </c>
      <c r="BD99" s="335">
        <v>38</v>
      </c>
      <c r="BE99" s="337" t="s">
        <v>23</v>
      </c>
      <c r="BF99" s="337"/>
      <c r="BG99" s="335"/>
      <c r="BH99" s="337"/>
      <c r="BI99" s="335">
        <f t="shared" si="2"/>
        <v>0.0399999999999991</v>
      </c>
      <c r="BJ99" s="340"/>
      <c r="BK99" s="282">
        <v>20.54</v>
      </c>
      <c r="BM99" s="260">
        <v>46152</v>
      </c>
      <c r="BN99" s="340"/>
      <c r="BO99" s="335"/>
      <c r="BP99" s="337"/>
      <c r="BQ99" s="337"/>
      <c r="BR99" s="335"/>
      <c r="BS99" s="337"/>
      <c r="BT99" s="335">
        <f t="shared" si="3"/>
        <v>20.58</v>
      </c>
      <c r="BU99" s="340"/>
    </row>
    <row r="100" ht="13.95" spans="1:73">
      <c r="A100" s="437" t="s">
        <v>1242</v>
      </c>
      <c r="B100" s="134" t="s">
        <v>3404</v>
      </c>
      <c r="C100" s="7" t="s">
        <v>3405</v>
      </c>
      <c r="D100" s="250" t="s">
        <v>201</v>
      </c>
      <c r="E100" s="352" t="s">
        <v>202</v>
      </c>
      <c r="F100" s="275">
        <v>24</v>
      </c>
      <c r="G100" s="222" t="s">
        <v>3406</v>
      </c>
      <c r="H100" s="7" t="s">
        <v>2615</v>
      </c>
      <c r="I100" s="7" t="s">
        <v>206</v>
      </c>
      <c r="J100" s="7" t="s">
        <v>3407</v>
      </c>
      <c r="K100" s="444" t="s">
        <v>3408</v>
      </c>
      <c r="L100" s="222" t="s">
        <v>3409</v>
      </c>
      <c r="M100" s="7"/>
      <c r="N100" s="54">
        <v>45610</v>
      </c>
      <c r="O100" s="327" t="s">
        <v>210</v>
      </c>
      <c r="P100" s="7" t="s">
        <v>242</v>
      </c>
      <c r="Q100" s="329">
        <v>0</v>
      </c>
      <c r="S100" s="282">
        <v>0</v>
      </c>
      <c r="U100" s="260">
        <v>45300</v>
      </c>
      <c r="V100" s="350"/>
      <c r="W100" s="334"/>
      <c r="X100" s="332"/>
      <c r="Y100" s="344"/>
      <c r="Z100" s="334"/>
      <c r="AA100" s="332"/>
      <c r="AB100" s="334">
        <f t="shared" si="13"/>
        <v>0</v>
      </c>
      <c r="AC100" s="250" t="s">
        <v>213</v>
      </c>
      <c r="AD100" s="282">
        <v>0</v>
      </c>
      <c r="AF100" s="260">
        <v>45331</v>
      </c>
      <c r="AH100" s="338"/>
      <c r="AI100" s="339"/>
      <c r="AJ100" s="345"/>
      <c r="AK100" s="338"/>
      <c r="AL100" s="339"/>
      <c r="AM100" s="338">
        <f t="shared" si="0"/>
        <v>0</v>
      </c>
      <c r="AN100" s="340" t="s">
        <v>213</v>
      </c>
      <c r="AO100" s="282">
        <v>0</v>
      </c>
      <c r="AQ100" s="260">
        <v>45360</v>
      </c>
      <c r="AR100" s="340"/>
      <c r="AS100" s="335"/>
      <c r="AT100" s="337"/>
      <c r="AU100" s="337"/>
      <c r="AV100" s="335"/>
      <c r="AW100" s="337"/>
      <c r="AX100" s="335">
        <f t="shared" si="1"/>
        <v>0</v>
      </c>
      <c r="AY100" s="340" t="s">
        <v>213</v>
      </c>
      <c r="AZ100" s="282">
        <v>0</v>
      </c>
      <c r="BB100" s="260">
        <v>45391</v>
      </c>
      <c r="BC100" s="340"/>
      <c r="BD100" s="335"/>
      <c r="BE100" s="337"/>
      <c r="BF100" s="337"/>
      <c r="BG100" s="335"/>
      <c r="BH100" s="337"/>
      <c r="BI100" s="335">
        <f t="shared" si="2"/>
        <v>0</v>
      </c>
      <c r="BJ100" s="340"/>
      <c r="BK100" s="282">
        <v>0</v>
      </c>
      <c r="BM100" s="260">
        <v>45421</v>
      </c>
      <c r="BN100" s="340"/>
      <c r="BO100" s="335"/>
      <c r="BP100" s="337"/>
      <c r="BQ100" s="337"/>
      <c r="BR100" s="335"/>
      <c r="BS100" s="337"/>
      <c r="BT100" s="335">
        <f t="shared" si="3"/>
        <v>0</v>
      </c>
      <c r="BU100" s="340"/>
    </row>
    <row r="101" ht="13.95" spans="1:73">
      <c r="A101" s="437" t="s">
        <v>1245</v>
      </c>
      <c r="B101" s="7" t="s">
        <v>3410</v>
      </c>
      <c r="C101" s="7" t="s">
        <v>3411</v>
      </c>
      <c r="D101" s="250" t="s">
        <v>201</v>
      </c>
      <c r="E101" s="352" t="s">
        <v>226</v>
      </c>
      <c r="F101" s="275" t="s">
        <v>3238</v>
      </c>
      <c r="G101" s="222" t="s">
        <v>3412</v>
      </c>
      <c r="H101" s="7" t="s">
        <v>2615</v>
      </c>
      <c r="I101" s="7" t="s">
        <v>220</v>
      </c>
      <c r="J101" s="7" t="s">
        <v>3407</v>
      </c>
      <c r="K101" s="7"/>
      <c r="L101" s="222" t="s">
        <v>3413</v>
      </c>
      <c r="M101" s="415" t="s">
        <v>3414</v>
      </c>
      <c r="N101" s="54">
        <v>45611</v>
      </c>
      <c r="O101" s="327" t="s">
        <v>384</v>
      </c>
      <c r="P101" s="7" t="s">
        <v>242</v>
      </c>
      <c r="Q101" s="329">
        <v>22</v>
      </c>
      <c r="S101" s="282">
        <v>23</v>
      </c>
      <c r="T101" s="282">
        <v>0</v>
      </c>
      <c r="U101" s="260">
        <v>46032</v>
      </c>
      <c r="V101" s="331">
        <v>46032</v>
      </c>
      <c r="W101" s="329">
        <v>23</v>
      </c>
      <c r="X101" s="332" t="s">
        <v>23</v>
      </c>
      <c r="Y101" s="344"/>
      <c r="Z101" s="334"/>
      <c r="AA101" s="332"/>
      <c r="AB101" s="334">
        <f>Q101+S101+T101-W101-Z101</f>
        <v>22</v>
      </c>
      <c r="AC101" s="250" t="s">
        <v>213</v>
      </c>
      <c r="AD101" s="282">
        <v>0</v>
      </c>
      <c r="AE101" s="282">
        <v>0</v>
      </c>
      <c r="AF101" s="260">
        <v>46063</v>
      </c>
      <c r="AG101" s="251">
        <v>46063</v>
      </c>
      <c r="AH101" s="335">
        <v>23</v>
      </c>
      <c r="AI101" s="336" t="s">
        <v>23</v>
      </c>
      <c r="AJ101" s="345"/>
      <c r="AK101" s="338"/>
      <c r="AL101" s="339"/>
      <c r="AM101" s="338">
        <f t="shared" si="0"/>
        <v>-1</v>
      </c>
      <c r="AN101" s="340" t="s">
        <v>213</v>
      </c>
      <c r="AO101" s="282">
        <v>24</v>
      </c>
      <c r="AP101" s="282">
        <v>0</v>
      </c>
      <c r="AQ101" s="260">
        <v>46091</v>
      </c>
      <c r="AR101" s="340" t="s">
        <v>891</v>
      </c>
      <c r="AS101" s="335">
        <v>23</v>
      </c>
      <c r="AT101" s="337" t="s">
        <v>23</v>
      </c>
      <c r="AU101" s="337"/>
      <c r="AV101" s="335"/>
      <c r="AW101" s="337"/>
      <c r="AX101" s="335">
        <f t="shared" si="1"/>
        <v>0</v>
      </c>
      <c r="AY101" s="340" t="s">
        <v>213</v>
      </c>
      <c r="AZ101" s="282">
        <v>23</v>
      </c>
      <c r="BA101" s="282">
        <v>0</v>
      </c>
      <c r="BB101" s="260">
        <v>46122</v>
      </c>
      <c r="BC101" s="340" t="s">
        <v>797</v>
      </c>
      <c r="BD101" s="335">
        <v>23</v>
      </c>
      <c r="BE101" s="337" t="s">
        <v>23</v>
      </c>
      <c r="BF101" s="337"/>
      <c r="BG101" s="335"/>
      <c r="BH101" s="337"/>
      <c r="BI101" s="335">
        <f t="shared" si="2"/>
        <v>0</v>
      </c>
      <c r="BJ101" s="340"/>
      <c r="BK101" s="282">
        <v>23</v>
      </c>
      <c r="BL101" s="282">
        <v>0</v>
      </c>
      <c r="BM101" s="260">
        <v>46152</v>
      </c>
      <c r="BN101" s="340"/>
      <c r="BO101" s="335"/>
      <c r="BP101" s="337"/>
      <c r="BQ101" s="337"/>
      <c r="BR101" s="335"/>
      <c r="BS101" s="337"/>
      <c r="BT101" s="335">
        <f t="shared" si="3"/>
        <v>23</v>
      </c>
      <c r="BU101" s="340"/>
    </row>
    <row r="102" ht="13.95" spans="1:73">
      <c r="A102" s="437" t="s">
        <v>1257</v>
      </c>
      <c r="B102" s="7" t="s">
        <v>3415</v>
      </c>
      <c r="C102" s="7" t="s">
        <v>3416</v>
      </c>
      <c r="D102" s="250" t="s">
        <v>201</v>
      </c>
      <c r="E102" s="352" t="s">
        <v>202</v>
      </c>
      <c r="F102" s="275">
        <v>24</v>
      </c>
      <c r="G102" s="222" t="s">
        <v>3417</v>
      </c>
      <c r="H102" s="7" t="s">
        <v>2615</v>
      </c>
      <c r="I102" s="7" t="s">
        <v>220</v>
      </c>
      <c r="J102" s="7" t="s">
        <v>3407</v>
      </c>
      <c r="K102" s="7" t="s">
        <v>3418</v>
      </c>
      <c r="L102" s="222" t="s">
        <v>3419</v>
      </c>
      <c r="M102" s="415" t="s">
        <v>3420</v>
      </c>
      <c r="N102" s="54">
        <v>45611</v>
      </c>
      <c r="O102" s="327" t="s">
        <v>210</v>
      </c>
      <c r="P102" s="7" t="s">
        <v>242</v>
      </c>
      <c r="Q102" s="329">
        <v>0</v>
      </c>
      <c r="S102" s="282">
        <v>23</v>
      </c>
      <c r="T102" s="282">
        <v>0</v>
      </c>
      <c r="U102" s="260">
        <v>46032</v>
      </c>
      <c r="V102" s="350" t="s">
        <v>2673</v>
      </c>
      <c r="W102" s="329">
        <v>23</v>
      </c>
      <c r="X102" s="332" t="s">
        <v>23</v>
      </c>
      <c r="Y102" s="344"/>
      <c r="Z102" s="334"/>
      <c r="AA102" s="332"/>
      <c r="AB102" s="334">
        <f t="shared" ref="AB102:AB105" si="14">S102+T102-W102-Z102</f>
        <v>0</v>
      </c>
      <c r="AC102" s="250" t="s">
        <v>3421</v>
      </c>
      <c r="AD102" s="282">
        <v>23</v>
      </c>
      <c r="AE102" s="282">
        <v>0</v>
      </c>
      <c r="AF102" s="260">
        <v>46063</v>
      </c>
      <c r="AG102" s="251">
        <v>46072</v>
      </c>
      <c r="AH102" s="335">
        <v>23</v>
      </c>
      <c r="AI102" s="336" t="s">
        <v>23</v>
      </c>
      <c r="AJ102" s="337"/>
      <c r="AK102" s="335"/>
      <c r="AL102" s="336"/>
      <c r="AM102" s="335">
        <f t="shared" si="0"/>
        <v>0</v>
      </c>
      <c r="AN102" s="340" t="s">
        <v>3422</v>
      </c>
      <c r="AO102" s="282">
        <v>23</v>
      </c>
      <c r="AP102" s="282">
        <v>0</v>
      </c>
      <c r="AQ102" s="260">
        <v>46091</v>
      </c>
      <c r="AR102" s="340" t="s">
        <v>309</v>
      </c>
      <c r="AS102" s="335">
        <v>23</v>
      </c>
      <c r="AT102" s="337" t="s">
        <v>23</v>
      </c>
      <c r="AU102" s="337"/>
      <c r="AV102" s="335"/>
      <c r="AW102" s="337"/>
      <c r="AX102" s="335">
        <f t="shared" si="1"/>
        <v>0</v>
      </c>
      <c r="AY102" s="340" t="s">
        <v>3423</v>
      </c>
      <c r="AZ102" s="282">
        <v>23</v>
      </c>
      <c r="BA102" s="282">
        <v>0</v>
      </c>
      <c r="BB102" s="260">
        <v>46122</v>
      </c>
      <c r="BC102" s="340" t="s">
        <v>215</v>
      </c>
      <c r="BD102" s="335">
        <v>23</v>
      </c>
      <c r="BE102" s="337" t="s">
        <v>23</v>
      </c>
      <c r="BF102" s="337"/>
      <c r="BG102" s="335"/>
      <c r="BH102" s="337"/>
      <c r="BI102" s="335">
        <f t="shared" si="2"/>
        <v>0</v>
      </c>
      <c r="BJ102" s="340" t="s">
        <v>3424</v>
      </c>
      <c r="BK102" s="282">
        <v>23</v>
      </c>
      <c r="BL102" s="282">
        <v>0</v>
      </c>
      <c r="BM102" s="260">
        <v>46152</v>
      </c>
      <c r="BN102" s="340"/>
      <c r="BO102" s="335"/>
      <c r="BP102" s="337"/>
      <c r="BQ102" s="337"/>
      <c r="BR102" s="335"/>
      <c r="BS102" s="337"/>
      <c r="BT102" s="335">
        <f t="shared" si="3"/>
        <v>23</v>
      </c>
      <c r="BU102" s="340"/>
    </row>
    <row r="103" ht="13.95" spans="1:73">
      <c r="A103" s="437" t="s">
        <v>1268</v>
      </c>
      <c r="B103" s="445" t="s">
        <v>3425</v>
      </c>
      <c r="C103" s="439" t="s">
        <v>3426</v>
      </c>
      <c r="D103" s="250" t="s">
        <v>201</v>
      </c>
      <c r="E103" s="440" t="s">
        <v>226</v>
      </c>
      <c r="F103" s="441">
        <v>24</v>
      </c>
      <c r="G103" s="446" t="s">
        <v>3427</v>
      </c>
      <c r="H103" s="439" t="s">
        <v>2615</v>
      </c>
      <c r="I103" s="439" t="s">
        <v>220</v>
      </c>
      <c r="J103" s="439" t="s">
        <v>3428</v>
      </c>
      <c r="K103" s="447" t="s">
        <v>3429</v>
      </c>
      <c r="L103" s="439" t="s">
        <v>3430</v>
      </c>
      <c r="M103" s="439"/>
      <c r="N103" s="442">
        <v>45618</v>
      </c>
      <c r="O103" s="443" t="s">
        <v>384</v>
      </c>
      <c r="P103" s="439" t="s">
        <v>242</v>
      </c>
      <c r="Q103" s="329">
        <v>0</v>
      </c>
      <c r="S103" s="282">
        <v>20.54</v>
      </c>
      <c r="U103" s="385">
        <v>46032</v>
      </c>
      <c r="V103" s="331">
        <v>46056</v>
      </c>
      <c r="W103" s="329">
        <v>20.54</v>
      </c>
      <c r="X103" s="332" t="s">
        <v>35</v>
      </c>
      <c r="Y103" s="344"/>
      <c r="Z103" s="334"/>
      <c r="AA103" s="332"/>
      <c r="AB103" s="334">
        <f t="shared" si="14"/>
        <v>0</v>
      </c>
      <c r="AC103" s="250" t="s">
        <v>3431</v>
      </c>
      <c r="AD103" s="282">
        <v>20.54</v>
      </c>
      <c r="AF103" s="385">
        <v>46063</v>
      </c>
      <c r="AG103" s="251">
        <v>46083</v>
      </c>
      <c r="AH103" s="335">
        <v>20.54</v>
      </c>
      <c r="AI103" s="336" t="s">
        <v>35</v>
      </c>
      <c r="AJ103" s="337"/>
      <c r="AK103" s="335"/>
      <c r="AL103" s="336"/>
      <c r="AM103" s="335">
        <f t="shared" si="0"/>
        <v>0</v>
      </c>
      <c r="AN103" s="340" t="s">
        <v>3432</v>
      </c>
      <c r="AO103" s="282">
        <v>20.54</v>
      </c>
      <c r="AQ103" s="385">
        <v>46091</v>
      </c>
      <c r="AR103" s="340" t="s">
        <v>386</v>
      </c>
      <c r="AS103" s="335">
        <v>20.54</v>
      </c>
      <c r="AT103" s="337" t="s">
        <v>23</v>
      </c>
      <c r="AU103" s="337"/>
      <c r="AV103" s="335"/>
      <c r="AW103" s="337"/>
      <c r="AX103" s="335">
        <f t="shared" si="1"/>
        <v>0</v>
      </c>
      <c r="AY103" s="340" t="s">
        <v>3433</v>
      </c>
      <c r="AZ103" s="282">
        <v>20.54</v>
      </c>
      <c r="BB103" s="385">
        <v>46122</v>
      </c>
      <c r="BC103" s="340" t="s">
        <v>1202</v>
      </c>
      <c r="BD103" s="335">
        <v>20.54</v>
      </c>
      <c r="BE103" s="337" t="s">
        <v>23</v>
      </c>
      <c r="BF103" s="337"/>
      <c r="BG103" s="335"/>
      <c r="BH103" s="337"/>
      <c r="BI103" s="335">
        <f t="shared" si="2"/>
        <v>0</v>
      </c>
      <c r="BJ103" s="340" t="s">
        <v>3434</v>
      </c>
      <c r="BK103" s="282">
        <v>20.54</v>
      </c>
      <c r="BM103" s="385">
        <v>46152</v>
      </c>
      <c r="BN103" s="340"/>
      <c r="BO103" s="335"/>
      <c r="BP103" s="337"/>
      <c r="BQ103" s="337"/>
      <c r="BR103" s="335"/>
      <c r="BS103" s="337"/>
      <c r="BT103" s="335">
        <f t="shared" si="3"/>
        <v>20.54</v>
      </c>
      <c r="BU103" s="340"/>
    </row>
    <row r="104" ht="13.95" spans="1:73">
      <c r="A104" s="384" t="s">
        <v>1276</v>
      </c>
      <c r="B104" s="298" t="s">
        <v>3435</v>
      </c>
      <c r="C104" s="7" t="s">
        <v>3436</v>
      </c>
      <c r="D104" s="250" t="s">
        <v>251</v>
      </c>
      <c r="E104" s="352" t="s">
        <v>226</v>
      </c>
      <c r="F104" s="275">
        <v>24</v>
      </c>
      <c r="G104" s="222" t="s">
        <v>2158</v>
      </c>
      <c r="H104" s="7" t="s">
        <v>2615</v>
      </c>
      <c r="I104" s="7" t="s">
        <v>220</v>
      </c>
      <c r="J104" s="7" t="s">
        <v>3428</v>
      </c>
      <c r="K104" s="7" t="s">
        <v>2160</v>
      </c>
      <c r="L104" s="7" t="s">
        <v>3437</v>
      </c>
      <c r="M104" s="7"/>
      <c r="N104" s="54">
        <v>45632</v>
      </c>
      <c r="O104" s="443" t="s">
        <v>210</v>
      </c>
      <c r="P104" s="7" t="s">
        <v>242</v>
      </c>
      <c r="Q104" s="329">
        <v>0</v>
      </c>
      <c r="U104" s="392"/>
      <c r="V104" s="350"/>
      <c r="W104" s="334"/>
      <c r="X104" s="332"/>
      <c r="Y104" s="344"/>
      <c r="Z104" s="334"/>
      <c r="AA104" s="332"/>
      <c r="AB104" s="334">
        <f t="shared" si="14"/>
        <v>0</v>
      </c>
      <c r="AC104" s="250" t="s">
        <v>3438</v>
      </c>
      <c r="AF104" s="392"/>
      <c r="AH104" s="338"/>
      <c r="AI104" s="339"/>
      <c r="AJ104" s="345"/>
      <c r="AK104" s="338"/>
      <c r="AL104" s="339"/>
      <c r="AM104" s="338">
        <f t="shared" si="0"/>
        <v>0</v>
      </c>
      <c r="AN104" s="340" t="s">
        <v>213</v>
      </c>
      <c r="AQ104" s="392"/>
      <c r="AR104" s="340"/>
      <c r="AS104" s="335"/>
      <c r="AT104" s="337"/>
      <c r="AU104" s="337"/>
      <c r="AV104" s="335"/>
      <c r="AW104" s="337"/>
      <c r="AX104" s="335">
        <f t="shared" si="1"/>
        <v>0</v>
      </c>
      <c r="AY104" s="340" t="s">
        <v>213</v>
      </c>
      <c r="BB104" s="392"/>
      <c r="BC104" s="340"/>
      <c r="BD104" s="335"/>
      <c r="BE104" s="337"/>
      <c r="BF104" s="337"/>
      <c r="BG104" s="335"/>
      <c r="BH104" s="337"/>
      <c r="BI104" s="335">
        <f t="shared" si="2"/>
        <v>0</v>
      </c>
      <c r="BJ104" s="340"/>
      <c r="BM104" s="392"/>
      <c r="BN104" s="340"/>
      <c r="BO104" s="335"/>
      <c r="BP104" s="337"/>
      <c r="BQ104" s="337"/>
      <c r="BR104" s="335"/>
      <c r="BS104" s="337"/>
      <c r="BT104" s="335">
        <f t="shared" si="3"/>
        <v>0</v>
      </c>
      <c r="BU104" s="340"/>
    </row>
    <row r="105" ht="13.95" spans="1:73">
      <c r="A105" s="448" t="s">
        <v>1288</v>
      </c>
      <c r="B105" s="449" t="s">
        <v>3439</v>
      </c>
      <c r="C105" s="396" t="s">
        <v>3440</v>
      </c>
      <c r="D105" s="250" t="s">
        <v>201</v>
      </c>
      <c r="E105" s="397" t="s">
        <v>226</v>
      </c>
      <c r="F105" s="398">
        <v>24</v>
      </c>
      <c r="G105" s="400" t="s">
        <v>3441</v>
      </c>
      <c r="H105" s="396" t="s">
        <v>2615</v>
      </c>
      <c r="I105" s="396" t="s">
        <v>220</v>
      </c>
      <c r="J105" s="396" t="s">
        <v>3276</v>
      </c>
      <c r="K105" s="396" t="s">
        <v>3442</v>
      </c>
      <c r="L105" s="396" t="s">
        <v>3443</v>
      </c>
      <c r="M105" s="7"/>
      <c r="N105" s="450">
        <v>45663</v>
      </c>
      <c r="O105" s="327" t="s">
        <v>232</v>
      </c>
      <c r="P105" s="396" t="s">
        <v>242</v>
      </c>
      <c r="Q105" s="329">
        <v>0</v>
      </c>
      <c r="S105" s="282">
        <v>17.25</v>
      </c>
      <c r="U105" s="385">
        <v>46032</v>
      </c>
      <c r="V105" s="350" t="s">
        <v>429</v>
      </c>
      <c r="W105" s="329">
        <v>17.25</v>
      </c>
      <c r="X105" s="332" t="s">
        <v>23</v>
      </c>
      <c r="Y105" s="344"/>
      <c r="Z105" s="334"/>
      <c r="AA105" s="332"/>
      <c r="AB105" s="334">
        <f t="shared" si="14"/>
        <v>0</v>
      </c>
      <c r="AC105" s="250" t="s">
        <v>213</v>
      </c>
      <c r="AD105" s="282">
        <v>17.25</v>
      </c>
      <c r="AF105" s="385">
        <v>46063</v>
      </c>
      <c r="AG105" s="251">
        <v>46076</v>
      </c>
      <c r="AH105" s="335">
        <v>17.25</v>
      </c>
      <c r="AI105" s="336" t="s">
        <v>23</v>
      </c>
      <c r="AJ105" s="345"/>
      <c r="AK105" s="338"/>
      <c r="AL105" s="339"/>
      <c r="AM105" s="338">
        <f t="shared" si="0"/>
        <v>0</v>
      </c>
      <c r="AN105" s="340" t="s">
        <v>213</v>
      </c>
      <c r="AO105" s="282">
        <v>17.25</v>
      </c>
      <c r="AQ105" s="385">
        <v>46091</v>
      </c>
      <c r="AR105" s="340" t="s">
        <v>386</v>
      </c>
      <c r="AS105" s="335">
        <v>17.25</v>
      </c>
      <c r="AT105" s="337" t="s">
        <v>35</v>
      </c>
      <c r="AU105" s="337"/>
      <c r="AV105" s="335"/>
      <c r="AW105" s="337"/>
      <c r="AX105" s="335">
        <f t="shared" si="1"/>
        <v>0</v>
      </c>
      <c r="AY105" s="340" t="s">
        <v>213</v>
      </c>
      <c r="AZ105" s="282">
        <v>17.25</v>
      </c>
      <c r="BB105" s="385">
        <v>46122</v>
      </c>
      <c r="BC105" s="340" t="s">
        <v>411</v>
      </c>
      <c r="BD105" s="335">
        <v>17.25</v>
      </c>
      <c r="BE105" s="337" t="s">
        <v>35</v>
      </c>
      <c r="BF105" s="337"/>
      <c r="BG105" s="335"/>
      <c r="BH105" s="337"/>
      <c r="BI105" s="335">
        <f t="shared" si="2"/>
        <v>0</v>
      </c>
      <c r="BJ105" s="340"/>
      <c r="BK105" s="282">
        <v>17.25</v>
      </c>
      <c r="BM105" s="385">
        <v>46152</v>
      </c>
      <c r="BN105" s="340"/>
      <c r="BO105" s="335"/>
      <c r="BP105" s="337"/>
      <c r="BQ105" s="337"/>
      <c r="BR105" s="335"/>
      <c r="BS105" s="337"/>
      <c r="BT105" s="335">
        <f t="shared" si="3"/>
        <v>17.25</v>
      </c>
      <c r="BU105" s="340"/>
    </row>
    <row r="106" ht="13.95" spans="1:73">
      <c r="A106" s="451">
        <v>132</v>
      </c>
      <c r="B106" s="449" t="s">
        <v>3444</v>
      </c>
      <c r="C106" s="396" t="s">
        <v>3445</v>
      </c>
      <c r="D106" s="250" t="s">
        <v>201</v>
      </c>
      <c r="E106" s="397" t="s">
        <v>226</v>
      </c>
      <c r="F106" s="398">
        <v>36</v>
      </c>
      <c r="G106" s="400" t="s">
        <v>3446</v>
      </c>
      <c r="H106" s="396" t="s">
        <v>2615</v>
      </c>
      <c r="I106" s="396" t="s">
        <v>206</v>
      </c>
      <c r="J106" s="396" t="s">
        <v>3447</v>
      </c>
      <c r="K106" s="396" t="s">
        <v>3448</v>
      </c>
      <c r="L106" s="400" t="s">
        <v>3449</v>
      </c>
      <c r="M106" s="396"/>
      <c r="N106" s="401">
        <v>45726</v>
      </c>
      <c r="O106" s="327" t="s">
        <v>210</v>
      </c>
      <c r="P106" s="396" t="s">
        <v>242</v>
      </c>
      <c r="Q106" s="329">
        <v>23</v>
      </c>
      <c r="S106" s="282">
        <v>23</v>
      </c>
      <c r="U106" s="260">
        <v>46032</v>
      </c>
      <c r="V106" s="331">
        <v>46036</v>
      </c>
      <c r="W106" s="329">
        <v>46</v>
      </c>
      <c r="X106" s="332" t="s">
        <v>35</v>
      </c>
      <c r="Y106" s="344"/>
      <c r="Z106" s="334"/>
      <c r="AA106" s="332"/>
      <c r="AB106" s="334">
        <f t="shared" ref="AB106:AB107" si="15">Q106+S106+T106-W106-Z106</f>
        <v>0</v>
      </c>
      <c r="AC106" s="250" t="s">
        <v>213</v>
      </c>
      <c r="AD106" s="282">
        <v>10</v>
      </c>
      <c r="AF106" s="260">
        <v>46063</v>
      </c>
      <c r="AH106" s="338"/>
      <c r="AI106" s="339"/>
      <c r="AJ106" s="345"/>
      <c r="AK106" s="338"/>
      <c r="AL106" s="339"/>
      <c r="AM106" s="338">
        <f t="shared" si="0"/>
        <v>10</v>
      </c>
      <c r="AN106" s="340" t="s">
        <v>213</v>
      </c>
      <c r="AO106" s="282">
        <v>23</v>
      </c>
      <c r="AQ106" s="260">
        <v>46091</v>
      </c>
      <c r="AR106" s="340" t="s">
        <v>233</v>
      </c>
      <c r="AS106" s="335">
        <f>23+10</f>
        <v>33</v>
      </c>
      <c r="AT106" s="337" t="s">
        <v>23</v>
      </c>
      <c r="AU106" s="337"/>
      <c r="AV106" s="335"/>
      <c r="AW106" s="337"/>
      <c r="AX106" s="335">
        <f t="shared" si="1"/>
        <v>0</v>
      </c>
      <c r="AY106" s="340" t="s">
        <v>213</v>
      </c>
      <c r="AZ106" s="282">
        <v>23</v>
      </c>
      <c r="BB106" s="260">
        <v>46122</v>
      </c>
      <c r="BC106" s="340" t="s">
        <v>891</v>
      </c>
      <c r="BD106" s="335">
        <v>23</v>
      </c>
      <c r="BE106" s="337" t="s">
        <v>35</v>
      </c>
      <c r="BF106" s="337"/>
      <c r="BG106" s="335"/>
      <c r="BH106" s="337"/>
      <c r="BI106" s="335">
        <f t="shared" si="2"/>
        <v>0</v>
      </c>
      <c r="BJ106" s="340"/>
      <c r="BK106" s="282">
        <v>23</v>
      </c>
      <c r="BM106" s="260">
        <v>46152</v>
      </c>
      <c r="BN106" s="340" t="s">
        <v>797</v>
      </c>
      <c r="BO106" s="335">
        <v>23</v>
      </c>
      <c r="BP106" s="337" t="s">
        <v>35</v>
      </c>
      <c r="BQ106" s="337"/>
      <c r="BR106" s="335"/>
      <c r="BS106" s="337"/>
      <c r="BT106" s="335">
        <f t="shared" si="3"/>
        <v>0</v>
      </c>
      <c r="BU106" s="340"/>
    </row>
    <row r="107" ht="18" customHeight="1" spans="1:73">
      <c r="A107" s="451">
        <v>133</v>
      </c>
      <c r="B107" s="452" t="s">
        <v>3450</v>
      </c>
      <c r="C107" s="396" t="s">
        <v>3451</v>
      </c>
      <c r="D107" s="250" t="s">
        <v>201</v>
      </c>
      <c r="E107" s="352" t="s">
        <v>202</v>
      </c>
      <c r="F107" s="275">
        <v>24</v>
      </c>
      <c r="G107" s="222" t="s">
        <v>3452</v>
      </c>
      <c r="H107" s="396" t="s">
        <v>2615</v>
      </c>
      <c r="I107" s="7" t="s">
        <v>206</v>
      </c>
      <c r="J107" s="7" t="s">
        <v>3453</v>
      </c>
      <c r="K107" s="7" t="s">
        <v>3454</v>
      </c>
      <c r="L107" s="727" t="s">
        <v>3455</v>
      </c>
      <c r="M107" s="7"/>
      <c r="N107" s="355">
        <v>45729</v>
      </c>
      <c r="O107" s="327" t="s">
        <v>384</v>
      </c>
      <c r="P107" s="7" t="s">
        <v>242</v>
      </c>
      <c r="Q107" s="329">
        <v>0.02</v>
      </c>
      <c r="S107" s="282">
        <v>20.54</v>
      </c>
      <c r="U107" s="260">
        <v>46032</v>
      </c>
      <c r="V107" s="350" t="s">
        <v>429</v>
      </c>
      <c r="W107" s="329">
        <v>20.5</v>
      </c>
      <c r="X107" s="332" t="s">
        <v>23</v>
      </c>
      <c r="Y107" s="344"/>
      <c r="Z107" s="334"/>
      <c r="AA107" s="332"/>
      <c r="AB107" s="334">
        <f t="shared" si="15"/>
        <v>0.0599999999999987</v>
      </c>
      <c r="AC107" s="250" t="s">
        <v>213</v>
      </c>
      <c r="AD107" s="282">
        <v>20.54</v>
      </c>
      <c r="AF107" s="260">
        <v>46063</v>
      </c>
      <c r="AG107" s="251">
        <v>46072</v>
      </c>
      <c r="AH107" s="335">
        <v>21</v>
      </c>
      <c r="AI107" s="336" t="s">
        <v>23</v>
      </c>
      <c r="AJ107" s="345"/>
      <c r="AK107" s="338"/>
      <c r="AL107" s="339"/>
      <c r="AM107" s="338">
        <f t="shared" si="0"/>
        <v>-0.400000000000002</v>
      </c>
      <c r="AN107" s="340" t="s">
        <v>213</v>
      </c>
      <c r="AO107" s="282">
        <v>20.54</v>
      </c>
      <c r="AQ107" s="260">
        <v>46091</v>
      </c>
      <c r="AR107" s="340" t="s">
        <v>1724</v>
      </c>
      <c r="AS107" s="335">
        <v>21</v>
      </c>
      <c r="AT107" s="337" t="s">
        <v>23</v>
      </c>
      <c r="AU107" s="337"/>
      <c r="AV107" s="335"/>
      <c r="AW107" s="337"/>
      <c r="AX107" s="335">
        <f t="shared" si="1"/>
        <v>-0.860000000000003</v>
      </c>
      <c r="AY107" s="340" t="s">
        <v>213</v>
      </c>
      <c r="AZ107" s="282">
        <v>20.54</v>
      </c>
      <c r="BB107" s="260">
        <v>46122</v>
      </c>
      <c r="BC107" s="340" t="s">
        <v>3456</v>
      </c>
      <c r="BD107" s="335">
        <v>20.5</v>
      </c>
      <c r="BE107" s="337" t="s">
        <v>23</v>
      </c>
      <c r="BF107" s="337"/>
      <c r="BG107" s="335"/>
      <c r="BH107" s="337"/>
      <c r="BI107" s="335">
        <f t="shared" si="2"/>
        <v>-0.820000000000004</v>
      </c>
      <c r="BJ107" s="340"/>
      <c r="BK107" s="282">
        <v>20.54</v>
      </c>
      <c r="BM107" s="260">
        <v>46152</v>
      </c>
      <c r="BN107" s="340"/>
      <c r="BO107" s="335"/>
      <c r="BP107" s="337"/>
      <c r="BQ107" s="337"/>
      <c r="BR107" s="335"/>
      <c r="BS107" s="337"/>
      <c r="BT107" s="335">
        <f t="shared" si="3"/>
        <v>19.72</v>
      </c>
      <c r="BU107" s="340"/>
    </row>
    <row r="108" ht="13.95" spans="1:73">
      <c r="A108" s="451">
        <v>134</v>
      </c>
      <c r="B108" s="417" t="s">
        <v>3457</v>
      </c>
      <c r="C108" s="7" t="s">
        <v>3458</v>
      </c>
      <c r="D108" s="250" t="s">
        <v>201</v>
      </c>
      <c r="E108" s="352" t="s">
        <v>226</v>
      </c>
      <c r="F108" s="275">
        <v>36</v>
      </c>
      <c r="G108" s="222" t="s">
        <v>3459</v>
      </c>
      <c r="H108" s="7" t="s">
        <v>2615</v>
      </c>
      <c r="I108" s="7" t="s">
        <v>220</v>
      </c>
      <c r="J108" s="7" t="s">
        <v>3447</v>
      </c>
      <c r="K108" s="7" t="s">
        <v>3460</v>
      </c>
      <c r="L108" s="222" t="s">
        <v>3461</v>
      </c>
      <c r="M108" s="415" t="s">
        <v>3462</v>
      </c>
      <c r="N108" s="54">
        <v>45729</v>
      </c>
      <c r="O108" s="443" t="s">
        <v>3463</v>
      </c>
      <c r="P108" s="7" t="s">
        <v>242</v>
      </c>
      <c r="Q108" s="329">
        <v>0.8</v>
      </c>
      <c r="S108" s="282">
        <v>32.2</v>
      </c>
      <c r="T108" s="282">
        <v>4</v>
      </c>
      <c r="U108" s="385">
        <v>46042</v>
      </c>
      <c r="V108" s="331">
        <v>46047</v>
      </c>
      <c r="W108" s="329">
        <v>36</v>
      </c>
      <c r="X108" s="332" t="s">
        <v>23</v>
      </c>
      <c r="Y108" s="344"/>
      <c r="Z108" s="334"/>
      <c r="AA108" s="332"/>
      <c r="AB108" s="334">
        <f t="shared" ref="AB108:AB111" si="16">S108+T108-W108-Z108</f>
        <v>0.200000000000003</v>
      </c>
      <c r="AC108" s="250" t="s">
        <v>213</v>
      </c>
      <c r="AD108" s="282">
        <v>32.2</v>
      </c>
      <c r="AE108" s="282">
        <v>4</v>
      </c>
      <c r="AF108" s="385">
        <v>46073</v>
      </c>
      <c r="AG108" s="251">
        <v>46077</v>
      </c>
      <c r="AH108" s="335">
        <v>32</v>
      </c>
      <c r="AI108" s="336" t="s">
        <v>23</v>
      </c>
      <c r="AJ108" s="345"/>
      <c r="AK108" s="335">
        <v>4</v>
      </c>
      <c r="AL108" s="336" t="s">
        <v>23</v>
      </c>
      <c r="AM108" s="338">
        <f t="shared" si="0"/>
        <v>0.400000000000006</v>
      </c>
      <c r="AN108" s="340" t="s">
        <v>213</v>
      </c>
      <c r="AO108" s="282">
        <v>32.2</v>
      </c>
      <c r="AP108" s="282">
        <v>4</v>
      </c>
      <c r="AQ108" s="385">
        <v>46101</v>
      </c>
      <c r="AR108" s="340" t="s">
        <v>914</v>
      </c>
      <c r="AS108" s="335">
        <v>32</v>
      </c>
      <c r="AT108" s="337" t="s">
        <v>23</v>
      </c>
      <c r="AU108" s="337"/>
      <c r="AV108" s="335">
        <v>4</v>
      </c>
      <c r="AW108" s="337" t="s">
        <v>23</v>
      </c>
      <c r="AX108" s="335">
        <f t="shared" si="1"/>
        <v>0.600000000000009</v>
      </c>
      <c r="AY108" s="340" t="s">
        <v>213</v>
      </c>
      <c r="AZ108" s="282">
        <f>32.2+5</f>
        <v>37.2</v>
      </c>
      <c r="BA108" s="282">
        <v>4</v>
      </c>
      <c r="BB108" s="385">
        <v>46132</v>
      </c>
      <c r="BC108" s="340" t="s">
        <v>1062</v>
      </c>
      <c r="BD108" s="335">
        <v>42</v>
      </c>
      <c r="BE108" s="337" t="s">
        <v>23</v>
      </c>
      <c r="BF108" s="337"/>
      <c r="BG108" s="335"/>
      <c r="BH108" s="337"/>
      <c r="BI108" s="335">
        <f t="shared" si="2"/>
        <v>-0.199999999999989</v>
      </c>
      <c r="BJ108" s="340"/>
      <c r="BK108" s="282">
        <f>32.2</f>
        <v>32.2</v>
      </c>
      <c r="BL108" s="282">
        <v>4</v>
      </c>
      <c r="BM108" s="385">
        <v>46162</v>
      </c>
      <c r="BN108" s="340"/>
      <c r="BO108" s="335"/>
      <c r="BP108" s="337"/>
      <c r="BQ108" s="337"/>
      <c r="BR108" s="335"/>
      <c r="BS108" s="337"/>
      <c r="BT108" s="335">
        <f t="shared" si="3"/>
        <v>36</v>
      </c>
      <c r="BU108" s="340"/>
    </row>
    <row r="109" ht="13.95" spans="1:73">
      <c r="A109" s="453">
        <v>135</v>
      </c>
      <c r="B109" s="454" t="s">
        <v>3464</v>
      </c>
      <c r="C109" s="396" t="s">
        <v>3465</v>
      </c>
      <c r="D109" s="250" t="s">
        <v>201</v>
      </c>
      <c r="E109" s="397" t="s">
        <v>226</v>
      </c>
      <c r="F109" s="398">
        <v>24</v>
      </c>
      <c r="G109" s="400" t="s">
        <v>3466</v>
      </c>
      <c r="H109" s="396" t="s">
        <v>2615</v>
      </c>
      <c r="I109" s="396" t="s">
        <v>220</v>
      </c>
      <c r="J109" s="396" t="s">
        <v>3276</v>
      </c>
      <c r="K109" s="396" t="s">
        <v>3467</v>
      </c>
      <c r="L109" s="400" t="s">
        <v>3468</v>
      </c>
      <c r="M109" s="396" t="s">
        <v>3469</v>
      </c>
      <c r="N109" s="450">
        <v>45740</v>
      </c>
      <c r="O109" s="443" t="s">
        <v>384</v>
      </c>
      <c r="P109" s="396" t="s">
        <v>242</v>
      </c>
      <c r="Q109" s="329">
        <v>-19.68</v>
      </c>
      <c r="S109" s="282">
        <v>20.54</v>
      </c>
      <c r="U109" s="385">
        <v>45301</v>
      </c>
      <c r="V109" s="331">
        <v>46051</v>
      </c>
      <c r="W109" s="329">
        <v>20.54</v>
      </c>
      <c r="X109" s="332" t="s">
        <v>23</v>
      </c>
      <c r="Y109" s="344"/>
      <c r="Z109" s="334"/>
      <c r="AA109" s="332"/>
      <c r="AB109" s="334">
        <f t="shared" si="16"/>
        <v>0</v>
      </c>
      <c r="AC109" s="250" t="s">
        <v>213</v>
      </c>
      <c r="AD109" s="282">
        <f>20.54+24</f>
        <v>44.54</v>
      </c>
      <c r="AF109" s="385">
        <v>45332</v>
      </c>
      <c r="AG109" s="251">
        <v>46081</v>
      </c>
      <c r="AH109" s="335">
        <v>44.54</v>
      </c>
      <c r="AI109" s="336" t="s">
        <v>35</v>
      </c>
      <c r="AJ109" s="345"/>
      <c r="AK109" s="338"/>
      <c r="AL109" s="339"/>
      <c r="AM109" s="338">
        <f t="shared" si="0"/>
        <v>0</v>
      </c>
      <c r="AN109" s="340" t="s">
        <v>213</v>
      </c>
      <c r="AO109" s="282">
        <f>20.54+24</f>
        <v>44.54</v>
      </c>
      <c r="AQ109" s="385">
        <v>45361</v>
      </c>
      <c r="AR109" s="340" t="s">
        <v>386</v>
      </c>
      <c r="AS109" s="335">
        <f>23+21</f>
        <v>44</v>
      </c>
      <c r="AT109" s="337" t="s">
        <v>35</v>
      </c>
      <c r="AU109" s="337"/>
      <c r="AV109" s="335"/>
      <c r="AW109" s="337"/>
      <c r="AX109" s="335">
        <f t="shared" si="1"/>
        <v>0.539999999999999</v>
      </c>
      <c r="AY109" s="340" t="s">
        <v>213</v>
      </c>
      <c r="AZ109" s="282">
        <f>20.54</f>
        <v>20.54</v>
      </c>
      <c r="BB109" s="385">
        <v>45392</v>
      </c>
      <c r="BC109" s="340" t="s">
        <v>1182</v>
      </c>
      <c r="BD109" s="335">
        <v>23</v>
      </c>
      <c r="BE109" s="337" t="s">
        <v>35</v>
      </c>
      <c r="BF109" s="337"/>
      <c r="BG109" s="335"/>
      <c r="BH109" s="337"/>
      <c r="BI109" s="335">
        <f t="shared" si="2"/>
        <v>-1.92</v>
      </c>
      <c r="BJ109" s="340"/>
      <c r="BK109" s="282">
        <f>20.54</f>
        <v>20.54</v>
      </c>
      <c r="BM109" s="385">
        <v>45422</v>
      </c>
      <c r="BN109" s="340"/>
      <c r="BO109" s="335"/>
      <c r="BP109" s="337"/>
      <c r="BQ109" s="337"/>
      <c r="BR109" s="335"/>
      <c r="BS109" s="337"/>
      <c r="BT109" s="335">
        <f t="shared" si="3"/>
        <v>18.62</v>
      </c>
      <c r="BU109" s="340"/>
    </row>
    <row r="110" ht="13.2" spans="1:73">
      <c r="A110" s="451">
        <v>136</v>
      </c>
      <c r="B110" s="449" t="s">
        <v>3470</v>
      </c>
      <c r="C110" s="396" t="s">
        <v>3471</v>
      </c>
      <c r="D110" s="250" t="s">
        <v>201</v>
      </c>
      <c r="E110" s="397" t="s">
        <v>202</v>
      </c>
      <c r="F110" s="398">
        <v>24</v>
      </c>
      <c r="G110" s="400" t="s">
        <v>3472</v>
      </c>
      <c r="H110" s="396" t="s">
        <v>2615</v>
      </c>
      <c r="I110" s="396" t="s">
        <v>220</v>
      </c>
      <c r="J110" s="396" t="s">
        <v>3473</v>
      </c>
      <c r="K110" s="396" t="s">
        <v>3474</v>
      </c>
      <c r="L110" s="400" t="s">
        <v>3475</v>
      </c>
      <c r="M110" s="455" t="s">
        <v>3476</v>
      </c>
      <c r="N110" s="401">
        <v>45789</v>
      </c>
      <c r="O110" s="327" t="s">
        <v>384</v>
      </c>
      <c r="P110" s="396" t="s">
        <v>242</v>
      </c>
      <c r="Q110" s="329">
        <v>0</v>
      </c>
      <c r="S110" s="282">
        <v>20.54</v>
      </c>
      <c r="T110" s="282">
        <v>0</v>
      </c>
      <c r="U110" s="260">
        <v>46036</v>
      </c>
      <c r="V110" s="331">
        <v>46052</v>
      </c>
      <c r="W110" s="329">
        <v>20.54</v>
      </c>
      <c r="X110" s="332" t="s">
        <v>35</v>
      </c>
      <c r="Y110" s="344"/>
      <c r="Z110" s="334"/>
      <c r="AA110" s="332"/>
      <c r="AB110" s="334">
        <f t="shared" si="16"/>
        <v>0</v>
      </c>
      <c r="AC110" s="250" t="s">
        <v>213</v>
      </c>
      <c r="AD110" s="282">
        <v>20.54</v>
      </c>
      <c r="AE110" s="282">
        <v>0</v>
      </c>
      <c r="AF110" s="260">
        <v>46067</v>
      </c>
      <c r="AH110" s="338"/>
      <c r="AI110" s="339"/>
      <c r="AJ110" s="345"/>
      <c r="AK110" s="338"/>
      <c r="AL110" s="339"/>
      <c r="AM110" s="338">
        <f t="shared" si="0"/>
        <v>20.54</v>
      </c>
      <c r="AN110" s="340" t="s">
        <v>213</v>
      </c>
      <c r="AO110" s="282">
        <v>20.54</v>
      </c>
      <c r="AP110" s="282">
        <v>0</v>
      </c>
      <c r="AQ110" s="260">
        <v>46095</v>
      </c>
      <c r="AR110" s="340" t="s">
        <v>233</v>
      </c>
      <c r="AS110" s="335">
        <v>41.08</v>
      </c>
      <c r="AT110" s="337" t="s">
        <v>35</v>
      </c>
      <c r="AU110" s="337"/>
      <c r="AV110" s="335"/>
      <c r="AW110" s="337"/>
      <c r="AX110" s="335">
        <f t="shared" si="1"/>
        <v>0</v>
      </c>
      <c r="AY110" s="340" t="s">
        <v>213</v>
      </c>
      <c r="AZ110" s="282">
        <v>20.54</v>
      </c>
      <c r="BA110" s="282">
        <v>0</v>
      </c>
      <c r="BB110" s="260">
        <v>46126</v>
      </c>
      <c r="BC110" s="340" t="s">
        <v>1202</v>
      </c>
      <c r="BD110" s="335">
        <v>20.54</v>
      </c>
      <c r="BE110" s="337" t="s">
        <v>35</v>
      </c>
      <c r="BF110" s="337"/>
      <c r="BG110" s="335"/>
      <c r="BH110" s="337"/>
      <c r="BI110" s="335">
        <f t="shared" si="2"/>
        <v>0</v>
      </c>
      <c r="BJ110" s="340"/>
      <c r="BK110" s="282">
        <v>20.54</v>
      </c>
      <c r="BL110" s="282">
        <v>0</v>
      </c>
      <c r="BM110" s="260">
        <v>46156</v>
      </c>
      <c r="BN110" s="340"/>
      <c r="BO110" s="335"/>
      <c r="BP110" s="337"/>
      <c r="BQ110" s="337"/>
      <c r="BR110" s="335"/>
      <c r="BS110" s="337"/>
      <c r="BT110" s="335">
        <f t="shared" si="3"/>
        <v>20.54</v>
      </c>
      <c r="BU110" s="340"/>
    </row>
    <row r="111" ht="13.2" spans="1:73">
      <c r="A111" s="456">
        <v>137</v>
      </c>
      <c r="B111" s="417" t="s">
        <v>3477</v>
      </c>
      <c r="C111" s="7" t="s">
        <v>3478</v>
      </c>
      <c r="D111" s="250" t="s">
        <v>201</v>
      </c>
      <c r="E111" s="352" t="s">
        <v>226</v>
      </c>
      <c r="F111" s="275">
        <v>24</v>
      </c>
      <c r="G111" s="222"/>
      <c r="H111" s="7" t="s">
        <v>2615</v>
      </c>
      <c r="I111" s="7" t="s">
        <v>206</v>
      </c>
      <c r="J111" s="7" t="s">
        <v>3407</v>
      </c>
      <c r="K111" s="7"/>
      <c r="L111" s="60">
        <v>990767852</v>
      </c>
      <c r="M111" s="7"/>
      <c r="N111" s="355">
        <v>45789</v>
      </c>
      <c r="O111" s="327" t="s">
        <v>210</v>
      </c>
      <c r="P111" s="7" t="s">
        <v>242</v>
      </c>
      <c r="Q111" s="329">
        <v>0</v>
      </c>
      <c r="S111" s="282">
        <v>23</v>
      </c>
      <c r="U111" s="260">
        <v>46032</v>
      </c>
      <c r="V111" s="331">
        <v>46037</v>
      </c>
      <c r="W111" s="329">
        <v>23</v>
      </c>
      <c r="X111" s="332" t="s">
        <v>23</v>
      </c>
      <c r="Y111" s="344"/>
      <c r="Z111" s="334"/>
      <c r="AA111" s="332"/>
      <c r="AB111" s="334">
        <f t="shared" si="16"/>
        <v>0</v>
      </c>
      <c r="AC111" s="250" t="s">
        <v>213</v>
      </c>
      <c r="AD111" s="282">
        <v>23</v>
      </c>
      <c r="AF111" s="260">
        <v>46063</v>
      </c>
      <c r="AG111" s="251">
        <v>46071</v>
      </c>
      <c r="AH111" s="335">
        <v>23</v>
      </c>
      <c r="AI111" s="336" t="s">
        <v>23</v>
      </c>
      <c r="AJ111" s="345"/>
      <c r="AK111" s="338"/>
      <c r="AL111" s="339"/>
      <c r="AM111" s="338">
        <f t="shared" si="0"/>
        <v>0</v>
      </c>
      <c r="AN111" s="340" t="s">
        <v>213</v>
      </c>
      <c r="AO111" s="282">
        <v>23</v>
      </c>
      <c r="AQ111" s="260">
        <v>46091</v>
      </c>
      <c r="AR111" s="340" t="s">
        <v>467</v>
      </c>
      <c r="AS111" s="335">
        <v>23</v>
      </c>
      <c r="AT111" s="337" t="s">
        <v>23</v>
      </c>
      <c r="AU111" s="337"/>
      <c r="AV111" s="335"/>
      <c r="AW111" s="337"/>
      <c r="AX111" s="335">
        <f t="shared" si="1"/>
        <v>0</v>
      </c>
      <c r="AY111" s="340" t="s">
        <v>213</v>
      </c>
      <c r="AZ111" s="282">
        <v>23</v>
      </c>
      <c r="BB111" s="260">
        <v>46122</v>
      </c>
      <c r="BC111" s="340" t="s">
        <v>247</v>
      </c>
      <c r="BD111" s="335">
        <v>23</v>
      </c>
      <c r="BE111" s="337" t="s">
        <v>23</v>
      </c>
      <c r="BF111" s="337"/>
      <c r="BG111" s="335"/>
      <c r="BH111" s="337"/>
      <c r="BI111" s="335">
        <f t="shared" si="2"/>
        <v>0</v>
      </c>
      <c r="BJ111" s="340"/>
      <c r="BK111" s="282">
        <v>23</v>
      </c>
      <c r="BM111" s="260">
        <v>46152</v>
      </c>
      <c r="BN111" s="340"/>
      <c r="BO111" s="335"/>
      <c r="BP111" s="337"/>
      <c r="BQ111" s="337"/>
      <c r="BR111" s="335"/>
      <c r="BS111" s="337"/>
      <c r="BT111" s="335">
        <f t="shared" si="3"/>
        <v>23</v>
      </c>
      <c r="BU111" s="340"/>
    </row>
    <row r="112" ht="13.95" spans="1:73">
      <c r="A112" s="457">
        <v>138</v>
      </c>
      <c r="B112" s="458" t="s">
        <v>3479</v>
      </c>
      <c r="C112" s="439" t="s">
        <v>3480</v>
      </c>
      <c r="D112" s="250" t="s">
        <v>201</v>
      </c>
      <c r="E112" s="440" t="s">
        <v>226</v>
      </c>
      <c r="F112" s="441">
        <v>24</v>
      </c>
      <c r="G112" s="446" t="s">
        <v>3481</v>
      </c>
      <c r="H112" s="439" t="s">
        <v>2615</v>
      </c>
      <c r="I112" s="439" t="s">
        <v>206</v>
      </c>
      <c r="J112" s="439" t="s">
        <v>3264</v>
      </c>
      <c r="K112" s="439"/>
      <c r="L112" s="446" t="s">
        <v>3482</v>
      </c>
      <c r="M112" s="439"/>
      <c r="N112" s="459">
        <v>45804</v>
      </c>
      <c r="O112" s="443" t="s">
        <v>210</v>
      </c>
      <c r="P112" s="439" t="s">
        <v>242</v>
      </c>
      <c r="Q112" s="329">
        <v>-0.32</v>
      </c>
      <c r="S112" s="282">
        <f>23+10</f>
        <v>33</v>
      </c>
      <c r="U112" s="385">
        <v>46032</v>
      </c>
      <c r="V112" s="331">
        <v>46036</v>
      </c>
      <c r="W112" s="329">
        <v>33</v>
      </c>
      <c r="X112" s="332" t="s">
        <v>35</v>
      </c>
      <c r="Y112" s="344"/>
      <c r="Z112" s="334"/>
      <c r="AA112" s="332"/>
      <c r="AB112" s="334">
        <f>Q112+S112+T112-W112-Z112</f>
        <v>-0.32</v>
      </c>
      <c r="AC112" s="250" t="s">
        <v>213</v>
      </c>
      <c r="AD112" s="282">
        <v>23</v>
      </c>
      <c r="AF112" s="385">
        <v>46063</v>
      </c>
      <c r="AG112" s="251">
        <v>46063</v>
      </c>
      <c r="AH112" s="335">
        <v>33</v>
      </c>
      <c r="AI112" s="336" t="s">
        <v>23</v>
      </c>
      <c r="AJ112" s="345"/>
      <c r="AK112" s="338"/>
      <c r="AL112" s="339"/>
      <c r="AM112" s="338">
        <f t="shared" si="0"/>
        <v>-10.32</v>
      </c>
      <c r="AN112" s="340" t="s">
        <v>213</v>
      </c>
      <c r="AO112" s="282">
        <v>23</v>
      </c>
      <c r="AQ112" s="385">
        <v>46091</v>
      </c>
      <c r="AR112" s="340" t="s">
        <v>233</v>
      </c>
      <c r="AS112" s="335">
        <v>13</v>
      </c>
      <c r="AT112" s="337" t="s">
        <v>35</v>
      </c>
      <c r="AU112" s="337"/>
      <c r="AV112" s="335"/>
      <c r="AW112" s="337"/>
      <c r="AX112" s="335">
        <f t="shared" si="1"/>
        <v>-0.32</v>
      </c>
      <c r="AY112" s="340" t="s">
        <v>213</v>
      </c>
      <c r="AZ112" s="282">
        <v>23</v>
      </c>
      <c r="BB112" s="385">
        <v>46122</v>
      </c>
      <c r="BC112" s="340" t="s">
        <v>247</v>
      </c>
      <c r="BD112" s="335">
        <v>23</v>
      </c>
      <c r="BE112" s="337" t="s">
        <v>23</v>
      </c>
      <c r="BF112" s="337"/>
      <c r="BG112" s="335"/>
      <c r="BH112" s="337"/>
      <c r="BI112" s="335">
        <f t="shared" si="2"/>
        <v>-0.32</v>
      </c>
      <c r="BJ112" s="340"/>
      <c r="BK112" s="282">
        <v>23</v>
      </c>
      <c r="BM112" s="385">
        <v>46152</v>
      </c>
      <c r="BN112" s="340"/>
      <c r="BO112" s="335"/>
      <c r="BP112" s="337"/>
      <c r="BQ112" s="337"/>
      <c r="BR112" s="335"/>
      <c r="BS112" s="337"/>
      <c r="BT112" s="335">
        <f t="shared" si="3"/>
        <v>22.68</v>
      </c>
      <c r="BU112" s="340"/>
    </row>
    <row r="113" ht="13.95" spans="1:73">
      <c r="A113" s="457">
        <v>139</v>
      </c>
      <c r="B113" s="427" t="s">
        <v>3192</v>
      </c>
      <c r="C113" s="7" t="s">
        <v>3483</v>
      </c>
      <c r="D113" s="250" t="s">
        <v>201</v>
      </c>
      <c r="E113" s="352" t="s">
        <v>202</v>
      </c>
      <c r="F113" s="275">
        <v>24</v>
      </c>
      <c r="G113" s="222" t="s">
        <v>3194</v>
      </c>
      <c r="H113" s="7" t="s">
        <v>2615</v>
      </c>
      <c r="I113" s="7" t="s">
        <v>220</v>
      </c>
      <c r="J113" s="7" t="s">
        <v>3484</v>
      </c>
      <c r="K113" s="7" t="s">
        <v>3195</v>
      </c>
      <c r="L113" s="222" t="s">
        <v>3485</v>
      </c>
      <c r="M113" s="7"/>
      <c r="N113" s="54">
        <v>45816</v>
      </c>
      <c r="O113" s="327" t="s">
        <v>232</v>
      </c>
      <c r="P113" s="7" t="s">
        <v>242</v>
      </c>
      <c r="Q113" s="329">
        <v>0</v>
      </c>
      <c r="S113" s="282">
        <v>11.5</v>
      </c>
      <c r="U113" s="260">
        <v>46032</v>
      </c>
      <c r="V113" s="350" t="s">
        <v>385</v>
      </c>
      <c r="W113" s="329">
        <v>11.5</v>
      </c>
      <c r="X113" s="332" t="s">
        <v>35</v>
      </c>
      <c r="Y113" s="344"/>
      <c r="Z113" s="334"/>
      <c r="AA113" s="332"/>
      <c r="AB113" s="334">
        <f t="shared" ref="AB113:AB123" si="17">S113+T113-W113-Z113</f>
        <v>0</v>
      </c>
      <c r="AC113" s="250" t="s">
        <v>213</v>
      </c>
      <c r="AD113" s="282">
        <v>11.5</v>
      </c>
      <c r="AF113" s="260">
        <v>46063</v>
      </c>
      <c r="AG113" s="251">
        <v>46071</v>
      </c>
      <c r="AH113" s="335">
        <v>11.5</v>
      </c>
      <c r="AI113" s="336" t="s">
        <v>35</v>
      </c>
      <c r="AJ113" s="345"/>
      <c r="AK113" s="338"/>
      <c r="AL113" s="339"/>
      <c r="AM113" s="338">
        <f t="shared" si="0"/>
        <v>0</v>
      </c>
      <c r="AN113" s="340" t="s">
        <v>213</v>
      </c>
      <c r="AO113" s="282">
        <v>11.5</v>
      </c>
      <c r="AQ113" s="260">
        <v>46091</v>
      </c>
      <c r="AR113" s="340" t="s">
        <v>386</v>
      </c>
      <c r="AS113" s="335">
        <v>11.5</v>
      </c>
      <c r="AT113" s="337" t="s">
        <v>35</v>
      </c>
      <c r="AU113" s="337"/>
      <c r="AV113" s="335"/>
      <c r="AW113" s="337"/>
      <c r="AX113" s="335">
        <f t="shared" si="1"/>
        <v>0</v>
      </c>
      <c r="AY113" s="340" t="s">
        <v>213</v>
      </c>
      <c r="AZ113" s="282">
        <v>11.5</v>
      </c>
      <c r="BB113" s="260">
        <v>46122</v>
      </c>
      <c r="BC113" s="340" t="s">
        <v>321</v>
      </c>
      <c r="BD113" s="335">
        <v>11.5</v>
      </c>
      <c r="BE113" s="337" t="s">
        <v>35</v>
      </c>
      <c r="BF113" s="337"/>
      <c r="BG113" s="335"/>
      <c r="BH113" s="337"/>
      <c r="BI113" s="335">
        <f t="shared" si="2"/>
        <v>0</v>
      </c>
      <c r="BJ113" s="340"/>
      <c r="BK113" s="282">
        <v>11.5</v>
      </c>
      <c r="BM113" s="260">
        <v>46152</v>
      </c>
      <c r="BN113" s="340"/>
      <c r="BO113" s="335"/>
      <c r="BP113" s="337"/>
      <c r="BQ113" s="337"/>
      <c r="BR113" s="335"/>
      <c r="BS113" s="337"/>
      <c r="BT113" s="335">
        <f t="shared" si="3"/>
        <v>11.5</v>
      </c>
      <c r="BU113" s="340"/>
    </row>
    <row r="114" ht="13.95" spans="1:73">
      <c r="A114" s="426" t="s">
        <v>1369</v>
      </c>
      <c r="B114" s="7" t="s">
        <v>3486</v>
      </c>
      <c r="C114" s="7" t="s">
        <v>3487</v>
      </c>
      <c r="D114" s="250" t="s">
        <v>201</v>
      </c>
      <c r="E114" s="352" t="s">
        <v>226</v>
      </c>
      <c r="F114" s="275">
        <v>24</v>
      </c>
      <c r="G114" s="222" t="s">
        <v>3488</v>
      </c>
      <c r="H114" s="7" t="s">
        <v>2615</v>
      </c>
      <c r="I114" s="7" t="s">
        <v>220</v>
      </c>
      <c r="J114" s="7" t="s">
        <v>3489</v>
      </c>
      <c r="K114" s="7" t="s">
        <v>3490</v>
      </c>
      <c r="L114" s="222" t="s">
        <v>3491</v>
      </c>
      <c r="M114" s="7"/>
      <c r="N114" s="355">
        <v>45833</v>
      </c>
      <c r="O114" s="443" t="s">
        <v>210</v>
      </c>
      <c r="P114" s="7" t="s">
        <v>242</v>
      </c>
      <c r="Q114" s="329">
        <v>0</v>
      </c>
      <c r="S114" s="282">
        <v>23</v>
      </c>
      <c r="U114" s="385">
        <v>46043</v>
      </c>
      <c r="V114" s="331">
        <v>46048</v>
      </c>
      <c r="W114" s="329">
        <v>23</v>
      </c>
      <c r="X114" s="332" t="s">
        <v>23</v>
      </c>
      <c r="Y114" s="344"/>
      <c r="Z114" s="334"/>
      <c r="AA114" s="332"/>
      <c r="AB114" s="334">
        <f t="shared" si="17"/>
        <v>0</v>
      </c>
      <c r="AC114" s="250" t="s">
        <v>3492</v>
      </c>
      <c r="AD114" s="282">
        <v>23</v>
      </c>
      <c r="AF114" s="385">
        <v>46074</v>
      </c>
      <c r="AG114" s="251">
        <v>46077</v>
      </c>
      <c r="AH114" s="335">
        <v>23</v>
      </c>
      <c r="AI114" s="336" t="s">
        <v>23</v>
      </c>
      <c r="AJ114" s="337"/>
      <c r="AK114" s="335"/>
      <c r="AL114" s="336"/>
      <c r="AM114" s="335">
        <f t="shared" si="0"/>
        <v>0</v>
      </c>
      <c r="AN114" s="340" t="s">
        <v>3493</v>
      </c>
      <c r="AO114" s="282">
        <v>23</v>
      </c>
      <c r="AQ114" s="385">
        <v>46102</v>
      </c>
      <c r="AR114" s="340" t="s">
        <v>891</v>
      </c>
      <c r="AS114" s="335">
        <v>23</v>
      </c>
      <c r="AT114" s="337" t="s">
        <v>23</v>
      </c>
      <c r="AU114" s="337" t="s">
        <v>3494</v>
      </c>
      <c r="AV114" s="335"/>
      <c r="AW114" s="337"/>
      <c r="AX114" s="335">
        <f t="shared" si="1"/>
        <v>0</v>
      </c>
      <c r="AY114" s="340" t="s">
        <v>3495</v>
      </c>
      <c r="AZ114" s="282">
        <v>23</v>
      </c>
      <c r="BB114" s="385">
        <v>46133</v>
      </c>
      <c r="BC114" s="340" t="s">
        <v>223</v>
      </c>
      <c r="BD114" s="335">
        <v>23</v>
      </c>
      <c r="BE114" s="337" t="s">
        <v>23</v>
      </c>
      <c r="BF114" s="337"/>
      <c r="BG114" s="335"/>
      <c r="BH114" s="337"/>
      <c r="BI114" s="335">
        <f t="shared" si="2"/>
        <v>0</v>
      </c>
      <c r="BJ114" s="340" t="s">
        <v>3496</v>
      </c>
      <c r="BK114" s="282">
        <v>23</v>
      </c>
      <c r="BM114" s="385">
        <v>46163</v>
      </c>
      <c r="BN114" s="340"/>
      <c r="BO114" s="335"/>
      <c r="BP114" s="337"/>
      <c r="BQ114" s="337"/>
      <c r="BR114" s="335"/>
      <c r="BS114" s="337"/>
      <c r="BT114" s="335">
        <f t="shared" si="3"/>
        <v>23</v>
      </c>
      <c r="BU114" s="340"/>
    </row>
    <row r="115" ht="13.95" spans="1:73">
      <c r="A115" s="460" t="s">
        <v>1383</v>
      </c>
      <c r="B115" s="455" t="s">
        <v>3497</v>
      </c>
      <c r="C115" s="396" t="s">
        <v>3498</v>
      </c>
      <c r="D115" s="250" t="s">
        <v>201</v>
      </c>
      <c r="E115" s="397" t="s">
        <v>202</v>
      </c>
      <c r="F115" s="398">
        <v>24</v>
      </c>
      <c r="G115" s="400" t="s">
        <v>3499</v>
      </c>
      <c r="H115" s="396" t="s">
        <v>2615</v>
      </c>
      <c r="I115" s="396" t="s">
        <v>220</v>
      </c>
      <c r="J115" s="396" t="s">
        <v>3484</v>
      </c>
      <c r="K115" s="396" t="s">
        <v>3500</v>
      </c>
      <c r="L115" s="400" t="s">
        <v>3501</v>
      </c>
      <c r="M115" s="396"/>
      <c r="N115" s="450">
        <v>45839</v>
      </c>
      <c r="O115" s="461" t="s">
        <v>384</v>
      </c>
      <c r="P115" s="396" t="s">
        <v>242</v>
      </c>
      <c r="Q115" s="329">
        <v>0</v>
      </c>
      <c r="S115" s="282">
        <v>20.54</v>
      </c>
      <c r="U115" s="462">
        <v>46032</v>
      </c>
      <c r="V115" s="331">
        <v>46039</v>
      </c>
      <c r="W115" s="329">
        <v>20.54</v>
      </c>
      <c r="X115" s="332" t="s">
        <v>35</v>
      </c>
      <c r="Y115" s="344"/>
      <c r="Z115" s="334"/>
      <c r="AA115" s="332"/>
      <c r="AB115" s="334">
        <f t="shared" si="17"/>
        <v>0</v>
      </c>
      <c r="AC115" s="250" t="s">
        <v>3502</v>
      </c>
      <c r="AD115" s="282">
        <v>20.54</v>
      </c>
      <c r="AF115" s="462">
        <v>46063</v>
      </c>
      <c r="AG115" s="251">
        <v>46077</v>
      </c>
      <c r="AH115" s="335">
        <v>20.54</v>
      </c>
      <c r="AI115" s="336" t="s">
        <v>35</v>
      </c>
      <c r="AJ115" s="337"/>
      <c r="AK115" s="335"/>
      <c r="AL115" s="336"/>
      <c r="AM115" s="335">
        <f t="shared" si="0"/>
        <v>0</v>
      </c>
      <c r="AN115" s="340" t="s">
        <v>3503</v>
      </c>
      <c r="AO115" s="282">
        <v>20.54</v>
      </c>
      <c r="AQ115" s="462">
        <v>46091</v>
      </c>
      <c r="AR115" s="340" t="s">
        <v>748</v>
      </c>
      <c r="AS115" s="335">
        <v>20.54</v>
      </c>
      <c r="AT115" s="337" t="s">
        <v>35</v>
      </c>
      <c r="AU115" s="337"/>
      <c r="AV115" s="335"/>
      <c r="AW115" s="337"/>
      <c r="AX115" s="335">
        <f t="shared" si="1"/>
        <v>0</v>
      </c>
      <c r="AY115" s="340" t="s">
        <v>3504</v>
      </c>
      <c r="AZ115" s="282">
        <v>20.54</v>
      </c>
      <c r="BB115" s="462">
        <v>46122</v>
      </c>
      <c r="BC115" s="340" t="s">
        <v>321</v>
      </c>
      <c r="BD115" s="335">
        <v>20.54</v>
      </c>
      <c r="BE115" s="337" t="s">
        <v>35</v>
      </c>
      <c r="BF115" s="337"/>
      <c r="BG115" s="335"/>
      <c r="BH115" s="337"/>
      <c r="BI115" s="335">
        <f t="shared" si="2"/>
        <v>0</v>
      </c>
      <c r="BJ115" s="340" t="s">
        <v>3505</v>
      </c>
      <c r="BK115" s="282">
        <v>20.54</v>
      </c>
      <c r="BM115" s="462">
        <v>46152</v>
      </c>
      <c r="BN115" s="340"/>
      <c r="BO115" s="335"/>
      <c r="BP115" s="337"/>
      <c r="BQ115" s="337"/>
      <c r="BR115" s="335"/>
      <c r="BS115" s="337"/>
      <c r="BT115" s="335">
        <f t="shared" si="3"/>
        <v>20.54</v>
      </c>
      <c r="BU115" s="340"/>
    </row>
    <row r="116" ht="13.95" spans="1:73">
      <c r="A116" s="463">
        <v>142</v>
      </c>
      <c r="B116" s="464" t="s">
        <v>3506</v>
      </c>
      <c r="C116" s="307" t="s">
        <v>3507</v>
      </c>
      <c r="D116" s="250" t="s">
        <v>201</v>
      </c>
      <c r="E116" s="465" t="s">
        <v>226</v>
      </c>
      <c r="F116" s="466">
        <v>24</v>
      </c>
      <c r="G116" s="467" t="s">
        <v>3508</v>
      </c>
      <c r="H116" s="307" t="s">
        <v>2615</v>
      </c>
      <c r="I116" s="307" t="s">
        <v>220</v>
      </c>
      <c r="J116" s="307" t="s">
        <v>3509</v>
      </c>
      <c r="K116" s="307" t="s">
        <v>3510</v>
      </c>
      <c r="L116" s="467" t="s">
        <v>3511</v>
      </c>
      <c r="M116" s="307"/>
      <c r="N116" s="468">
        <v>45879</v>
      </c>
      <c r="O116" s="327" t="s">
        <v>384</v>
      </c>
      <c r="P116" s="307" t="s">
        <v>242</v>
      </c>
      <c r="Q116" s="329">
        <v>0</v>
      </c>
      <c r="S116" s="282">
        <v>20.54</v>
      </c>
      <c r="U116" s="260">
        <v>46032</v>
      </c>
      <c r="V116" s="331">
        <v>46039</v>
      </c>
      <c r="W116" s="329">
        <v>20.54</v>
      </c>
      <c r="X116" s="332" t="s">
        <v>23</v>
      </c>
      <c r="Y116" s="333">
        <v>120491</v>
      </c>
      <c r="Z116" s="334"/>
      <c r="AA116" s="332"/>
      <c r="AB116" s="334">
        <f t="shared" si="17"/>
        <v>0</v>
      </c>
      <c r="AC116" s="250" t="s">
        <v>213</v>
      </c>
      <c r="AD116" s="282">
        <v>20.54</v>
      </c>
      <c r="AF116" s="260">
        <v>46063</v>
      </c>
      <c r="AG116" s="251">
        <v>46059</v>
      </c>
      <c r="AH116" s="335">
        <v>20.54</v>
      </c>
      <c r="AI116" s="336" t="s">
        <v>23</v>
      </c>
      <c r="AJ116" s="337" t="s">
        <v>3512</v>
      </c>
      <c r="AK116" s="338"/>
      <c r="AL116" s="339"/>
      <c r="AM116" s="338">
        <f t="shared" si="0"/>
        <v>0</v>
      </c>
      <c r="AN116" s="340" t="s">
        <v>213</v>
      </c>
      <c r="AO116" s="282">
        <v>20.54</v>
      </c>
      <c r="AQ116" s="260">
        <v>46091</v>
      </c>
      <c r="AR116" s="340" t="s">
        <v>840</v>
      </c>
      <c r="AS116" s="335">
        <v>20.54</v>
      </c>
      <c r="AT116" s="337" t="s">
        <v>23</v>
      </c>
      <c r="AU116" s="337"/>
      <c r="AV116" s="335"/>
      <c r="AW116" s="337"/>
      <c r="AX116" s="335">
        <f t="shared" si="1"/>
        <v>0</v>
      </c>
      <c r="AY116" s="340" t="s">
        <v>213</v>
      </c>
      <c r="AZ116" s="282">
        <v>20.54</v>
      </c>
      <c r="BB116" s="260">
        <v>46122</v>
      </c>
      <c r="BC116" s="340" t="s">
        <v>905</v>
      </c>
      <c r="BD116" s="335">
        <v>20.54</v>
      </c>
      <c r="BE116" s="337" t="s">
        <v>23</v>
      </c>
      <c r="BF116" s="337" t="s">
        <v>3513</v>
      </c>
      <c r="BG116" s="335"/>
      <c r="BH116" s="337"/>
      <c r="BI116" s="335">
        <f t="shared" si="2"/>
        <v>0</v>
      </c>
      <c r="BJ116" s="340"/>
      <c r="BK116" s="282">
        <v>20.54</v>
      </c>
      <c r="BM116" s="260">
        <v>46152</v>
      </c>
      <c r="BN116" s="340"/>
      <c r="BO116" s="335"/>
      <c r="BP116" s="337"/>
      <c r="BQ116" s="337"/>
      <c r="BR116" s="335"/>
      <c r="BS116" s="337"/>
      <c r="BT116" s="335">
        <f t="shared" si="3"/>
        <v>20.54</v>
      </c>
      <c r="BU116" s="340"/>
    </row>
    <row r="117" ht="13.95" spans="1:73">
      <c r="A117" s="457">
        <v>143</v>
      </c>
      <c r="B117" s="454" t="s">
        <v>3514</v>
      </c>
      <c r="C117" s="7" t="s">
        <v>3515</v>
      </c>
      <c r="D117" s="250" t="s">
        <v>201</v>
      </c>
      <c r="E117" s="352" t="s">
        <v>226</v>
      </c>
      <c r="F117" s="275">
        <v>12</v>
      </c>
      <c r="G117" s="222" t="s">
        <v>3516</v>
      </c>
      <c r="H117" s="7" t="s">
        <v>2615</v>
      </c>
      <c r="I117" s="7" t="s">
        <v>220</v>
      </c>
      <c r="J117" s="7" t="s">
        <v>3517</v>
      </c>
      <c r="K117" s="7" t="s">
        <v>3518</v>
      </c>
      <c r="L117" s="7" t="s">
        <v>3519</v>
      </c>
      <c r="M117" s="7"/>
      <c r="N117" s="54">
        <v>45883</v>
      </c>
      <c r="O117" s="327" t="s">
        <v>384</v>
      </c>
      <c r="P117" s="7" t="s">
        <v>242</v>
      </c>
      <c r="Q117" s="329">
        <v>0</v>
      </c>
      <c r="S117" s="282">
        <v>20.54</v>
      </c>
      <c r="U117" s="260">
        <v>46032</v>
      </c>
      <c r="V117" s="331">
        <v>46357</v>
      </c>
      <c r="W117" s="329">
        <v>20.54</v>
      </c>
      <c r="X117" s="332" t="s">
        <v>23</v>
      </c>
      <c r="Y117" s="344"/>
      <c r="Z117" s="334"/>
      <c r="AA117" s="332"/>
      <c r="AB117" s="334">
        <f t="shared" si="17"/>
        <v>0</v>
      </c>
      <c r="AC117" s="250" t="s">
        <v>3520</v>
      </c>
      <c r="AD117" s="282">
        <v>20.54</v>
      </c>
      <c r="AF117" s="260">
        <v>46063</v>
      </c>
      <c r="AG117" s="251">
        <v>46056</v>
      </c>
      <c r="AH117" s="335">
        <v>20.54</v>
      </c>
      <c r="AI117" s="336" t="s">
        <v>23</v>
      </c>
      <c r="AJ117" s="337"/>
      <c r="AK117" s="335"/>
      <c r="AL117" s="336"/>
      <c r="AM117" s="335">
        <f t="shared" si="0"/>
        <v>0</v>
      </c>
      <c r="AN117" s="340" t="s">
        <v>3521</v>
      </c>
      <c r="AO117" s="282">
        <v>20.54</v>
      </c>
      <c r="AQ117" s="260">
        <v>46091</v>
      </c>
      <c r="AR117" s="340" t="s">
        <v>3522</v>
      </c>
      <c r="AS117" s="335">
        <v>20.54</v>
      </c>
      <c r="AT117" s="337" t="s">
        <v>23</v>
      </c>
      <c r="AU117" s="337"/>
      <c r="AV117" s="335"/>
      <c r="AW117" s="337"/>
      <c r="AX117" s="335">
        <f t="shared" si="1"/>
        <v>0</v>
      </c>
      <c r="AY117" s="340" t="s">
        <v>3523</v>
      </c>
      <c r="AZ117" s="282">
        <v>20.54</v>
      </c>
      <c r="BB117" s="260">
        <v>46122</v>
      </c>
      <c r="BC117" s="340" t="s">
        <v>1381</v>
      </c>
      <c r="BD117" s="335">
        <v>20.54</v>
      </c>
      <c r="BE117" s="337" t="s">
        <v>23</v>
      </c>
      <c r="BF117" s="337"/>
      <c r="BG117" s="335"/>
      <c r="BH117" s="337"/>
      <c r="BI117" s="335">
        <f t="shared" si="2"/>
        <v>0</v>
      </c>
      <c r="BJ117" s="340" t="s">
        <v>3524</v>
      </c>
      <c r="BK117" s="282">
        <v>20.54</v>
      </c>
      <c r="BM117" s="260">
        <v>46152</v>
      </c>
      <c r="BN117" s="340"/>
      <c r="BO117" s="335"/>
      <c r="BP117" s="337"/>
      <c r="BQ117" s="337"/>
      <c r="BR117" s="335"/>
      <c r="BS117" s="337"/>
      <c r="BT117" s="335">
        <f t="shared" si="3"/>
        <v>20.54</v>
      </c>
      <c r="BU117" s="340"/>
    </row>
    <row r="118" ht="13.95" spans="1:73">
      <c r="A118" s="469">
        <v>144</v>
      </c>
      <c r="B118" s="298" t="s">
        <v>3525</v>
      </c>
      <c r="C118" s="7" t="s">
        <v>3526</v>
      </c>
      <c r="D118" s="250" t="s">
        <v>1704</v>
      </c>
      <c r="E118" s="352" t="s">
        <v>202</v>
      </c>
      <c r="F118" s="275">
        <v>24</v>
      </c>
      <c r="G118" s="222" t="s">
        <v>3527</v>
      </c>
      <c r="H118" s="7" t="s">
        <v>2615</v>
      </c>
      <c r="I118" s="7" t="s">
        <v>220</v>
      </c>
      <c r="J118" s="7" t="s">
        <v>3118</v>
      </c>
      <c r="K118" s="7" t="s">
        <v>3528</v>
      </c>
      <c r="L118" s="222" t="s">
        <v>3529</v>
      </c>
      <c r="M118" s="7" t="s">
        <v>3530</v>
      </c>
      <c r="N118" s="54">
        <v>45887</v>
      </c>
      <c r="O118" s="461" t="s">
        <v>384</v>
      </c>
      <c r="P118" s="7" t="s">
        <v>242</v>
      </c>
      <c r="Q118" s="329">
        <v>59.54</v>
      </c>
      <c r="S118" s="282">
        <v>10</v>
      </c>
      <c r="U118" s="462">
        <v>46032</v>
      </c>
      <c r="V118" s="350"/>
      <c r="W118" s="334"/>
      <c r="X118" s="332"/>
      <c r="Y118" s="344"/>
      <c r="Z118" s="334"/>
      <c r="AA118" s="332"/>
      <c r="AB118" s="334">
        <f t="shared" si="17"/>
        <v>10</v>
      </c>
      <c r="AC118" s="250" t="s">
        <v>213</v>
      </c>
      <c r="AD118" s="282">
        <v>10</v>
      </c>
      <c r="AF118" s="462">
        <v>46063</v>
      </c>
      <c r="AH118" s="338"/>
      <c r="AI118" s="339"/>
      <c r="AJ118" s="345"/>
      <c r="AK118" s="338"/>
      <c r="AL118" s="339"/>
      <c r="AM118" s="338">
        <f t="shared" si="0"/>
        <v>20</v>
      </c>
      <c r="AN118" s="340" t="s">
        <v>213</v>
      </c>
      <c r="AO118" s="282">
        <v>10</v>
      </c>
      <c r="AQ118" s="462">
        <v>46091</v>
      </c>
      <c r="AR118" s="340"/>
      <c r="AS118" s="335"/>
      <c r="AT118" s="337"/>
      <c r="AU118" s="337"/>
      <c r="AV118" s="335"/>
      <c r="AW118" s="337"/>
      <c r="AX118" s="335">
        <f t="shared" si="1"/>
        <v>30</v>
      </c>
      <c r="AY118" s="340" t="s">
        <v>213</v>
      </c>
      <c r="AZ118" s="282">
        <v>10</v>
      </c>
      <c r="BB118" s="462">
        <v>46122</v>
      </c>
      <c r="BC118" s="340"/>
      <c r="BD118" s="335"/>
      <c r="BE118" s="337"/>
      <c r="BF118" s="337"/>
      <c r="BG118" s="335"/>
      <c r="BH118" s="337"/>
      <c r="BI118" s="335">
        <f t="shared" si="2"/>
        <v>40</v>
      </c>
      <c r="BJ118" s="340"/>
      <c r="BK118" s="282">
        <v>10</v>
      </c>
      <c r="BM118" s="462">
        <v>46152</v>
      </c>
      <c r="BN118" s="340"/>
      <c r="BO118" s="335"/>
      <c r="BP118" s="337"/>
      <c r="BQ118" s="337"/>
      <c r="BR118" s="335"/>
      <c r="BS118" s="337"/>
      <c r="BT118" s="335">
        <f t="shared" si="3"/>
        <v>50</v>
      </c>
      <c r="BU118" s="340"/>
    </row>
    <row r="119" ht="13.2" spans="1:73">
      <c r="A119" s="470">
        <v>145</v>
      </c>
      <c r="B119" s="471" t="s">
        <v>3531</v>
      </c>
      <c r="C119" s="307" t="s">
        <v>3532</v>
      </c>
      <c r="D119" s="250" t="s">
        <v>201</v>
      </c>
      <c r="E119" s="465" t="s">
        <v>202</v>
      </c>
      <c r="F119" s="466">
        <v>24</v>
      </c>
      <c r="G119" s="467" t="s">
        <v>3533</v>
      </c>
      <c r="H119" s="307" t="s">
        <v>2615</v>
      </c>
      <c r="I119" s="307" t="s">
        <v>220</v>
      </c>
      <c r="J119" s="307" t="s">
        <v>3118</v>
      </c>
      <c r="K119" s="307" t="s">
        <v>3534</v>
      </c>
      <c r="L119" s="467" t="s">
        <v>3535</v>
      </c>
      <c r="M119" s="307"/>
      <c r="N119" s="468">
        <v>45904</v>
      </c>
      <c r="O119" s="327" t="s">
        <v>384</v>
      </c>
      <c r="P119" s="307" t="s">
        <v>242</v>
      </c>
      <c r="Q119" s="329">
        <v>0</v>
      </c>
      <c r="S119" s="282">
        <v>20.54</v>
      </c>
      <c r="U119" s="260">
        <v>46032</v>
      </c>
      <c r="V119" s="331">
        <v>46029</v>
      </c>
      <c r="W119" s="329">
        <v>20.54</v>
      </c>
      <c r="X119" s="332" t="s">
        <v>23</v>
      </c>
      <c r="Y119" s="333">
        <v>117686</v>
      </c>
      <c r="Z119" s="334"/>
      <c r="AA119" s="332"/>
      <c r="AB119" s="334">
        <f t="shared" si="17"/>
        <v>0</v>
      </c>
      <c r="AC119" s="250" t="s">
        <v>3536</v>
      </c>
      <c r="AD119" s="282">
        <v>20.54</v>
      </c>
      <c r="AF119" s="260">
        <v>46063</v>
      </c>
      <c r="AG119" s="251">
        <v>46059</v>
      </c>
      <c r="AH119" s="335">
        <v>20.54</v>
      </c>
      <c r="AI119" s="336" t="s">
        <v>23</v>
      </c>
      <c r="AJ119" s="337" t="s">
        <v>3537</v>
      </c>
      <c r="AK119" s="335"/>
      <c r="AL119" s="336"/>
      <c r="AM119" s="335">
        <f t="shared" si="0"/>
        <v>0</v>
      </c>
      <c r="AN119" s="340" t="s">
        <v>3538</v>
      </c>
      <c r="AO119" s="282">
        <v>20.54</v>
      </c>
      <c r="AQ119" s="260">
        <v>46091</v>
      </c>
      <c r="AR119" s="340" t="s">
        <v>467</v>
      </c>
      <c r="AS119" s="335">
        <v>20.54</v>
      </c>
      <c r="AT119" s="337" t="s">
        <v>23</v>
      </c>
      <c r="AU119" s="337"/>
      <c r="AV119" s="335"/>
      <c r="AW119" s="337"/>
      <c r="AX119" s="335">
        <f t="shared" si="1"/>
        <v>0</v>
      </c>
      <c r="AY119" s="340" t="s">
        <v>3539</v>
      </c>
      <c r="AZ119" s="282">
        <v>20.54</v>
      </c>
      <c r="BB119" s="260">
        <v>46122</v>
      </c>
      <c r="BC119" s="340" t="s">
        <v>905</v>
      </c>
      <c r="BD119" s="335">
        <v>20.54</v>
      </c>
      <c r="BE119" s="337" t="s">
        <v>23</v>
      </c>
      <c r="BF119" s="337" t="s">
        <v>3540</v>
      </c>
      <c r="BG119" s="335"/>
      <c r="BH119" s="337"/>
      <c r="BI119" s="335">
        <f t="shared" si="2"/>
        <v>0</v>
      </c>
      <c r="BJ119" s="340" t="s">
        <v>3541</v>
      </c>
      <c r="BK119" s="282">
        <v>20.54</v>
      </c>
      <c r="BM119" s="260">
        <v>46152</v>
      </c>
      <c r="BN119" s="340"/>
      <c r="BO119" s="335"/>
      <c r="BP119" s="337"/>
      <c r="BQ119" s="337"/>
      <c r="BR119" s="335"/>
      <c r="BS119" s="337"/>
      <c r="BT119" s="335">
        <f t="shared" si="3"/>
        <v>20.54</v>
      </c>
      <c r="BU119" s="340"/>
    </row>
    <row r="120" ht="13.8" spans="1:73">
      <c r="A120" s="472">
        <v>146</v>
      </c>
      <c r="B120" s="473" t="s">
        <v>3542</v>
      </c>
      <c r="C120" s="474" t="s">
        <v>3543</v>
      </c>
      <c r="D120" s="250" t="s">
        <v>201</v>
      </c>
      <c r="E120" s="475" t="s">
        <v>226</v>
      </c>
      <c r="F120" s="476">
        <v>24</v>
      </c>
      <c r="G120" s="477" t="s">
        <v>3544</v>
      </c>
      <c r="H120" s="474" t="s">
        <v>2615</v>
      </c>
      <c r="I120" s="474" t="s">
        <v>220</v>
      </c>
      <c r="J120" s="474" t="s">
        <v>3447</v>
      </c>
      <c r="K120" s="474" t="s">
        <v>3545</v>
      </c>
      <c r="L120" s="477" t="s">
        <v>3546</v>
      </c>
      <c r="M120" s="7"/>
      <c r="N120" s="478">
        <v>45913</v>
      </c>
      <c r="O120" s="479" t="s">
        <v>384</v>
      </c>
      <c r="P120" s="474" t="s">
        <v>242</v>
      </c>
      <c r="Q120" s="329">
        <v>0</v>
      </c>
      <c r="S120" s="282">
        <v>20.54</v>
      </c>
      <c r="U120" s="480">
        <v>46032</v>
      </c>
      <c r="V120" s="350" t="s">
        <v>429</v>
      </c>
      <c r="W120" s="329">
        <v>20.54</v>
      </c>
      <c r="X120" s="332" t="s">
        <v>35</v>
      </c>
      <c r="Y120" s="344"/>
      <c r="Z120" s="334"/>
      <c r="AA120" s="332"/>
      <c r="AB120" s="334">
        <f t="shared" si="17"/>
        <v>0</v>
      </c>
      <c r="AC120" s="250" t="s">
        <v>213</v>
      </c>
      <c r="AD120" s="282">
        <v>20.54</v>
      </c>
      <c r="AF120" s="480">
        <v>46063</v>
      </c>
      <c r="AG120" s="251">
        <v>46081</v>
      </c>
      <c r="AH120" s="335">
        <v>20.54</v>
      </c>
      <c r="AI120" s="336" t="s">
        <v>35</v>
      </c>
      <c r="AJ120" s="345"/>
      <c r="AK120" s="338"/>
      <c r="AL120" s="339"/>
      <c r="AM120" s="338">
        <f t="shared" si="0"/>
        <v>0</v>
      </c>
      <c r="AN120" s="340" t="s">
        <v>213</v>
      </c>
      <c r="AO120" s="282">
        <v>20.54</v>
      </c>
      <c r="AQ120" s="480">
        <v>46091</v>
      </c>
      <c r="AR120" s="340" t="s">
        <v>582</v>
      </c>
      <c r="AS120" s="335">
        <v>20.54</v>
      </c>
      <c r="AT120" s="337" t="s">
        <v>35</v>
      </c>
      <c r="AU120" s="337"/>
      <c r="AV120" s="335"/>
      <c r="AW120" s="337"/>
      <c r="AX120" s="335">
        <f t="shared" si="1"/>
        <v>0</v>
      </c>
      <c r="AY120" s="340" t="s">
        <v>213</v>
      </c>
      <c r="AZ120" s="282">
        <v>20.54</v>
      </c>
      <c r="BB120" s="480">
        <v>46122</v>
      </c>
      <c r="BC120" s="340" t="s">
        <v>905</v>
      </c>
      <c r="BD120" s="335">
        <v>20.54</v>
      </c>
      <c r="BE120" s="337" t="s">
        <v>23</v>
      </c>
      <c r="BF120" s="337"/>
      <c r="BG120" s="335"/>
      <c r="BH120" s="337"/>
      <c r="BI120" s="335">
        <f t="shared" si="2"/>
        <v>0</v>
      </c>
      <c r="BJ120" s="340"/>
      <c r="BK120" s="282">
        <v>20.54</v>
      </c>
      <c r="BM120" s="480">
        <v>46152</v>
      </c>
      <c r="BN120" s="340"/>
      <c r="BO120" s="335"/>
      <c r="BP120" s="337"/>
      <c r="BQ120" s="337"/>
      <c r="BR120" s="335"/>
      <c r="BS120" s="337"/>
      <c r="BT120" s="335">
        <f t="shared" si="3"/>
        <v>20.54</v>
      </c>
      <c r="BU120" s="340"/>
    </row>
    <row r="121" ht="13.2" spans="1:73">
      <c r="A121" s="352" t="s">
        <v>1439</v>
      </c>
      <c r="B121" s="7" t="s">
        <v>3547</v>
      </c>
      <c r="C121" s="7" t="s">
        <v>3548</v>
      </c>
      <c r="D121" s="250" t="s">
        <v>201</v>
      </c>
      <c r="E121" s="352" t="s">
        <v>226</v>
      </c>
      <c r="F121" s="275">
        <v>24</v>
      </c>
      <c r="G121" s="222" t="s">
        <v>3549</v>
      </c>
      <c r="H121" s="7" t="s">
        <v>2615</v>
      </c>
      <c r="I121" s="7" t="s">
        <v>220</v>
      </c>
      <c r="J121" s="7" t="s">
        <v>3550</v>
      </c>
      <c r="K121" s="7" t="s">
        <v>3551</v>
      </c>
      <c r="L121" s="222" t="s">
        <v>3552</v>
      </c>
      <c r="M121" s="7"/>
      <c r="N121" s="355">
        <v>45925</v>
      </c>
      <c r="O121" s="327" t="s">
        <v>384</v>
      </c>
      <c r="P121" s="7" t="s">
        <v>242</v>
      </c>
      <c r="Q121" s="329">
        <v>0</v>
      </c>
      <c r="S121" s="282">
        <v>20.54</v>
      </c>
      <c r="U121" s="260">
        <v>46032</v>
      </c>
      <c r="V121" s="331">
        <v>46034</v>
      </c>
      <c r="W121" s="329">
        <v>20.54</v>
      </c>
      <c r="X121" s="332" t="s">
        <v>35</v>
      </c>
      <c r="Y121" s="344"/>
      <c r="Z121" s="334"/>
      <c r="AA121" s="332"/>
      <c r="AB121" s="334">
        <f t="shared" si="17"/>
        <v>0</v>
      </c>
      <c r="AC121" s="250" t="s">
        <v>3553</v>
      </c>
      <c r="AD121" s="282">
        <v>20.54</v>
      </c>
      <c r="AF121" s="260">
        <v>46063</v>
      </c>
      <c r="AG121" s="251">
        <v>46063</v>
      </c>
      <c r="AH121" s="335">
        <v>20.54</v>
      </c>
      <c r="AI121" s="336" t="s">
        <v>35</v>
      </c>
      <c r="AJ121" s="337"/>
      <c r="AK121" s="335"/>
      <c r="AL121" s="336"/>
      <c r="AM121" s="335">
        <f t="shared" si="0"/>
        <v>0</v>
      </c>
      <c r="AN121" s="340" t="s">
        <v>3554</v>
      </c>
      <c r="AO121" s="282">
        <v>20.54</v>
      </c>
      <c r="AQ121" s="260">
        <v>46091</v>
      </c>
      <c r="AR121" s="340" t="s">
        <v>498</v>
      </c>
      <c r="AS121" s="335">
        <v>20.54</v>
      </c>
      <c r="AT121" s="337" t="s">
        <v>35</v>
      </c>
      <c r="AU121" s="337"/>
      <c r="AV121" s="335"/>
      <c r="AW121" s="337"/>
      <c r="AX121" s="335">
        <f t="shared" si="1"/>
        <v>0</v>
      </c>
      <c r="AY121" s="340" t="s">
        <v>3555</v>
      </c>
      <c r="AZ121" s="282">
        <v>20.54</v>
      </c>
      <c r="BB121" s="260">
        <v>46122</v>
      </c>
      <c r="BC121" s="340" t="s">
        <v>1202</v>
      </c>
      <c r="BD121" s="335">
        <v>20.54</v>
      </c>
      <c r="BE121" s="337" t="s">
        <v>35</v>
      </c>
      <c r="BF121" s="337"/>
      <c r="BG121" s="335"/>
      <c r="BH121" s="337"/>
      <c r="BI121" s="335">
        <f t="shared" si="2"/>
        <v>0</v>
      </c>
      <c r="BJ121" s="340" t="s">
        <v>3556</v>
      </c>
      <c r="BK121" s="282">
        <v>20.54</v>
      </c>
      <c r="BM121" s="260">
        <v>46152</v>
      </c>
      <c r="BN121" s="340"/>
      <c r="BO121" s="335"/>
      <c r="BP121" s="337"/>
      <c r="BQ121" s="337"/>
      <c r="BR121" s="335"/>
      <c r="BS121" s="337"/>
      <c r="BT121" s="335">
        <f t="shared" si="3"/>
        <v>20.54</v>
      </c>
      <c r="BU121" s="340"/>
    </row>
    <row r="122" ht="13.2" spans="1:73">
      <c r="A122" s="275">
        <v>148</v>
      </c>
      <c r="B122" s="7" t="s">
        <v>1982</v>
      </c>
      <c r="C122" s="7" t="s">
        <v>3557</v>
      </c>
      <c r="D122" s="250" t="s">
        <v>988</v>
      </c>
      <c r="E122" s="352" t="s">
        <v>202</v>
      </c>
      <c r="F122" s="275">
        <v>12</v>
      </c>
      <c r="G122" s="222" t="s">
        <v>1984</v>
      </c>
      <c r="H122" s="7" t="s">
        <v>2615</v>
      </c>
      <c r="I122" s="7" t="s">
        <v>206</v>
      </c>
      <c r="J122" s="7" t="s">
        <v>3558</v>
      </c>
      <c r="K122" s="7"/>
      <c r="L122" s="222" t="s">
        <v>1985</v>
      </c>
      <c r="M122" s="7"/>
      <c r="N122" s="54">
        <v>45901</v>
      </c>
      <c r="O122" s="327" t="s">
        <v>232</v>
      </c>
      <c r="P122" s="7" t="s">
        <v>242</v>
      </c>
      <c r="Q122" s="329">
        <v>0</v>
      </c>
      <c r="S122" s="282">
        <v>0</v>
      </c>
      <c r="U122" s="349"/>
      <c r="V122" s="350"/>
      <c r="W122" s="334"/>
      <c r="X122" s="332"/>
      <c r="Y122" s="344"/>
      <c r="Z122" s="334"/>
      <c r="AA122" s="332"/>
      <c r="AB122" s="334">
        <f t="shared" si="17"/>
        <v>0</v>
      </c>
      <c r="AC122" s="250" t="s">
        <v>213</v>
      </c>
      <c r="AD122" s="282">
        <v>0</v>
      </c>
      <c r="AF122" s="349"/>
      <c r="AH122" s="338"/>
      <c r="AI122" s="339"/>
      <c r="AJ122" s="345"/>
      <c r="AK122" s="338"/>
      <c r="AL122" s="339"/>
      <c r="AM122" s="338">
        <f t="shared" si="0"/>
        <v>0</v>
      </c>
      <c r="AN122" s="340" t="s">
        <v>213</v>
      </c>
      <c r="AO122" s="282">
        <v>0</v>
      </c>
      <c r="AQ122" s="349"/>
      <c r="AR122" s="340"/>
      <c r="AS122" s="335"/>
      <c r="AT122" s="337"/>
      <c r="AU122" s="337"/>
      <c r="AV122" s="335"/>
      <c r="AW122" s="337"/>
      <c r="AX122" s="335">
        <f t="shared" si="1"/>
        <v>0</v>
      </c>
      <c r="AY122" s="340" t="s">
        <v>213</v>
      </c>
      <c r="AZ122" s="282">
        <v>0</v>
      </c>
      <c r="BB122" s="349"/>
      <c r="BC122" s="340"/>
      <c r="BD122" s="335"/>
      <c r="BE122" s="337"/>
      <c r="BF122" s="337"/>
      <c r="BG122" s="335"/>
      <c r="BH122" s="337"/>
      <c r="BI122" s="335">
        <f t="shared" si="2"/>
        <v>0</v>
      </c>
      <c r="BJ122" s="340"/>
      <c r="BK122" s="282">
        <v>0</v>
      </c>
      <c r="BM122" s="349"/>
      <c r="BN122" s="340"/>
      <c r="BO122" s="335"/>
      <c r="BP122" s="337"/>
      <c r="BQ122" s="337"/>
      <c r="BR122" s="335"/>
      <c r="BS122" s="337"/>
      <c r="BT122" s="335">
        <f t="shared" si="3"/>
        <v>0</v>
      </c>
      <c r="BU122" s="340"/>
    </row>
    <row r="123" ht="13.2" spans="1:73">
      <c r="A123" s="481">
        <v>149</v>
      </c>
      <c r="B123" s="414" t="s">
        <v>3559</v>
      </c>
      <c r="C123" s="7" t="s">
        <v>3560</v>
      </c>
      <c r="D123" s="250" t="s">
        <v>201</v>
      </c>
      <c r="E123" s="352" t="s">
        <v>226</v>
      </c>
      <c r="F123" s="275">
        <v>24</v>
      </c>
      <c r="G123" s="222" t="s">
        <v>3561</v>
      </c>
      <c r="H123" s="7" t="s">
        <v>3562</v>
      </c>
      <c r="I123" s="7" t="s">
        <v>220</v>
      </c>
      <c r="J123" s="7" t="s">
        <v>3562</v>
      </c>
      <c r="K123" s="7" t="s">
        <v>3563</v>
      </c>
      <c r="L123" s="222" t="s">
        <v>3564</v>
      </c>
      <c r="M123" s="7"/>
      <c r="N123" s="355">
        <v>45930</v>
      </c>
      <c r="O123" s="327" t="s">
        <v>2197</v>
      </c>
      <c r="P123" s="7" t="s">
        <v>242</v>
      </c>
      <c r="Q123" s="329">
        <v>25</v>
      </c>
      <c r="S123" s="282">
        <v>25</v>
      </c>
      <c r="U123" s="260">
        <v>46032</v>
      </c>
      <c r="V123" s="331">
        <v>46049</v>
      </c>
      <c r="W123" s="329">
        <v>25</v>
      </c>
      <c r="X123" s="332" t="s">
        <v>35</v>
      </c>
      <c r="Y123" s="344"/>
      <c r="Z123" s="334"/>
      <c r="AA123" s="332"/>
      <c r="AB123" s="334">
        <f t="shared" si="17"/>
        <v>0</v>
      </c>
      <c r="AC123" s="250" t="s">
        <v>213</v>
      </c>
      <c r="AD123" s="282">
        <v>25</v>
      </c>
      <c r="AF123" s="260">
        <v>46063</v>
      </c>
      <c r="AG123" s="251">
        <v>46084</v>
      </c>
      <c r="AH123" s="335">
        <v>25</v>
      </c>
      <c r="AI123" s="336" t="s">
        <v>23</v>
      </c>
      <c r="AJ123" s="345"/>
      <c r="AK123" s="338"/>
      <c r="AL123" s="339"/>
      <c r="AM123" s="338">
        <f t="shared" si="0"/>
        <v>0</v>
      </c>
      <c r="AN123" s="340" t="s">
        <v>3565</v>
      </c>
      <c r="AO123" s="282">
        <v>25</v>
      </c>
      <c r="AQ123" s="260">
        <v>46091</v>
      </c>
      <c r="AR123" s="340" t="s">
        <v>582</v>
      </c>
      <c r="AS123" s="335">
        <v>25</v>
      </c>
      <c r="AT123" s="337" t="s">
        <v>35</v>
      </c>
      <c r="AU123" s="337"/>
      <c r="AV123" s="335"/>
      <c r="AW123" s="337"/>
      <c r="AX123" s="335">
        <f t="shared" si="1"/>
        <v>0</v>
      </c>
      <c r="AY123" s="340" t="s">
        <v>213</v>
      </c>
      <c r="AZ123" s="282">
        <v>25</v>
      </c>
      <c r="BB123" s="260">
        <v>46122</v>
      </c>
      <c r="BC123" s="340"/>
      <c r="BD123" s="335"/>
      <c r="BE123" s="337"/>
      <c r="BF123" s="337"/>
      <c r="BG123" s="335"/>
      <c r="BH123" s="337"/>
      <c r="BI123" s="335">
        <f t="shared" si="2"/>
        <v>25</v>
      </c>
      <c r="BJ123" s="340"/>
      <c r="BK123" s="282">
        <v>25</v>
      </c>
      <c r="BM123" s="260">
        <v>46152</v>
      </c>
      <c r="BN123" s="340"/>
      <c r="BO123" s="335"/>
      <c r="BP123" s="337"/>
      <c r="BQ123" s="337"/>
      <c r="BR123" s="335"/>
      <c r="BS123" s="337"/>
      <c r="BT123" s="335">
        <f t="shared" si="3"/>
        <v>50</v>
      </c>
      <c r="BU123" s="340"/>
    </row>
    <row r="124" ht="13.95" spans="1:73">
      <c r="A124" s="267">
        <v>150</v>
      </c>
      <c r="B124" s="7" t="s">
        <v>3566</v>
      </c>
      <c r="C124" s="7" t="s">
        <v>3567</v>
      </c>
      <c r="D124" s="250" t="s">
        <v>201</v>
      </c>
      <c r="E124" s="352" t="s">
        <v>226</v>
      </c>
      <c r="F124" s="275">
        <v>24</v>
      </c>
      <c r="G124" s="222" t="s">
        <v>3568</v>
      </c>
      <c r="H124" s="7" t="s">
        <v>3562</v>
      </c>
      <c r="I124" s="7" t="s">
        <v>220</v>
      </c>
      <c r="J124" s="7" t="s">
        <v>3562</v>
      </c>
      <c r="K124" s="7" t="s">
        <v>3569</v>
      </c>
      <c r="L124" s="222" t="s">
        <v>3570</v>
      </c>
      <c r="M124" s="7"/>
      <c r="N124" s="355">
        <v>45930</v>
      </c>
      <c r="O124" s="461" t="s">
        <v>232</v>
      </c>
      <c r="P124" s="7" t="s">
        <v>242</v>
      </c>
      <c r="Q124" s="329">
        <v>20</v>
      </c>
      <c r="S124" s="282">
        <v>10</v>
      </c>
      <c r="U124" s="462">
        <v>46032</v>
      </c>
      <c r="V124" s="350"/>
      <c r="W124" s="334"/>
      <c r="X124" s="332"/>
      <c r="Y124" s="344"/>
      <c r="Z124" s="334"/>
      <c r="AA124" s="332"/>
      <c r="AB124" s="334">
        <f t="shared" ref="AB124:AB125" si="18">Q124+S124+T124-W124-Z124</f>
        <v>30</v>
      </c>
      <c r="AC124" s="250" t="s">
        <v>213</v>
      </c>
      <c r="AD124" s="282">
        <v>10</v>
      </c>
      <c r="AF124" s="462">
        <v>46063</v>
      </c>
      <c r="AG124" s="251">
        <v>46297</v>
      </c>
      <c r="AH124" s="335">
        <v>40</v>
      </c>
      <c r="AI124" s="336" t="s">
        <v>35</v>
      </c>
      <c r="AJ124" s="345"/>
      <c r="AK124" s="338"/>
      <c r="AL124" s="339"/>
      <c r="AM124" s="338">
        <f t="shared" si="0"/>
        <v>0</v>
      </c>
      <c r="AN124" s="340" t="s">
        <v>213</v>
      </c>
      <c r="AO124" s="282">
        <v>17.25</v>
      </c>
      <c r="AQ124" s="462">
        <v>46091</v>
      </c>
      <c r="AR124" s="340" t="s">
        <v>723</v>
      </c>
      <c r="AS124" s="335">
        <f>10+8</f>
        <v>18</v>
      </c>
      <c r="AT124" s="337" t="s">
        <v>23</v>
      </c>
      <c r="AU124" s="337"/>
      <c r="AV124" s="335"/>
      <c r="AW124" s="337"/>
      <c r="AX124" s="335">
        <f t="shared" si="1"/>
        <v>-0.75</v>
      </c>
      <c r="AY124" s="340" t="s">
        <v>213</v>
      </c>
      <c r="AZ124" s="282">
        <v>17.25</v>
      </c>
      <c r="BB124" s="462">
        <v>46122</v>
      </c>
      <c r="BC124" s="340" t="s">
        <v>3571</v>
      </c>
      <c r="BD124" s="335">
        <v>17.25</v>
      </c>
      <c r="BE124" s="337" t="s">
        <v>35</v>
      </c>
      <c r="BF124" s="337"/>
      <c r="BG124" s="335"/>
      <c r="BH124" s="337"/>
      <c r="BI124" s="335">
        <f t="shared" si="2"/>
        <v>-0.75</v>
      </c>
      <c r="BJ124" s="340"/>
      <c r="BK124" s="282">
        <v>17.25</v>
      </c>
      <c r="BM124" s="462">
        <v>46152</v>
      </c>
      <c r="BN124" s="340"/>
      <c r="BO124" s="335"/>
      <c r="BP124" s="337"/>
      <c r="BQ124" s="337"/>
      <c r="BR124" s="335"/>
      <c r="BS124" s="337"/>
      <c r="BT124" s="335">
        <f t="shared" si="3"/>
        <v>16.5</v>
      </c>
      <c r="BU124" s="340"/>
    </row>
    <row r="125" ht="13.2" spans="1:73">
      <c r="A125" s="482">
        <v>151</v>
      </c>
      <c r="B125" s="307" t="s">
        <v>3572</v>
      </c>
      <c r="C125" s="307" t="s">
        <v>3573</v>
      </c>
      <c r="D125" s="250" t="s">
        <v>201</v>
      </c>
      <c r="E125" s="465" t="s">
        <v>202</v>
      </c>
      <c r="F125" s="466">
        <v>36</v>
      </c>
      <c r="G125" s="467" t="s">
        <v>3574</v>
      </c>
      <c r="H125" s="307" t="s">
        <v>3562</v>
      </c>
      <c r="I125" s="307" t="s">
        <v>206</v>
      </c>
      <c r="J125" s="307" t="s">
        <v>3575</v>
      </c>
      <c r="K125" s="307" t="s">
        <v>3576</v>
      </c>
      <c r="L125" s="467" t="s">
        <v>3577</v>
      </c>
      <c r="M125" s="307"/>
      <c r="N125" s="483">
        <v>45931</v>
      </c>
      <c r="O125" s="327" t="s">
        <v>464</v>
      </c>
      <c r="P125" s="307" t="s">
        <v>242</v>
      </c>
      <c r="Q125" s="329">
        <v>-16.1</v>
      </c>
      <c r="S125" s="282">
        <v>16.1</v>
      </c>
      <c r="U125" s="462">
        <v>46032</v>
      </c>
      <c r="V125" s="350"/>
      <c r="W125" s="334"/>
      <c r="X125" s="332"/>
      <c r="Y125" s="344"/>
      <c r="Z125" s="334"/>
      <c r="AA125" s="332"/>
      <c r="AB125" s="334">
        <f t="shared" si="18"/>
        <v>0</v>
      </c>
      <c r="AC125" s="250" t="s">
        <v>213</v>
      </c>
      <c r="AD125" s="282">
        <v>32.2</v>
      </c>
      <c r="AF125" s="462">
        <v>46063</v>
      </c>
      <c r="AG125" s="251">
        <v>46073</v>
      </c>
      <c r="AH125" s="335">
        <v>32.2</v>
      </c>
      <c r="AI125" s="336" t="s">
        <v>35</v>
      </c>
      <c r="AJ125" s="345"/>
      <c r="AK125" s="338"/>
      <c r="AL125" s="339"/>
      <c r="AM125" s="338">
        <f t="shared" si="0"/>
        <v>0</v>
      </c>
      <c r="AN125" s="340" t="s">
        <v>213</v>
      </c>
      <c r="AO125" s="282">
        <v>32.2</v>
      </c>
      <c r="AQ125" s="462">
        <v>46091</v>
      </c>
      <c r="AR125" s="340" t="s">
        <v>1436</v>
      </c>
      <c r="AS125" s="335">
        <v>32.2</v>
      </c>
      <c r="AT125" s="337" t="s">
        <v>35</v>
      </c>
      <c r="AU125" s="337"/>
      <c r="AV125" s="335"/>
      <c r="AW125" s="337"/>
      <c r="AX125" s="335">
        <f t="shared" si="1"/>
        <v>0</v>
      </c>
      <c r="AY125" s="340" t="s">
        <v>213</v>
      </c>
      <c r="AZ125" s="282">
        <v>32.2</v>
      </c>
      <c r="BB125" s="462">
        <v>46122</v>
      </c>
      <c r="BC125" s="340" t="s">
        <v>626</v>
      </c>
      <c r="BD125" s="335">
        <v>32.2</v>
      </c>
      <c r="BE125" s="337" t="s">
        <v>35</v>
      </c>
      <c r="BF125" s="337"/>
      <c r="BG125" s="335"/>
      <c r="BH125" s="337"/>
      <c r="BI125" s="335">
        <f t="shared" si="2"/>
        <v>0</v>
      </c>
      <c r="BJ125" s="340"/>
      <c r="BK125" s="282">
        <v>32.2</v>
      </c>
      <c r="BM125" s="462">
        <v>46152</v>
      </c>
      <c r="BN125" s="340"/>
      <c r="BO125" s="335"/>
      <c r="BP125" s="337"/>
      <c r="BQ125" s="337"/>
      <c r="BR125" s="335"/>
      <c r="BS125" s="337"/>
      <c r="BT125" s="335">
        <f t="shared" si="3"/>
        <v>32.2</v>
      </c>
      <c r="BU125" s="340"/>
    </row>
    <row r="126" ht="13.2" spans="1:73">
      <c r="A126" s="267">
        <v>152</v>
      </c>
      <c r="B126" s="7" t="s">
        <v>3578</v>
      </c>
      <c r="C126" s="7" t="s">
        <v>3579</v>
      </c>
      <c r="D126" s="250" t="s">
        <v>201</v>
      </c>
      <c r="E126" s="352" t="s">
        <v>226</v>
      </c>
      <c r="F126" s="275">
        <v>24</v>
      </c>
      <c r="G126" s="222" t="s">
        <v>3580</v>
      </c>
      <c r="H126" s="7" t="s">
        <v>3562</v>
      </c>
      <c r="I126" s="7" t="s">
        <v>206</v>
      </c>
      <c r="J126" s="7" t="s">
        <v>3575</v>
      </c>
      <c r="K126" s="7" t="s">
        <v>3581</v>
      </c>
      <c r="L126" s="222" t="s">
        <v>3582</v>
      </c>
      <c r="M126" s="7"/>
      <c r="N126" s="355">
        <v>45931</v>
      </c>
      <c r="O126" s="327" t="s">
        <v>464</v>
      </c>
      <c r="P126" s="7" t="s">
        <v>242</v>
      </c>
      <c r="Q126" s="329">
        <v>0</v>
      </c>
      <c r="S126" s="282">
        <v>16.1</v>
      </c>
      <c r="U126" s="462">
        <v>46032</v>
      </c>
      <c r="V126" s="331">
        <v>46030</v>
      </c>
      <c r="W126" s="329">
        <v>16.1</v>
      </c>
      <c r="X126" s="332" t="s">
        <v>23</v>
      </c>
      <c r="Y126" s="344"/>
      <c r="Z126" s="334"/>
      <c r="AA126" s="332"/>
      <c r="AB126" s="334">
        <f t="shared" ref="AB126:AB140" si="19">S126+T126-W126-Z126</f>
        <v>0</v>
      </c>
      <c r="AC126" s="250" t="s">
        <v>213</v>
      </c>
      <c r="AD126" s="282">
        <v>32.2</v>
      </c>
      <c r="AF126" s="462">
        <v>46063</v>
      </c>
      <c r="AG126" s="251">
        <v>46063</v>
      </c>
      <c r="AH126" s="335">
        <f>16.1+16.1</f>
        <v>32.2</v>
      </c>
      <c r="AI126" s="336" t="s">
        <v>23</v>
      </c>
      <c r="AJ126" s="337" t="s">
        <v>3583</v>
      </c>
      <c r="AK126" s="338"/>
      <c r="AL126" s="339"/>
      <c r="AM126" s="338">
        <f t="shared" si="0"/>
        <v>0</v>
      </c>
      <c r="AN126" s="340" t="s">
        <v>213</v>
      </c>
      <c r="AO126" s="282">
        <v>32.2</v>
      </c>
      <c r="AQ126" s="462">
        <v>46091</v>
      </c>
      <c r="AR126" s="340" t="s">
        <v>680</v>
      </c>
      <c r="AS126" s="335">
        <v>32.2</v>
      </c>
      <c r="AT126" s="337" t="s">
        <v>23</v>
      </c>
      <c r="AU126" s="337"/>
      <c r="AV126" s="335"/>
      <c r="AW126" s="337"/>
      <c r="AX126" s="335">
        <f t="shared" si="1"/>
        <v>0</v>
      </c>
      <c r="AY126" s="340" t="s">
        <v>213</v>
      </c>
      <c r="AZ126" s="282">
        <v>32.2</v>
      </c>
      <c r="BB126" s="462">
        <v>46122</v>
      </c>
      <c r="BC126" s="340" t="s">
        <v>2375</v>
      </c>
      <c r="BD126" s="335">
        <v>32.2</v>
      </c>
      <c r="BE126" s="337" t="s">
        <v>23</v>
      </c>
      <c r="BF126" s="337"/>
      <c r="BG126" s="335"/>
      <c r="BH126" s="337"/>
      <c r="BI126" s="335">
        <f t="shared" si="2"/>
        <v>0</v>
      </c>
      <c r="BJ126" s="340"/>
      <c r="BK126" s="282">
        <v>32.2</v>
      </c>
      <c r="BM126" s="462">
        <v>46152</v>
      </c>
      <c r="BN126" s="340"/>
      <c r="BO126" s="335"/>
      <c r="BP126" s="337"/>
      <c r="BQ126" s="337"/>
      <c r="BR126" s="335"/>
      <c r="BS126" s="337"/>
      <c r="BT126" s="335">
        <f t="shared" si="3"/>
        <v>32.2</v>
      </c>
      <c r="BU126" s="340"/>
    </row>
    <row r="127" ht="13.2" spans="1:73">
      <c r="A127" s="267">
        <v>153</v>
      </c>
      <c r="B127" s="7" t="s">
        <v>3584</v>
      </c>
      <c r="C127" s="7" t="s">
        <v>3585</v>
      </c>
      <c r="D127" s="250" t="s">
        <v>201</v>
      </c>
      <c r="E127" s="352" t="s">
        <v>226</v>
      </c>
      <c r="F127" s="275">
        <v>24</v>
      </c>
      <c r="G127" s="222" t="s">
        <v>3586</v>
      </c>
      <c r="H127" s="7" t="s">
        <v>2615</v>
      </c>
      <c r="I127" s="7" t="s">
        <v>220</v>
      </c>
      <c r="J127" s="7" t="s">
        <v>3587</v>
      </c>
      <c r="K127" s="7" t="s">
        <v>3588</v>
      </c>
      <c r="L127" s="222" t="s">
        <v>3589</v>
      </c>
      <c r="M127" s="7"/>
      <c r="N127" s="355">
        <v>45932</v>
      </c>
      <c r="O127" s="327" t="s">
        <v>2197</v>
      </c>
      <c r="P127" s="7" t="s">
        <v>242</v>
      </c>
      <c r="Q127" s="329">
        <v>0</v>
      </c>
      <c r="S127" s="282">
        <v>12.5</v>
      </c>
      <c r="U127" s="462">
        <v>46032</v>
      </c>
      <c r="V127" s="331">
        <v>46031</v>
      </c>
      <c r="W127" s="329">
        <v>12.5</v>
      </c>
      <c r="X127" s="332" t="s">
        <v>35</v>
      </c>
      <c r="Y127" s="344"/>
      <c r="Z127" s="334"/>
      <c r="AA127" s="332"/>
      <c r="AB127" s="334">
        <f t="shared" si="19"/>
        <v>0</v>
      </c>
      <c r="AC127" s="250" t="s">
        <v>213</v>
      </c>
      <c r="AD127" s="282">
        <v>25</v>
      </c>
      <c r="AF127" s="462">
        <v>46063</v>
      </c>
      <c r="AG127" s="251">
        <v>46062</v>
      </c>
      <c r="AH127" s="335">
        <v>25</v>
      </c>
      <c r="AI127" s="336" t="s">
        <v>35</v>
      </c>
      <c r="AJ127" s="345"/>
      <c r="AK127" s="338"/>
      <c r="AL127" s="339"/>
      <c r="AM127" s="338">
        <f t="shared" si="0"/>
        <v>0</v>
      </c>
      <c r="AN127" s="340" t="s">
        <v>3590</v>
      </c>
      <c r="AO127" s="282">
        <v>25</v>
      </c>
      <c r="AQ127" s="462">
        <v>46091</v>
      </c>
      <c r="AR127" s="340" t="s">
        <v>3591</v>
      </c>
      <c r="AS127" s="335">
        <v>25</v>
      </c>
      <c r="AT127" s="337" t="s">
        <v>35</v>
      </c>
      <c r="AU127" s="337"/>
      <c r="AV127" s="335"/>
      <c r="AW127" s="337"/>
      <c r="AX127" s="335">
        <f t="shared" si="1"/>
        <v>0</v>
      </c>
      <c r="AY127" s="340" t="s">
        <v>213</v>
      </c>
      <c r="AZ127" s="282">
        <v>25</v>
      </c>
      <c r="BB127" s="462">
        <v>46122</v>
      </c>
      <c r="BC127" s="340" t="s">
        <v>905</v>
      </c>
      <c r="BD127" s="335">
        <v>25</v>
      </c>
      <c r="BE127" s="337" t="s">
        <v>35</v>
      </c>
      <c r="BF127" s="337"/>
      <c r="BG127" s="335"/>
      <c r="BH127" s="337"/>
      <c r="BI127" s="335">
        <f t="shared" si="2"/>
        <v>0</v>
      </c>
      <c r="BJ127" s="340"/>
      <c r="BK127" s="282">
        <v>25</v>
      </c>
      <c r="BM127" s="462">
        <v>46152</v>
      </c>
      <c r="BN127" s="340"/>
      <c r="BO127" s="335"/>
      <c r="BP127" s="337"/>
      <c r="BQ127" s="337"/>
      <c r="BR127" s="335"/>
      <c r="BS127" s="337"/>
      <c r="BT127" s="335">
        <f t="shared" si="3"/>
        <v>25</v>
      </c>
      <c r="BU127" s="340"/>
    </row>
    <row r="128" ht="13.2" spans="1:73">
      <c r="A128" s="469">
        <v>154</v>
      </c>
      <c r="B128" s="414" t="s">
        <v>3592</v>
      </c>
      <c r="C128" s="7" t="s">
        <v>3593</v>
      </c>
      <c r="D128" s="250" t="s">
        <v>201</v>
      </c>
      <c r="E128" s="352" t="s">
        <v>226</v>
      </c>
      <c r="F128" s="275">
        <v>24</v>
      </c>
      <c r="G128" s="222" t="s">
        <v>3594</v>
      </c>
      <c r="H128" s="7" t="s">
        <v>2615</v>
      </c>
      <c r="I128" s="7" t="s">
        <v>220</v>
      </c>
      <c r="J128" s="7" t="s">
        <v>3595</v>
      </c>
      <c r="K128" s="7" t="s">
        <v>3596</v>
      </c>
      <c r="L128" s="222" t="s">
        <v>3597</v>
      </c>
      <c r="M128" s="7"/>
      <c r="N128" s="355">
        <v>45932</v>
      </c>
      <c r="O128" s="327" t="s">
        <v>232</v>
      </c>
      <c r="P128" s="7" t="s">
        <v>242</v>
      </c>
      <c r="Q128" s="329">
        <v>0</v>
      </c>
      <c r="S128" s="282">
        <v>17.25</v>
      </c>
      <c r="U128" s="462">
        <v>46032</v>
      </c>
      <c r="V128" s="331">
        <v>46038</v>
      </c>
      <c r="W128" s="329">
        <v>17.25</v>
      </c>
      <c r="X128" s="332" t="s">
        <v>23</v>
      </c>
      <c r="Y128" s="333">
        <v>120488</v>
      </c>
      <c r="Z128" s="334"/>
      <c r="AA128" s="332"/>
      <c r="AB128" s="334">
        <f t="shared" si="19"/>
        <v>0</v>
      </c>
      <c r="AC128" s="250" t="s">
        <v>3598</v>
      </c>
      <c r="AD128" s="282">
        <v>17.25</v>
      </c>
      <c r="AF128" s="462">
        <v>46063</v>
      </c>
      <c r="AG128" s="251">
        <v>46072</v>
      </c>
      <c r="AH128" s="335">
        <v>17.25</v>
      </c>
      <c r="AI128" s="336" t="s">
        <v>23</v>
      </c>
      <c r="AJ128" s="337"/>
      <c r="AK128" s="335"/>
      <c r="AL128" s="336"/>
      <c r="AM128" s="335">
        <f t="shared" si="0"/>
        <v>0</v>
      </c>
      <c r="AN128" s="340" t="s">
        <v>3599</v>
      </c>
      <c r="AO128" s="282">
        <v>17.25</v>
      </c>
      <c r="AQ128" s="462">
        <v>46091</v>
      </c>
      <c r="AR128" s="340" t="s">
        <v>360</v>
      </c>
      <c r="AS128" s="335">
        <v>18.25</v>
      </c>
      <c r="AT128" s="337" t="s">
        <v>23</v>
      </c>
      <c r="AU128" s="337"/>
      <c r="AV128" s="335"/>
      <c r="AW128" s="337"/>
      <c r="AX128" s="335">
        <f t="shared" si="1"/>
        <v>-1</v>
      </c>
      <c r="AY128" s="340" t="s">
        <v>3600</v>
      </c>
      <c r="AZ128" s="282">
        <v>17.25</v>
      </c>
      <c r="BB128" s="462">
        <v>46122</v>
      </c>
      <c r="BC128" s="340" t="s">
        <v>905</v>
      </c>
      <c r="BD128" s="335">
        <v>16.25</v>
      </c>
      <c r="BE128" s="337" t="s">
        <v>23</v>
      </c>
      <c r="BF128" s="337" t="s">
        <v>3601</v>
      </c>
      <c r="BG128" s="335"/>
      <c r="BH128" s="337"/>
      <c r="BI128" s="335">
        <f t="shared" si="2"/>
        <v>0</v>
      </c>
      <c r="BJ128" s="340" t="s">
        <v>3602</v>
      </c>
      <c r="BK128" s="282">
        <v>17.25</v>
      </c>
      <c r="BM128" s="462">
        <v>46152</v>
      </c>
      <c r="BN128" s="340"/>
      <c r="BO128" s="335"/>
      <c r="BP128" s="337"/>
      <c r="BQ128" s="337"/>
      <c r="BR128" s="335"/>
      <c r="BS128" s="337"/>
      <c r="BT128" s="335">
        <f t="shared" si="3"/>
        <v>17.25</v>
      </c>
      <c r="BU128" s="340"/>
    </row>
    <row r="129" ht="13.2" spans="1:73">
      <c r="A129" s="481">
        <v>155</v>
      </c>
      <c r="B129" s="414" t="s">
        <v>3547</v>
      </c>
      <c r="C129" s="7" t="s">
        <v>3603</v>
      </c>
      <c r="D129" s="250" t="s">
        <v>201</v>
      </c>
      <c r="E129" s="352" t="s">
        <v>226</v>
      </c>
      <c r="F129" s="275">
        <v>24</v>
      </c>
      <c r="G129" s="222" t="s">
        <v>3549</v>
      </c>
      <c r="H129" s="7" t="s">
        <v>3562</v>
      </c>
      <c r="I129" s="7" t="s">
        <v>220</v>
      </c>
      <c r="J129" s="7" t="s">
        <v>3604</v>
      </c>
      <c r="K129" s="7" t="s">
        <v>3551</v>
      </c>
      <c r="L129" s="222" t="s">
        <v>3552</v>
      </c>
      <c r="M129" s="7"/>
      <c r="N129" s="54">
        <v>45936</v>
      </c>
      <c r="O129" s="327" t="s">
        <v>384</v>
      </c>
      <c r="P129" s="7" t="s">
        <v>242</v>
      </c>
      <c r="Q129" s="329">
        <v>0</v>
      </c>
      <c r="S129" s="282">
        <v>20.54</v>
      </c>
      <c r="U129" s="462">
        <v>46032</v>
      </c>
      <c r="V129" s="331">
        <v>46034</v>
      </c>
      <c r="W129" s="329">
        <v>20.54</v>
      </c>
      <c r="X129" s="332" t="s">
        <v>35</v>
      </c>
      <c r="Y129" s="344"/>
      <c r="Z129" s="334"/>
      <c r="AA129" s="332"/>
      <c r="AB129" s="334">
        <f t="shared" si="19"/>
        <v>0</v>
      </c>
      <c r="AC129" s="250" t="s">
        <v>3605</v>
      </c>
      <c r="AD129" s="282">
        <v>20.54</v>
      </c>
      <c r="AF129" s="462">
        <v>46063</v>
      </c>
      <c r="AG129" s="251">
        <v>46063</v>
      </c>
      <c r="AH129" s="335">
        <v>20.54</v>
      </c>
      <c r="AI129" s="336" t="s">
        <v>35</v>
      </c>
      <c r="AJ129" s="337"/>
      <c r="AK129" s="335"/>
      <c r="AL129" s="336"/>
      <c r="AM129" s="335">
        <f t="shared" si="0"/>
        <v>0</v>
      </c>
      <c r="AN129" s="340" t="s">
        <v>3606</v>
      </c>
      <c r="AO129" s="282">
        <v>20.54</v>
      </c>
      <c r="AQ129" s="462">
        <v>46091</v>
      </c>
      <c r="AR129" s="340" t="s">
        <v>808</v>
      </c>
      <c r="AS129" s="335">
        <v>20.54</v>
      </c>
      <c r="AT129" s="337" t="s">
        <v>35</v>
      </c>
      <c r="AU129" s="337"/>
      <c r="AV129" s="335"/>
      <c r="AW129" s="337"/>
      <c r="AX129" s="335">
        <f t="shared" si="1"/>
        <v>0</v>
      </c>
      <c r="AY129" s="340" t="s">
        <v>3607</v>
      </c>
      <c r="AZ129" s="282">
        <v>20.54</v>
      </c>
      <c r="BB129" s="462">
        <v>46122</v>
      </c>
      <c r="BC129" s="340" t="s">
        <v>1202</v>
      </c>
      <c r="BD129" s="335">
        <v>20.54</v>
      </c>
      <c r="BE129" s="337" t="s">
        <v>35</v>
      </c>
      <c r="BF129" s="337"/>
      <c r="BG129" s="335"/>
      <c r="BH129" s="337"/>
      <c r="BI129" s="335">
        <f t="shared" si="2"/>
        <v>0</v>
      </c>
      <c r="BJ129" s="340" t="s">
        <v>3608</v>
      </c>
      <c r="BK129" s="282">
        <v>20.54</v>
      </c>
      <c r="BM129" s="462">
        <v>46152</v>
      </c>
      <c r="BN129" s="340"/>
      <c r="BO129" s="335"/>
      <c r="BP129" s="337"/>
      <c r="BQ129" s="337"/>
      <c r="BR129" s="335"/>
      <c r="BS129" s="337"/>
      <c r="BT129" s="335">
        <f t="shared" si="3"/>
        <v>20.54</v>
      </c>
      <c r="BU129" s="340"/>
    </row>
    <row r="130" ht="13.2" spans="1:73">
      <c r="A130" s="484">
        <v>156</v>
      </c>
      <c r="B130" s="417" t="s">
        <v>3609</v>
      </c>
      <c r="C130" s="7" t="s">
        <v>3610</v>
      </c>
      <c r="D130" s="250" t="s">
        <v>201</v>
      </c>
      <c r="E130" s="352" t="s">
        <v>226</v>
      </c>
      <c r="F130" s="275">
        <v>24</v>
      </c>
      <c r="G130" s="222" t="s">
        <v>3611</v>
      </c>
      <c r="H130" s="7" t="s">
        <v>3562</v>
      </c>
      <c r="I130" s="7" t="s">
        <v>206</v>
      </c>
      <c r="J130" s="7" t="s">
        <v>3612</v>
      </c>
      <c r="K130" s="7"/>
      <c r="L130" s="222" t="s">
        <v>3613</v>
      </c>
      <c r="M130" s="7"/>
      <c r="N130" s="54">
        <v>45937</v>
      </c>
      <c r="O130" s="327" t="s">
        <v>232</v>
      </c>
      <c r="P130" s="7" t="s">
        <v>242</v>
      </c>
      <c r="Q130" s="329">
        <v>0</v>
      </c>
      <c r="S130" s="282">
        <v>12.5</v>
      </c>
      <c r="U130" s="462">
        <v>46042</v>
      </c>
      <c r="V130" s="331">
        <v>46042</v>
      </c>
      <c r="W130" s="329">
        <v>12.5</v>
      </c>
      <c r="X130" s="332" t="s">
        <v>35</v>
      </c>
      <c r="Y130" s="344"/>
      <c r="Z130" s="334"/>
      <c r="AA130" s="332"/>
      <c r="AB130" s="334">
        <f t="shared" si="19"/>
        <v>0</v>
      </c>
      <c r="AC130" s="250" t="s">
        <v>213</v>
      </c>
      <c r="AD130" s="282">
        <v>12.5</v>
      </c>
      <c r="AF130" s="462">
        <v>46073</v>
      </c>
      <c r="AG130" s="251">
        <v>46079</v>
      </c>
      <c r="AH130" s="335">
        <v>12.5</v>
      </c>
      <c r="AI130" s="336" t="s">
        <v>35</v>
      </c>
      <c r="AJ130" s="345"/>
      <c r="AK130" s="338"/>
      <c r="AL130" s="339"/>
      <c r="AM130" s="338">
        <f t="shared" si="0"/>
        <v>0</v>
      </c>
      <c r="AN130" s="340" t="s">
        <v>213</v>
      </c>
      <c r="AO130" s="282">
        <v>12.5</v>
      </c>
      <c r="AQ130" s="462">
        <v>46101</v>
      </c>
      <c r="AR130" s="340" t="s">
        <v>1724</v>
      </c>
      <c r="AS130" s="335">
        <v>12.5</v>
      </c>
      <c r="AT130" s="337" t="s">
        <v>35</v>
      </c>
      <c r="AU130" s="337"/>
      <c r="AV130" s="335"/>
      <c r="AW130" s="337"/>
      <c r="AX130" s="335">
        <f t="shared" si="1"/>
        <v>0</v>
      </c>
      <c r="AY130" s="340" t="s">
        <v>213</v>
      </c>
      <c r="AZ130" s="282">
        <v>12.5</v>
      </c>
      <c r="BB130" s="462">
        <v>46132</v>
      </c>
      <c r="BC130" s="340" t="s">
        <v>626</v>
      </c>
      <c r="BD130" s="335">
        <v>12.5</v>
      </c>
      <c r="BE130" s="337" t="s">
        <v>35</v>
      </c>
      <c r="BF130" s="337"/>
      <c r="BG130" s="335"/>
      <c r="BH130" s="337"/>
      <c r="BI130" s="335">
        <f t="shared" si="2"/>
        <v>0</v>
      </c>
      <c r="BJ130" s="340"/>
      <c r="BK130" s="282">
        <v>12.5</v>
      </c>
      <c r="BM130" s="462">
        <v>46162</v>
      </c>
      <c r="BN130" s="340"/>
      <c r="BO130" s="335"/>
      <c r="BP130" s="337"/>
      <c r="BQ130" s="337"/>
      <c r="BR130" s="335"/>
      <c r="BS130" s="337"/>
      <c r="BT130" s="335">
        <f t="shared" si="3"/>
        <v>12.5</v>
      </c>
      <c r="BU130" s="340"/>
    </row>
    <row r="131" ht="13.2" spans="1:73">
      <c r="A131" s="481">
        <v>157</v>
      </c>
      <c r="B131" s="414" t="s">
        <v>3614</v>
      </c>
      <c r="C131" s="7" t="s">
        <v>3615</v>
      </c>
      <c r="D131" s="250" t="s">
        <v>201</v>
      </c>
      <c r="E131" s="352" t="s">
        <v>202</v>
      </c>
      <c r="F131" s="275">
        <v>24</v>
      </c>
      <c r="G131" s="222" t="s">
        <v>3616</v>
      </c>
      <c r="H131" s="7" t="s">
        <v>3562</v>
      </c>
      <c r="I131" s="7" t="s">
        <v>206</v>
      </c>
      <c r="J131" s="7" t="s">
        <v>3617</v>
      </c>
      <c r="K131" s="7" t="s">
        <v>3618</v>
      </c>
      <c r="L131" s="222" t="s">
        <v>3619</v>
      </c>
      <c r="M131" s="7"/>
      <c r="N131" s="54">
        <v>45937</v>
      </c>
      <c r="O131" s="327" t="s">
        <v>2197</v>
      </c>
      <c r="P131" s="7" t="s">
        <v>242</v>
      </c>
      <c r="Q131" s="329">
        <v>0</v>
      </c>
      <c r="S131" s="282">
        <v>12.5</v>
      </c>
      <c r="U131" s="462">
        <v>46032</v>
      </c>
      <c r="V131" s="331">
        <v>46043</v>
      </c>
      <c r="W131" s="329">
        <v>12.5</v>
      </c>
      <c r="X131" s="332" t="s">
        <v>35</v>
      </c>
      <c r="Y131" s="344"/>
      <c r="Z131" s="334"/>
      <c r="AA131" s="332"/>
      <c r="AB131" s="334">
        <f t="shared" si="19"/>
        <v>0</v>
      </c>
      <c r="AC131" s="250" t="s">
        <v>213</v>
      </c>
      <c r="AD131" s="282">
        <v>25</v>
      </c>
      <c r="AF131" s="462">
        <v>46063</v>
      </c>
      <c r="AG131" s="485">
        <v>46064</v>
      </c>
      <c r="AH131" s="335">
        <f>12.5+12.5</f>
        <v>25</v>
      </c>
      <c r="AI131" s="336" t="s">
        <v>35</v>
      </c>
      <c r="AJ131" s="345"/>
      <c r="AK131" s="338"/>
      <c r="AL131" s="339"/>
      <c r="AM131" s="338">
        <f t="shared" si="0"/>
        <v>0</v>
      </c>
      <c r="AN131" s="340" t="s">
        <v>3620</v>
      </c>
      <c r="AO131" s="282">
        <v>25</v>
      </c>
      <c r="AQ131" s="462">
        <v>46091</v>
      </c>
      <c r="AR131" s="340" t="s">
        <v>233</v>
      </c>
      <c r="AS131" s="335">
        <v>25</v>
      </c>
      <c r="AT131" s="337" t="s">
        <v>35</v>
      </c>
      <c r="AU131" s="337"/>
      <c r="AV131" s="335"/>
      <c r="AW131" s="337"/>
      <c r="AX131" s="335">
        <f t="shared" si="1"/>
        <v>0</v>
      </c>
      <c r="AY131" s="340" t="s">
        <v>213</v>
      </c>
      <c r="AZ131" s="282">
        <v>25</v>
      </c>
      <c r="BB131" s="462">
        <v>46122</v>
      </c>
      <c r="BC131" s="340" t="s">
        <v>860</v>
      </c>
      <c r="BD131" s="335">
        <v>25</v>
      </c>
      <c r="BE131" s="337" t="s">
        <v>23</v>
      </c>
      <c r="BF131" s="337"/>
      <c r="BG131" s="335"/>
      <c r="BH131" s="337"/>
      <c r="BI131" s="335">
        <f t="shared" si="2"/>
        <v>0</v>
      </c>
      <c r="BJ131" s="340"/>
      <c r="BK131" s="282">
        <v>25</v>
      </c>
      <c r="BM131" s="462">
        <v>46152</v>
      </c>
      <c r="BN131" s="340"/>
      <c r="BO131" s="335"/>
      <c r="BP131" s="337"/>
      <c r="BQ131" s="337"/>
      <c r="BR131" s="335"/>
      <c r="BS131" s="337"/>
      <c r="BT131" s="335">
        <f t="shared" si="3"/>
        <v>25</v>
      </c>
      <c r="BU131" s="340"/>
    </row>
    <row r="132" ht="13.2" spans="1:73">
      <c r="A132" s="481">
        <v>158</v>
      </c>
      <c r="B132" s="414" t="s">
        <v>3621</v>
      </c>
      <c r="C132" s="7" t="s">
        <v>3622</v>
      </c>
      <c r="D132" s="250" t="s">
        <v>201</v>
      </c>
      <c r="E132" s="352" t="s">
        <v>202</v>
      </c>
      <c r="F132" s="275">
        <v>36</v>
      </c>
      <c r="G132" s="222" t="s">
        <v>3623</v>
      </c>
      <c r="H132" s="7" t="s">
        <v>3562</v>
      </c>
      <c r="I132" s="7" t="s">
        <v>206</v>
      </c>
      <c r="J132" s="7" t="s">
        <v>3612</v>
      </c>
      <c r="K132" s="7" t="s">
        <v>3624</v>
      </c>
      <c r="L132" s="222" t="s">
        <v>3625</v>
      </c>
      <c r="M132" s="7"/>
      <c r="N132" s="54">
        <v>45939</v>
      </c>
      <c r="O132" s="327" t="s">
        <v>464</v>
      </c>
      <c r="P132" s="7" t="s">
        <v>242</v>
      </c>
      <c r="Q132" s="329">
        <v>0</v>
      </c>
      <c r="R132" s="250" t="s">
        <v>3626</v>
      </c>
      <c r="S132" s="282">
        <v>16.1</v>
      </c>
      <c r="U132" s="462">
        <v>46032</v>
      </c>
      <c r="V132" s="331">
        <v>46048</v>
      </c>
      <c r="W132" s="329"/>
      <c r="X132" s="332"/>
      <c r="Y132" s="333"/>
      <c r="Z132" s="329"/>
      <c r="AA132" s="332"/>
      <c r="AB132" s="334">
        <f t="shared" si="19"/>
        <v>16.1</v>
      </c>
      <c r="AC132" s="250" t="s">
        <v>3627</v>
      </c>
      <c r="AD132" s="282">
        <v>32.2</v>
      </c>
      <c r="AF132" s="462">
        <v>46063</v>
      </c>
      <c r="AG132" s="251">
        <v>46066</v>
      </c>
      <c r="AH132" s="335">
        <v>48.3</v>
      </c>
      <c r="AI132" s="336" t="s">
        <v>23</v>
      </c>
      <c r="AJ132" s="337"/>
      <c r="AK132" s="335"/>
      <c r="AL132" s="336"/>
      <c r="AM132" s="335">
        <f t="shared" si="0"/>
        <v>0</v>
      </c>
      <c r="AN132" s="340" t="s">
        <v>3628</v>
      </c>
      <c r="AO132" s="282">
        <v>32.2</v>
      </c>
      <c r="AQ132" s="462">
        <v>46091</v>
      </c>
      <c r="AR132" s="340" t="s">
        <v>723</v>
      </c>
      <c r="AS132" s="335">
        <v>32.2</v>
      </c>
      <c r="AT132" s="337" t="s">
        <v>23</v>
      </c>
      <c r="AU132" s="337"/>
      <c r="AV132" s="335"/>
      <c r="AW132" s="337"/>
      <c r="AX132" s="335">
        <f t="shared" si="1"/>
        <v>0</v>
      </c>
      <c r="AY132" s="340" t="s">
        <v>3629</v>
      </c>
      <c r="AZ132" s="282">
        <v>32.2</v>
      </c>
      <c r="BB132" s="462">
        <v>46122</v>
      </c>
      <c r="BC132" s="340" t="s">
        <v>321</v>
      </c>
      <c r="BD132" s="335">
        <v>32.2</v>
      </c>
      <c r="BE132" s="337" t="s">
        <v>23</v>
      </c>
      <c r="BF132" s="337"/>
      <c r="BG132" s="335"/>
      <c r="BH132" s="337"/>
      <c r="BI132" s="335">
        <f t="shared" si="2"/>
        <v>0</v>
      </c>
      <c r="BJ132" s="340" t="s">
        <v>3630</v>
      </c>
      <c r="BK132" s="282">
        <v>32.2</v>
      </c>
      <c r="BM132" s="462">
        <v>46152</v>
      </c>
      <c r="BN132" s="340"/>
      <c r="BO132" s="335"/>
      <c r="BP132" s="337"/>
      <c r="BQ132" s="337"/>
      <c r="BR132" s="335"/>
      <c r="BS132" s="337"/>
      <c r="BT132" s="335">
        <f t="shared" si="3"/>
        <v>32.2</v>
      </c>
      <c r="BU132" s="340"/>
    </row>
    <row r="133" ht="13.2" spans="1:73">
      <c r="A133" s="481">
        <v>159</v>
      </c>
      <c r="B133" s="414" t="s">
        <v>3631</v>
      </c>
      <c r="C133" s="7" t="s">
        <v>3632</v>
      </c>
      <c r="D133" s="250" t="s">
        <v>201</v>
      </c>
      <c r="E133" s="352" t="s">
        <v>226</v>
      </c>
      <c r="F133" s="275">
        <v>24</v>
      </c>
      <c r="G133" s="222" t="s">
        <v>3633</v>
      </c>
      <c r="H133" s="7" t="s">
        <v>3562</v>
      </c>
      <c r="I133" s="7" t="s">
        <v>206</v>
      </c>
      <c r="J133" s="7" t="s">
        <v>3612</v>
      </c>
      <c r="K133" s="7" t="s">
        <v>3634</v>
      </c>
      <c r="L133" s="7" t="s">
        <v>3635</v>
      </c>
      <c r="M133" s="7"/>
      <c r="N133" s="54">
        <v>45941</v>
      </c>
      <c r="O133" s="327" t="s">
        <v>464</v>
      </c>
      <c r="P133" s="7" t="s">
        <v>242</v>
      </c>
      <c r="Q133" s="329">
        <v>0</v>
      </c>
      <c r="S133" s="282">
        <v>16.1</v>
      </c>
      <c r="U133" s="462">
        <v>46032</v>
      </c>
      <c r="V133" s="331">
        <v>46043</v>
      </c>
      <c r="W133" s="329">
        <v>16.1</v>
      </c>
      <c r="X133" s="332" t="s">
        <v>35</v>
      </c>
      <c r="Y133" s="344"/>
      <c r="Z133" s="334"/>
      <c r="AA133" s="332"/>
      <c r="AB133" s="334">
        <f t="shared" si="19"/>
        <v>0</v>
      </c>
      <c r="AC133" s="250" t="s">
        <v>213</v>
      </c>
      <c r="AD133" s="282">
        <v>32.2</v>
      </c>
      <c r="AF133" s="462">
        <v>46063</v>
      </c>
      <c r="AG133" s="251">
        <v>46071</v>
      </c>
      <c r="AH133" s="335">
        <v>32.2</v>
      </c>
      <c r="AI133" s="336" t="s">
        <v>35</v>
      </c>
      <c r="AJ133" s="345"/>
      <c r="AK133" s="338"/>
      <c r="AL133" s="339"/>
      <c r="AM133" s="338">
        <f t="shared" si="0"/>
        <v>0</v>
      </c>
      <c r="AN133" s="340" t="s">
        <v>213</v>
      </c>
      <c r="AO133" s="282">
        <v>32.2</v>
      </c>
      <c r="AQ133" s="462">
        <v>46091</v>
      </c>
      <c r="AR133" s="340" t="s">
        <v>1743</v>
      </c>
      <c r="AS133" s="335">
        <v>32.2</v>
      </c>
      <c r="AT133" s="337" t="s">
        <v>35</v>
      </c>
      <c r="AU133" s="337"/>
      <c r="AV133" s="335"/>
      <c r="AW133" s="337"/>
      <c r="AX133" s="335">
        <f t="shared" si="1"/>
        <v>0</v>
      </c>
      <c r="AY133" s="340" t="s">
        <v>213</v>
      </c>
      <c r="AZ133" s="282">
        <v>32.2</v>
      </c>
      <c r="BB133" s="462">
        <v>46122</v>
      </c>
      <c r="BC133" s="340" t="s">
        <v>3636</v>
      </c>
      <c r="BD133" s="335">
        <v>32.2</v>
      </c>
      <c r="BE133" s="337" t="s">
        <v>35</v>
      </c>
      <c r="BF133" s="337"/>
      <c r="BG133" s="335"/>
      <c r="BH133" s="337"/>
      <c r="BI133" s="335">
        <f t="shared" si="2"/>
        <v>0</v>
      </c>
      <c r="BJ133" s="340"/>
      <c r="BK133" s="282">
        <v>32.2</v>
      </c>
      <c r="BM133" s="462">
        <v>46152</v>
      </c>
      <c r="BN133" s="340"/>
      <c r="BO133" s="335"/>
      <c r="BP133" s="337"/>
      <c r="BQ133" s="337"/>
      <c r="BR133" s="335"/>
      <c r="BS133" s="337"/>
      <c r="BT133" s="335">
        <f t="shared" si="3"/>
        <v>32.2</v>
      </c>
      <c r="BU133" s="340"/>
    </row>
    <row r="134" ht="13.2" spans="1:73">
      <c r="A134" s="481">
        <v>160</v>
      </c>
      <c r="B134" s="414" t="s">
        <v>3637</v>
      </c>
      <c r="C134" s="7" t="s">
        <v>3638</v>
      </c>
      <c r="D134" s="486" t="s">
        <v>472</v>
      </c>
      <c r="E134" s="352" t="s">
        <v>226</v>
      </c>
      <c r="F134" s="275">
        <v>24</v>
      </c>
      <c r="G134" s="222" t="s">
        <v>3639</v>
      </c>
      <c r="H134" s="7" t="s">
        <v>3562</v>
      </c>
      <c r="I134" s="7" t="s">
        <v>220</v>
      </c>
      <c r="J134" s="7" t="s">
        <v>3640</v>
      </c>
      <c r="K134" s="7" t="s">
        <v>3641</v>
      </c>
      <c r="L134" s="222" t="s">
        <v>3642</v>
      </c>
      <c r="M134" s="7"/>
      <c r="N134" s="54">
        <v>45943</v>
      </c>
      <c r="O134" s="327" t="s">
        <v>384</v>
      </c>
      <c r="P134" s="7" t="s">
        <v>242</v>
      </c>
      <c r="Q134" s="329">
        <v>33.04</v>
      </c>
      <c r="S134" s="282">
        <v>22.7</v>
      </c>
      <c r="U134" s="462">
        <v>46032</v>
      </c>
      <c r="V134" s="350"/>
      <c r="W134" s="334"/>
      <c r="X134" s="332"/>
      <c r="Y134" s="344"/>
      <c r="Z134" s="334"/>
      <c r="AA134" s="332"/>
      <c r="AB134" s="334">
        <f t="shared" si="19"/>
        <v>22.7</v>
      </c>
      <c r="AC134" s="250" t="s">
        <v>213</v>
      </c>
      <c r="AD134" s="282">
        <v>10</v>
      </c>
      <c r="AF134" s="462">
        <v>46063</v>
      </c>
      <c r="AG134" s="251">
        <v>46076</v>
      </c>
      <c r="AH134" s="335">
        <v>32.7</v>
      </c>
      <c r="AI134" s="336" t="s">
        <v>35</v>
      </c>
      <c r="AJ134" s="345"/>
      <c r="AK134" s="338"/>
      <c r="AL134" s="339"/>
      <c r="AM134" s="338">
        <f t="shared" si="0"/>
        <v>0</v>
      </c>
      <c r="AN134" s="340" t="s">
        <v>213</v>
      </c>
      <c r="AO134" s="282">
        <v>20.54</v>
      </c>
      <c r="AQ134" s="462">
        <v>46091</v>
      </c>
      <c r="AR134" s="340"/>
      <c r="AS134" s="335"/>
      <c r="AT134" s="337"/>
      <c r="AU134" s="337"/>
      <c r="AV134" s="335"/>
      <c r="AW134" s="337"/>
      <c r="AX134" s="335">
        <f t="shared" si="1"/>
        <v>20.54</v>
      </c>
      <c r="AY134" s="340" t="s">
        <v>213</v>
      </c>
      <c r="AZ134" s="282">
        <v>10</v>
      </c>
      <c r="BB134" s="462">
        <v>46122</v>
      </c>
      <c r="BC134" s="340"/>
      <c r="BD134" s="335"/>
      <c r="BE134" s="337"/>
      <c r="BF134" s="337"/>
      <c r="BG134" s="335"/>
      <c r="BH134" s="337"/>
      <c r="BI134" s="335">
        <f t="shared" si="2"/>
        <v>30.54</v>
      </c>
      <c r="BJ134" s="340"/>
      <c r="BK134" s="282">
        <v>10</v>
      </c>
      <c r="BM134" s="462">
        <v>46152</v>
      </c>
      <c r="BN134" s="340"/>
      <c r="BO134" s="335"/>
      <c r="BP134" s="337"/>
      <c r="BQ134" s="337"/>
      <c r="BR134" s="335"/>
      <c r="BS134" s="337"/>
      <c r="BT134" s="335">
        <f t="shared" si="3"/>
        <v>40.54</v>
      </c>
      <c r="BU134" s="340"/>
    </row>
    <row r="135" ht="13.2" spans="1:73">
      <c r="A135" s="481">
        <v>161</v>
      </c>
      <c r="B135" s="414" t="s">
        <v>3643</v>
      </c>
      <c r="C135" s="7" t="s">
        <v>3644</v>
      </c>
      <c r="D135" s="250" t="s">
        <v>201</v>
      </c>
      <c r="E135" s="352" t="s">
        <v>226</v>
      </c>
      <c r="F135" s="275">
        <v>24</v>
      </c>
      <c r="G135" s="222" t="s">
        <v>3645</v>
      </c>
      <c r="H135" s="7" t="s">
        <v>3562</v>
      </c>
      <c r="I135" s="7"/>
      <c r="J135" s="7" t="s">
        <v>3646</v>
      </c>
      <c r="K135" s="7"/>
      <c r="L135" s="7" t="s">
        <v>3647</v>
      </c>
      <c r="M135" s="7"/>
      <c r="N135" s="54">
        <v>45944</v>
      </c>
      <c r="O135" s="327" t="s">
        <v>384</v>
      </c>
      <c r="P135" s="7" t="s">
        <v>242</v>
      </c>
      <c r="Q135" s="329">
        <v>0</v>
      </c>
      <c r="S135" s="282">
        <v>20.54</v>
      </c>
      <c r="U135" s="462">
        <v>46032</v>
      </c>
      <c r="V135" s="350"/>
      <c r="W135" s="334"/>
      <c r="X135" s="332"/>
      <c r="Y135" s="344"/>
      <c r="Z135" s="334"/>
      <c r="AA135" s="332"/>
      <c r="AB135" s="334">
        <f t="shared" si="19"/>
        <v>20.54</v>
      </c>
      <c r="AC135" s="250" t="s">
        <v>213</v>
      </c>
      <c r="AD135" s="282">
        <v>20.54</v>
      </c>
      <c r="AF135" s="462">
        <v>46063</v>
      </c>
      <c r="AG135" s="251">
        <v>46058</v>
      </c>
      <c r="AH135" s="335">
        <v>20.5</v>
      </c>
      <c r="AI135" s="336" t="s">
        <v>23</v>
      </c>
      <c r="AJ135" s="345"/>
      <c r="AK135" s="338"/>
      <c r="AL135" s="339"/>
      <c r="AM135" s="338">
        <f t="shared" si="0"/>
        <v>20.58</v>
      </c>
      <c r="AN135" s="340" t="s">
        <v>213</v>
      </c>
      <c r="AO135" s="282">
        <v>10</v>
      </c>
      <c r="AQ135" s="462">
        <v>46091</v>
      </c>
      <c r="AR135" s="340" t="s">
        <v>723</v>
      </c>
      <c r="AS135" s="335">
        <v>30</v>
      </c>
      <c r="AT135" s="337" t="s">
        <v>35</v>
      </c>
      <c r="AU135" s="337"/>
      <c r="AV135" s="335"/>
      <c r="AW135" s="337"/>
      <c r="AX135" s="335">
        <f t="shared" si="1"/>
        <v>0.579999999999998</v>
      </c>
      <c r="AY135" s="340" t="s">
        <v>213</v>
      </c>
      <c r="AZ135" s="282">
        <v>20.54</v>
      </c>
      <c r="BB135" s="462">
        <v>46122</v>
      </c>
      <c r="BC135" s="340" t="s">
        <v>223</v>
      </c>
      <c r="BD135" s="335">
        <v>20</v>
      </c>
      <c r="BE135" s="337" t="s">
        <v>23</v>
      </c>
      <c r="BF135" s="337"/>
      <c r="BG135" s="335"/>
      <c r="BH135" s="337"/>
      <c r="BI135" s="335">
        <f t="shared" si="2"/>
        <v>1.12</v>
      </c>
      <c r="BJ135" s="340"/>
      <c r="BK135" s="282">
        <v>20.54</v>
      </c>
      <c r="BM135" s="462">
        <v>46152</v>
      </c>
      <c r="BN135" s="340"/>
      <c r="BO135" s="335"/>
      <c r="BP135" s="337"/>
      <c r="BQ135" s="337"/>
      <c r="BR135" s="335"/>
      <c r="BS135" s="337"/>
      <c r="BT135" s="335">
        <f t="shared" si="3"/>
        <v>21.66</v>
      </c>
      <c r="BU135" s="340"/>
    </row>
    <row r="136" ht="13.2" spans="1:73">
      <c r="A136" s="481">
        <v>162</v>
      </c>
      <c r="B136" s="414" t="s">
        <v>3648</v>
      </c>
      <c r="C136" s="7" t="s">
        <v>3649</v>
      </c>
      <c r="D136" s="250" t="s">
        <v>201</v>
      </c>
      <c r="E136" s="352" t="s">
        <v>226</v>
      </c>
      <c r="F136" s="275">
        <v>36</v>
      </c>
      <c r="G136" s="222" t="s">
        <v>3650</v>
      </c>
      <c r="H136" s="7" t="s">
        <v>3562</v>
      </c>
      <c r="I136" s="7" t="s">
        <v>206</v>
      </c>
      <c r="J136" s="7" t="s">
        <v>3575</v>
      </c>
      <c r="K136" s="7" t="s">
        <v>3651</v>
      </c>
      <c r="L136" s="7" t="s">
        <v>3652</v>
      </c>
      <c r="M136" s="7"/>
      <c r="N136" s="54">
        <v>45945</v>
      </c>
      <c r="O136" s="327" t="s">
        <v>464</v>
      </c>
      <c r="P136" s="7" t="s">
        <v>242</v>
      </c>
      <c r="Q136" s="329">
        <v>0</v>
      </c>
      <c r="S136" s="282">
        <v>32.2</v>
      </c>
      <c r="U136" s="462">
        <v>46032</v>
      </c>
      <c r="V136" s="331">
        <v>46050</v>
      </c>
      <c r="W136" s="329">
        <v>32.2</v>
      </c>
      <c r="X136" s="332" t="s">
        <v>35</v>
      </c>
      <c r="Y136" s="344"/>
      <c r="Z136" s="334"/>
      <c r="AA136" s="332"/>
      <c r="AB136" s="334">
        <f t="shared" si="19"/>
        <v>0</v>
      </c>
      <c r="AC136" s="250" t="s">
        <v>213</v>
      </c>
      <c r="AD136" s="282">
        <v>32.2</v>
      </c>
      <c r="AF136" s="462">
        <v>46063</v>
      </c>
      <c r="AG136" s="251">
        <v>46077</v>
      </c>
      <c r="AH136" s="335">
        <v>32.2</v>
      </c>
      <c r="AI136" s="336" t="s">
        <v>35</v>
      </c>
      <c r="AJ136" s="345"/>
      <c r="AK136" s="338"/>
      <c r="AL136" s="339"/>
      <c r="AM136" s="338">
        <f t="shared" si="0"/>
        <v>0</v>
      </c>
      <c r="AN136" s="340" t="s">
        <v>213</v>
      </c>
      <c r="AO136" s="282">
        <v>32.2</v>
      </c>
      <c r="AQ136" s="462">
        <v>46091</v>
      </c>
      <c r="AR136" s="340" t="s">
        <v>723</v>
      </c>
      <c r="AS136" s="335">
        <v>32.2</v>
      </c>
      <c r="AT136" s="337" t="s">
        <v>23</v>
      </c>
      <c r="AU136" s="337"/>
      <c r="AV136" s="335"/>
      <c r="AW136" s="337"/>
      <c r="AX136" s="335">
        <f t="shared" si="1"/>
        <v>0</v>
      </c>
      <c r="AY136" s="340" t="s">
        <v>213</v>
      </c>
      <c r="AZ136" s="282">
        <v>32.2</v>
      </c>
      <c r="BB136" s="462">
        <v>46122</v>
      </c>
      <c r="BC136" s="340" t="s">
        <v>223</v>
      </c>
      <c r="BD136" s="335">
        <v>32.2</v>
      </c>
      <c r="BE136" s="337" t="s">
        <v>23</v>
      </c>
      <c r="BF136" s="337"/>
      <c r="BG136" s="335"/>
      <c r="BH136" s="337"/>
      <c r="BI136" s="335">
        <f t="shared" si="2"/>
        <v>0</v>
      </c>
      <c r="BJ136" s="340"/>
      <c r="BK136" s="282">
        <v>32.2</v>
      </c>
      <c r="BM136" s="462">
        <v>46152</v>
      </c>
      <c r="BN136" s="340"/>
      <c r="BO136" s="335"/>
      <c r="BP136" s="337"/>
      <c r="BQ136" s="337"/>
      <c r="BR136" s="335"/>
      <c r="BS136" s="337"/>
      <c r="BT136" s="335">
        <f t="shared" si="3"/>
        <v>32.2</v>
      </c>
      <c r="BU136" s="340"/>
    </row>
    <row r="137" ht="13.2" spans="1:73">
      <c r="A137" s="481">
        <v>163</v>
      </c>
      <c r="B137" s="414" t="s">
        <v>3653</v>
      </c>
      <c r="C137" s="7" t="s">
        <v>3654</v>
      </c>
      <c r="D137" s="250" t="s">
        <v>201</v>
      </c>
      <c r="E137" s="352" t="s">
        <v>226</v>
      </c>
      <c r="F137" s="275">
        <v>24</v>
      </c>
      <c r="G137" s="222" t="s">
        <v>3655</v>
      </c>
      <c r="H137" s="7" t="s">
        <v>3562</v>
      </c>
      <c r="I137" s="7" t="s">
        <v>220</v>
      </c>
      <c r="J137" s="7" t="s">
        <v>3656</v>
      </c>
      <c r="K137" s="7" t="s">
        <v>3657</v>
      </c>
      <c r="L137" s="7" t="s">
        <v>3658</v>
      </c>
      <c r="M137" s="7"/>
      <c r="N137" s="54">
        <v>45945</v>
      </c>
      <c r="O137" s="327" t="s">
        <v>2197</v>
      </c>
      <c r="P137" s="7" t="s">
        <v>242</v>
      </c>
      <c r="Q137" s="329">
        <v>0</v>
      </c>
      <c r="R137" s="250" t="s">
        <v>3659</v>
      </c>
      <c r="S137" s="282">
        <v>25</v>
      </c>
      <c r="U137" s="462">
        <v>46032</v>
      </c>
      <c r="V137" s="331">
        <v>46037</v>
      </c>
      <c r="W137" s="329">
        <v>25</v>
      </c>
      <c r="X137" s="332" t="s">
        <v>35</v>
      </c>
      <c r="Y137" s="333"/>
      <c r="Z137" s="329"/>
      <c r="AA137" s="332"/>
      <c r="AB137" s="334">
        <f t="shared" si="19"/>
        <v>0</v>
      </c>
      <c r="AC137" s="250" t="s">
        <v>213</v>
      </c>
      <c r="AD137" s="282">
        <v>25</v>
      </c>
      <c r="AF137" s="462">
        <v>46063</v>
      </c>
      <c r="AG137" s="251">
        <v>46066</v>
      </c>
      <c r="AH137" s="335">
        <v>25</v>
      </c>
      <c r="AI137" s="336" t="s">
        <v>35</v>
      </c>
      <c r="AJ137" s="337"/>
      <c r="AK137" s="335"/>
      <c r="AL137" s="336"/>
      <c r="AM137" s="335">
        <f t="shared" si="0"/>
        <v>0</v>
      </c>
      <c r="AN137" s="340" t="s">
        <v>3660</v>
      </c>
      <c r="AO137" s="282">
        <v>25</v>
      </c>
      <c r="AQ137" s="462">
        <v>46091</v>
      </c>
      <c r="AR137" s="340" t="s">
        <v>522</v>
      </c>
      <c r="AS137" s="335">
        <v>25</v>
      </c>
      <c r="AT137" s="337" t="s">
        <v>35</v>
      </c>
      <c r="AU137" s="337"/>
      <c r="AV137" s="335"/>
      <c r="AW137" s="337"/>
      <c r="AX137" s="335">
        <f t="shared" si="1"/>
        <v>0</v>
      </c>
      <c r="AY137" s="340" t="s">
        <v>213</v>
      </c>
      <c r="AZ137" s="282">
        <v>25</v>
      </c>
      <c r="BB137" s="462">
        <v>46122</v>
      </c>
      <c r="BC137" s="340" t="s">
        <v>1777</v>
      </c>
      <c r="BD137" s="335">
        <v>25</v>
      </c>
      <c r="BE137" s="337" t="s">
        <v>35</v>
      </c>
      <c r="BF137" s="337"/>
      <c r="BG137" s="335"/>
      <c r="BH137" s="337"/>
      <c r="BI137" s="335">
        <f t="shared" si="2"/>
        <v>0</v>
      </c>
      <c r="BJ137" s="340" t="s">
        <v>3661</v>
      </c>
      <c r="BK137" s="282">
        <v>25</v>
      </c>
      <c r="BM137" s="462">
        <v>46152</v>
      </c>
      <c r="BN137" s="340"/>
      <c r="BO137" s="335"/>
      <c r="BP137" s="337"/>
      <c r="BQ137" s="337"/>
      <c r="BR137" s="335"/>
      <c r="BS137" s="337"/>
      <c r="BT137" s="335">
        <f t="shared" si="3"/>
        <v>25</v>
      </c>
      <c r="BU137" s="340"/>
    </row>
    <row r="138" ht="13.2" spans="1:73">
      <c r="A138" s="487">
        <v>164</v>
      </c>
      <c r="B138" s="414" t="s">
        <v>3662</v>
      </c>
      <c r="C138" s="7" t="s">
        <v>3663</v>
      </c>
      <c r="D138" s="250" t="s">
        <v>201</v>
      </c>
      <c r="E138" s="352" t="s">
        <v>226</v>
      </c>
      <c r="F138" s="275">
        <v>24</v>
      </c>
      <c r="G138" s="222" t="s">
        <v>3664</v>
      </c>
      <c r="H138" s="7" t="s">
        <v>3562</v>
      </c>
      <c r="I138" s="7" t="s">
        <v>220</v>
      </c>
      <c r="J138" s="7" t="s">
        <v>3665</v>
      </c>
      <c r="K138" s="7" t="s">
        <v>3666</v>
      </c>
      <c r="L138" s="7" t="s">
        <v>3667</v>
      </c>
      <c r="M138" s="7"/>
      <c r="N138" s="54">
        <v>45947</v>
      </c>
      <c r="O138" s="327" t="s">
        <v>384</v>
      </c>
      <c r="P138" s="7" t="s">
        <v>242</v>
      </c>
      <c r="Q138" s="329">
        <v>0</v>
      </c>
      <c r="S138" s="282">
        <v>20.54</v>
      </c>
      <c r="U138" s="462">
        <v>46032</v>
      </c>
      <c r="V138" s="331">
        <v>46039</v>
      </c>
      <c r="W138" s="329">
        <v>20.54</v>
      </c>
      <c r="X138" s="332" t="s">
        <v>35</v>
      </c>
      <c r="Y138" s="344"/>
      <c r="Z138" s="334"/>
      <c r="AA138" s="332"/>
      <c r="AB138" s="334">
        <f t="shared" si="19"/>
        <v>0</v>
      </c>
      <c r="AC138" s="250" t="s">
        <v>3668</v>
      </c>
      <c r="AD138" s="282">
        <v>20.54</v>
      </c>
      <c r="AF138" s="462">
        <v>46063</v>
      </c>
      <c r="AG138" s="251">
        <v>46077</v>
      </c>
      <c r="AH138" s="335">
        <v>20.54</v>
      </c>
      <c r="AI138" s="336" t="s">
        <v>35</v>
      </c>
      <c r="AJ138" s="337"/>
      <c r="AK138" s="335"/>
      <c r="AL138" s="336"/>
      <c r="AM138" s="335">
        <f t="shared" si="0"/>
        <v>0</v>
      </c>
      <c r="AN138" s="340" t="s">
        <v>3669</v>
      </c>
      <c r="AO138" s="282">
        <v>20.54</v>
      </c>
      <c r="AQ138" s="462">
        <v>46091</v>
      </c>
      <c r="AR138" s="340" t="s">
        <v>748</v>
      </c>
      <c r="AS138" s="335">
        <v>20.54</v>
      </c>
      <c r="AT138" s="337" t="s">
        <v>35</v>
      </c>
      <c r="AU138" s="337"/>
      <c r="AV138" s="335"/>
      <c r="AW138" s="337"/>
      <c r="AX138" s="335">
        <f t="shared" si="1"/>
        <v>0</v>
      </c>
      <c r="AY138" s="340" t="s">
        <v>3670</v>
      </c>
      <c r="AZ138" s="282">
        <v>20.54</v>
      </c>
      <c r="BB138" s="462">
        <v>46122</v>
      </c>
      <c r="BC138" s="340" t="s">
        <v>321</v>
      </c>
      <c r="BD138" s="335">
        <v>20.54</v>
      </c>
      <c r="BE138" s="337" t="s">
        <v>35</v>
      </c>
      <c r="BF138" s="337"/>
      <c r="BG138" s="335"/>
      <c r="BH138" s="337"/>
      <c r="BI138" s="335">
        <f t="shared" si="2"/>
        <v>0</v>
      </c>
      <c r="BJ138" s="340" t="s">
        <v>3671</v>
      </c>
      <c r="BK138" s="282">
        <v>20.54</v>
      </c>
      <c r="BM138" s="462">
        <v>46152</v>
      </c>
      <c r="BN138" s="340"/>
      <c r="BO138" s="335"/>
      <c r="BP138" s="337"/>
      <c r="BQ138" s="337"/>
      <c r="BR138" s="335"/>
      <c r="BS138" s="337"/>
      <c r="BT138" s="335">
        <f t="shared" si="3"/>
        <v>20.54</v>
      </c>
      <c r="BU138" s="340"/>
    </row>
    <row r="139" ht="13.2" spans="1:73">
      <c r="A139" s="481">
        <v>165</v>
      </c>
      <c r="B139" s="414" t="s">
        <v>3672</v>
      </c>
      <c r="C139" s="7" t="s">
        <v>3673</v>
      </c>
      <c r="D139" s="250" t="s">
        <v>201</v>
      </c>
      <c r="E139" s="222"/>
      <c r="F139" s="275">
        <v>24</v>
      </c>
      <c r="G139" s="222" t="s">
        <v>3674</v>
      </c>
      <c r="H139" s="7" t="s">
        <v>3675</v>
      </c>
      <c r="I139" s="7" t="s">
        <v>206</v>
      </c>
      <c r="J139" s="7" t="s">
        <v>3676</v>
      </c>
      <c r="K139" s="7" t="s">
        <v>3677</v>
      </c>
      <c r="L139" s="7" t="s">
        <v>3678</v>
      </c>
      <c r="M139" s="7"/>
      <c r="N139" s="54">
        <v>45951</v>
      </c>
      <c r="O139" s="461" t="s">
        <v>2197</v>
      </c>
      <c r="P139" s="7" t="s">
        <v>242</v>
      </c>
      <c r="Q139" s="329">
        <v>0</v>
      </c>
      <c r="S139" s="282">
        <v>25</v>
      </c>
      <c r="U139" s="462">
        <v>46032</v>
      </c>
      <c r="V139" s="331">
        <v>46034</v>
      </c>
      <c r="W139" s="329">
        <v>25</v>
      </c>
      <c r="X139" s="332" t="s">
        <v>35</v>
      </c>
      <c r="Y139" s="344"/>
      <c r="Z139" s="334"/>
      <c r="AA139" s="332"/>
      <c r="AB139" s="334">
        <f t="shared" si="19"/>
        <v>0</v>
      </c>
      <c r="AC139" s="250" t="s">
        <v>213</v>
      </c>
      <c r="AD139" s="282">
        <v>25</v>
      </c>
      <c r="AF139" s="462">
        <v>46063</v>
      </c>
      <c r="AG139" s="485">
        <v>46062</v>
      </c>
      <c r="AH139" s="335">
        <v>25</v>
      </c>
      <c r="AI139" s="336" t="s">
        <v>23</v>
      </c>
      <c r="AJ139" s="345"/>
      <c r="AK139" s="338"/>
      <c r="AL139" s="339"/>
      <c r="AM139" s="338">
        <f t="shared" si="0"/>
        <v>0</v>
      </c>
      <c r="AN139" s="340" t="s">
        <v>3679</v>
      </c>
      <c r="AO139" s="282">
        <v>25</v>
      </c>
      <c r="AQ139" s="462">
        <v>46091</v>
      </c>
      <c r="AR139" s="340" t="s">
        <v>522</v>
      </c>
      <c r="AS139" s="335">
        <v>25</v>
      </c>
      <c r="AT139" s="337" t="s">
        <v>23</v>
      </c>
      <c r="AU139" s="337"/>
      <c r="AV139" s="335"/>
      <c r="AW139" s="337"/>
      <c r="AX139" s="335">
        <f t="shared" si="1"/>
        <v>0</v>
      </c>
      <c r="AY139" s="340" t="s">
        <v>213</v>
      </c>
      <c r="AZ139" s="282">
        <v>25</v>
      </c>
      <c r="BB139" s="462">
        <v>46122</v>
      </c>
      <c r="BC139" s="340" t="s">
        <v>795</v>
      </c>
      <c r="BD139" s="335">
        <v>25</v>
      </c>
      <c r="BE139" s="337" t="s">
        <v>23</v>
      </c>
      <c r="BF139" s="337"/>
      <c r="BG139" s="335"/>
      <c r="BH139" s="337"/>
      <c r="BI139" s="335">
        <f t="shared" si="2"/>
        <v>0</v>
      </c>
      <c r="BJ139" s="340" t="s">
        <v>3680</v>
      </c>
      <c r="BK139" s="282">
        <v>25</v>
      </c>
      <c r="BM139" s="462">
        <v>46152</v>
      </c>
      <c r="BN139" s="340"/>
      <c r="BO139" s="335"/>
      <c r="BP139" s="337"/>
      <c r="BQ139" s="337"/>
      <c r="BR139" s="335"/>
      <c r="BS139" s="337"/>
      <c r="BT139" s="335">
        <f t="shared" si="3"/>
        <v>25</v>
      </c>
      <c r="BU139" s="340"/>
    </row>
    <row r="140" ht="13.8" spans="1:73">
      <c r="A140" s="488">
        <v>166</v>
      </c>
      <c r="B140" s="489" t="s">
        <v>3681</v>
      </c>
      <c r="C140" s="490" t="s">
        <v>3682</v>
      </c>
      <c r="D140" s="250" t="s">
        <v>201</v>
      </c>
      <c r="E140" s="491" t="s">
        <v>220</v>
      </c>
      <c r="F140" s="492">
        <v>24</v>
      </c>
      <c r="G140" s="493" t="s">
        <v>3683</v>
      </c>
      <c r="H140" s="490" t="s">
        <v>2615</v>
      </c>
      <c r="I140" s="490" t="s">
        <v>220</v>
      </c>
      <c r="J140" s="490" t="s">
        <v>3684</v>
      </c>
      <c r="K140" s="490" t="s">
        <v>3685</v>
      </c>
      <c r="L140" s="494" t="s">
        <v>3686</v>
      </c>
      <c r="M140" s="490"/>
      <c r="N140" s="495">
        <v>45966</v>
      </c>
      <c r="O140" s="327" t="s">
        <v>384</v>
      </c>
      <c r="P140" s="490" t="s">
        <v>242</v>
      </c>
      <c r="Q140" s="329">
        <v>20.54</v>
      </c>
      <c r="S140" s="282">
        <v>20.54</v>
      </c>
      <c r="U140" s="260">
        <v>46032</v>
      </c>
      <c r="V140" s="350" t="s">
        <v>385</v>
      </c>
      <c r="W140" s="329">
        <v>20.54</v>
      </c>
      <c r="X140" s="332" t="s">
        <v>23</v>
      </c>
      <c r="Y140" s="344"/>
      <c r="Z140" s="334"/>
      <c r="AA140" s="332"/>
      <c r="AB140" s="334">
        <f t="shared" si="19"/>
        <v>0</v>
      </c>
      <c r="AC140" s="250" t="s">
        <v>213</v>
      </c>
      <c r="AD140" s="282">
        <v>20.54</v>
      </c>
      <c r="AF140" s="260">
        <v>46063</v>
      </c>
      <c r="AG140" s="251">
        <v>46071</v>
      </c>
      <c r="AH140" s="335">
        <v>20.54</v>
      </c>
      <c r="AI140" s="336" t="s">
        <v>23</v>
      </c>
      <c r="AJ140" s="345"/>
      <c r="AK140" s="338"/>
      <c r="AL140" s="339"/>
      <c r="AM140" s="338">
        <f t="shared" si="0"/>
        <v>0</v>
      </c>
      <c r="AN140" s="340" t="s">
        <v>213</v>
      </c>
      <c r="AO140" s="282">
        <v>20.54</v>
      </c>
      <c r="AQ140" s="260">
        <v>46091</v>
      </c>
      <c r="AR140" s="340"/>
      <c r="AS140" s="335"/>
      <c r="AT140" s="337"/>
      <c r="AU140" s="337"/>
      <c r="AV140" s="335"/>
      <c r="AW140" s="337"/>
      <c r="AX140" s="335">
        <f t="shared" si="1"/>
        <v>20.54</v>
      </c>
      <c r="AY140" s="340" t="s">
        <v>213</v>
      </c>
      <c r="AZ140" s="282">
        <v>10</v>
      </c>
      <c r="BB140" s="260">
        <v>46122</v>
      </c>
      <c r="BC140" s="340"/>
      <c r="BD140" s="335"/>
      <c r="BE140" s="337"/>
      <c r="BF140" s="337"/>
      <c r="BG140" s="335"/>
      <c r="BH140" s="337"/>
      <c r="BI140" s="335">
        <f t="shared" si="2"/>
        <v>30.54</v>
      </c>
      <c r="BJ140" s="340"/>
      <c r="BK140" s="282">
        <v>10</v>
      </c>
      <c r="BM140" s="260">
        <v>46152</v>
      </c>
      <c r="BN140" s="340"/>
      <c r="BO140" s="335"/>
      <c r="BP140" s="337"/>
      <c r="BQ140" s="337"/>
      <c r="BR140" s="335"/>
      <c r="BS140" s="337"/>
      <c r="BT140" s="335">
        <f t="shared" si="3"/>
        <v>40.54</v>
      </c>
      <c r="BU140" s="340"/>
    </row>
    <row r="141" ht="13.2" spans="1:73">
      <c r="A141" s="488">
        <v>167</v>
      </c>
      <c r="B141" s="414" t="s">
        <v>3687</v>
      </c>
      <c r="C141" s="7" t="s">
        <v>3688</v>
      </c>
      <c r="D141" s="250" t="s">
        <v>201</v>
      </c>
      <c r="E141" s="352" t="s">
        <v>220</v>
      </c>
      <c r="F141" s="275">
        <v>24</v>
      </c>
      <c r="G141" s="222" t="s">
        <v>3689</v>
      </c>
      <c r="H141" s="7" t="s">
        <v>2615</v>
      </c>
      <c r="I141" s="7" t="s">
        <v>220</v>
      </c>
      <c r="J141" s="7" t="s">
        <v>3391</v>
      </c>
      <c r="K141" s="7" t="s">
        <v>3690</v>
      </c>
      <c r="L141" s="494" t="s">
        <v>3691</v>
      </c>
      <c r="M141" s="7"/>
      <c r="N141" s="54">
        <v>45979</v>
      </c>
      <c r="O141" s="327" t="s">
        <v>384</v>
      </c>
      <c r="P141" s="7" t="s">
        <v>242</v>
      </c>
      <c r="Q141" s="329">
        <v>0.54</v>
      </c>
      <c r="S141" s="282">
        <v>20.54</v>
      </c>
      <c r="U141" s="260">
        <v>46032</v>
      </c>
      <c r="V141" s="331">
        <v>46035</v>
      </c>
      <c r="W141" s="329">
        <v>20</v>
      </c>
      <c r="X141" s="332" t="s">
        <v>23</v>
      </c>
      <c r="Y141" s="344"/>
      <c r="Z141" s="334"/>
      <c r="AA141" s="332"/>
      <c r="AB141" s="334">
        <f>Q141+S141+T141-W141-Z141</f>
        <v>1.08</v>
      </c>
      <c r="AC141" s="250" t="s">
        <v>213</v>
      </c>
      <c r="AD141" s="282">
        <v>20.54</v>
      </c>
      <c r="AF141" s="260">
        <v>46063</v>
      </c>
      <c r="AG141" s="251">
        <v>46071</v>
      </c>
      <c r="AH141" s="335">
        <v>20.5</v>
      </c>
      <c r="AI141" s="336" t="s">
        <v>23</v>
      </c>
      <c r="AJ141" s="345"/>
      <c r="AK141" s="338"/>
      <c r="AL141" s="339"/>
      <c r="AM141" s="338">
        <f t="shared" si="0"/>
        <v>1.12</v>
      </c>
      <c r="AN141" s="340" t="s">
        <v>213</v>
      </c>
      <c r="AO141" s="282">
        <v>20.54</v>
      </c>
      <c r="AQ141" s="260">
        <v>46091</v>
      </c>
      <c r="AR141" s="340" t="s">
        <v>1743</v>
      </c>
      <c r="AS141" s="335">
        <v>21</v>
      </c>
      <c r="AT141" s="337" t="s">
        <v>23</v>
      </c>
      <c r="AU141" s="337"/>
      <c r="AV141" s="335"/>
      <c r="AW141" s="337"/>
      <c r="AX141" s="335">
        <f t="shared" si="1"/>
        <v>0.659999999999997</v>
      </c>
      <c r="AY141" s="340" t="s">
        <v>213</v>
      </c>
      <c r="AZ141" s="282">
        <v>20.54</v>
      </c>
      <c r="BB141" s="260">
        <v>46122</v>
      </c>
      <c r="BC141" s="340" t="s">
        <v>1202</v>
      </c>
      <c r="BD141" s="335">
        <v>21</v>
      </c>
      <c r="BE141" s="337" t="s">
        <v>23</v>
      </c>
      <c r="BF141" s="337"/>
      <c r="BG141" s="335"/>
      <c r="BH141" s="337"/>
      <c r="BI141" s="335">
        <f t="shared" si="2"/>
        <v>0.199999999999996</v>
      </c>
      <c r="BJ141" s="340"/>
      <c r="BK141" s="282">
        <v>20.54</v>
      </c>
      <c r="BM141" s="260">
        <v>46152</v>
      </c>
      <c r="BN141" s="340"/>
      <c r="BO141" s="335"/>
      <c r="BP141" s="337"/>
      <c r="BQ141" s="337"/>
      <c r="BR141" s="335"/>
      <c r="BS141" s="337"/>
      <c r="BT141" s="335">
        <f t="shared" si="3"/>
        <v>20.74</v>
      </c>
      <c r="BU141" s="340"/>
    </row>
    <row r="142" ht="13.2" spans="1:73">
      <c r="A142" s="484">
        <v>168</v>
      </c>
      <c r="B142" s="414" t="s">
        <v>3692</v>
      </c>
      <c r="C142" s="7" t="s">
        <v>3693</v>
      </c>
      <c r="D142" s="250" t="s">
        <v>201</v>
      </c>
      <c r="E142" s="352" t="s">
        <v>220</v>
      </c>
      <c r="F142" s="275">
        <v>24</v>
      </c>
      <c r="G142" s="222" t="s">
        <v>3694</v>
      </c>
      <c r="H142" s="7" t="s">
        <v>3562</v>
      </c>
      <c r="I142" s="7" t="s">
        <v>206</v>
      </c>
      <c r="J142" s="7" t="s">
        <v>3695</v>
      </c>
      <c r="K142" s="7" t="s">
        <v>3696</v>
      </c>
      <c r="L142" s="222" t="s">
        <v>3697</v>
      </c>
      <c r="M142" s="7"/>
      <c r="N142" s="54">
        <v>45987</v>
      </c>
      <c r="O142" s="327" t="s">
        <v>464</v>
      </c>
      <c r="P142" s="7" t="s">
        <v>242</v>
      </c>
      <c r="Q142" s="329">
        <v>0</v>
      </c>
      <c r="S142" s="282">
        <v>0</v>
      </c>
      <c r="T142" s="282">
        <v>0</v>
      </c>
      <c r="U142" s="496"/>
      <c r="V142" s="350"/>
      <c r="W142" s="334"/>
      <c r="X142" s="332"/>
      <c r="Y142" s="344"/>
      <c r="Z142" s="334"/>
      <c r="AA142" s="332"/>
      <c r="AB142" s="334">
        <f t="shared" ref="AB142:AB146" si="20">S142+T142-W142-Z142</f>
        <v>0</v>
      </c>
      <c r="AC142" s="250" t="s">
        <v>213</v>
      </c>
      <c r="AD142" s="282">
        <v>16.1</v>
      </c>
      <c r="AE142" s="282">
        <v>4</v>
      </c>
      <c r="AF142" s="260">
        <v>46063</v>
      </c>
      <c r="AH142" s="338"/>
      <c r="AI142" s="339"/>
      <c r="AJ142" s="345"/>
      <c r="AK142" s="338"/>
      <c r="AL142" s="339"/>
      <c r="AM142" s="338">
        <f t="shared" si="0"/>
        <v>20.1</v>
      </c>
      <c r="AN142" s="340" t="s">
        <v>213</v>
      </c>
      <c r="AO142" s="282">
        <v>16.1</v>
      </c>
      <c r="AP142" s="282">
        <v>4</v>
      </c>
      <c r="AQ142" s="260">
        <v>46091</v>
      </c>
      <c r="AR142" s="340" t="s">
        <v>498</v>
      </c>
      <c r="AS142" s="335">
        <v>40.2</v>
      </c>
      <c r="AT142" s="337" t="s">
        <v>35</v>
      </c>
      <c r="AU142" s="337"/>
      <c r="AV142" s="335"/>
      <c r="AW142" s="337"/>
      <c r="AX142" s="335">
        <f t="shared" si="1"/>
        <v>0</v>
      </c>
      <c r="AY142" s="340" t="s">
        <v>213</v>
      </c>
      <c r="AZ142" s="282">
        <v>16.1</v>
      </c>
      <c r="BA142" s="282">
        <v>4</v>
      </c>
      <c r="BB142" s="260">
        <v>46122</v>
      </c>
      <c r="BC142" s="340" t="s">
        <v>1182</v>
      </c>
      <c r="BD142" s="335">
        <v>20.1</v>
      </c>
      <c r="BE142" s="337" t="s">
        <v>23</v>
      </c>
      <c r="BF142" s="337"/>
      <c r="BG142" s="335"/>
      <c r="BH142" s="337"/>
      <c r="BI142" s="335">
        <f t="shared" si="2"/>
        <v>0</v>
      </c>
      <c r="BJ142" s="340"/>
      <c r="BK142" s="282">
        <v>16.1</v>
      </c>
      <c r="BL142" s="282">
        <v>4</v>
      </c>
      <c r="BM142" s="260">
        <v>46152</v>
      </c>
      <c r="BN142" s="340" t="s">
        <v>843</v>
      </c>
      <c r="BO142" s="335">
        <v>16.1</v>
      </c>
      <c r="BP142" s="337" t="s">
        <v>35</v>
      </c>
      <c r="BQ142" s="337"/>
      <c r="BR142" s="335">
        <v>4</v>
      </c>
      <c r="BS142" s="337" t="s">
        <v>35</v>
      </c>
      <c r="BT142" s="335">
        <f t="shared" si="3"/>
        <v>0</v>
      </c>
      <c r="BU142" s="340"/>
    </row>
    <row r="143" ht="13.2" spans="1:73">
      <c r="A143" s="484">
        <v>169</v>
      </c>
      <c r="B143" s="414" t="s">
        <v>3698</v>
      </c>
      <c r="C143" s="7" t="s">
        <v>3699</v>
      </c>
      <c r="D143" s="250" t="s">
        <v>201</v>
      </c>
      <c r="E143" s="352" t="s">
        <v>220</v>
      </c>
      <c r="F143" s="275">
        <v>24</v>
      </c>
      <c r="G143" s="222" t="s">
        <v>3700</v>
      </c>
      <c r="H143" s="7" t="s">
        <v>3562</v>
      </c>
      <c r="I143" s="7" t="s">
        <v>206</v>
      </c>
      <c r="J143" s="7" t="s">
        <v>3695</v>
      </c>
      <c r="K143" s="7" t="s">
        <v>3701</v>
      </c>
      <c r="L143" s="222" t="s">
        <v>3702</v>
      </c>
      <c r="M143" s="7"/>
      <c r="N143" s="54">
        <v>45988</v>
      </c>
      <c r="O143" s="327" t="s">
        <v>464</v>
      </c>
      <c r="P143" s="7" t="s">
        <v>242</v>
      </c>
      <c r="Q143" s="329">
        <v>0</v>
      </c>
      <c r="S143" s="282">
        <f>22.1+27.25</f>
        <v>49.35</v>
      </c>
      <c r="U143" s="260">
        <v>46042</v>
      </c>
      <c r="V143" s="331">
        <v>46049</v>
      </c>
      <c r="W143" s="329">
        <v>49.35</v>
      </c>
      <c r="X143" s="332" t="s">
        <v>35</v>
      </c>
      <c r="Y143" s="344"/>
      <c r="Z143" s="334"/>
      <c r="AA143" s="332"/>
      <c r="AB143" s="334">
        <f t="shared" si="20"/>
        <v>0</v>
      </c>
      <c r="AC143" s="250" t="s">
        <v>213</v>
      </c>
      <c r="AD143" s="282">
        <v>22.1</v>
      </c>
      <c r="AF143" s="260">
        <v>46073</v>
      </c>
      <c r="AG143" s="251">
        <v>46071</v>
      </c>
      <c r="AH143" s="335">
        <v>16.1</v>
      </c>
      <c r="AI143" s="336" t="s">
        <v>35</v>
      </c>
      <c r="AJ143" s="345"/>
      <c r="AK143" s="335">
        <v>6</v>
      </c>
      <c r="AL143" s="336" t="s">
        <v>35</v>
      </c>
      <c r="AM143" s="338">
        <f t="shared" si="0"/>
        <v>0</v>
      </c>
      <c r="AN143" s="340" t="s">
        <v>213</v>
      </c>
      <c r="AO143" s="282">
        <v>22.1</v>
      </c>
      <c r="AQ143" s="260">
        <v>46101</v>
      </c>
      <c r="AR143" s="340" t="s">
        <v>386</v>
      </c>
      <c r="AS143" s="335">
        <v>22.1</v>
      </c>
      <c r="AT143" s="337" t="s">
        <v>35</v>
      </c>
      <c r="AU143" s="337"/>
      <c r="AV143" s="335"/>
      <c r="AW143" s="337"/>
      <c r="AX143" s="335">
        <f t="shared" si="1"/>
        <v>0</v>
      </c>
      <c r="AY143" s="340" t="s">
        <v>213</v>
      </c>
      <c r="AZ143" s="282">
        <v>22.1</v>
      </c>
      <c r="BB143" s="260">
        <v>46132</v>
      </c>
      <c r="BC143" s="340" t="s">
        <v>223</v>
      </c>
      <c r="BD143" s="335">
        <v>22.1</v>
      </c>
      <c r="BE143" s="337" t="s">
        <v>35</v>
      </c>
      <c r="BF143" s="337"/>
      <c r="BG143" s="335"/>
      <c r="BH143" s="337"/>
      <c r="BI143" s="335">
        <f t="shared" si="2"/>
        <v>0</v>
      </c>
      <c r="BJ143" s="340"/>
      <c r="BK143" s="282">
        <v>22.1</v>
      </c>
      <c r="BM143" s="260">
        <v>46162</v>
      </c>
      <c r="BN143" s="340"/>
      <c r="BO143" s="335"/>
      <c r="BP143" s="337"/>
      <c r="BQ143" s="337"/>
      <c r="BR143" s="335"/>
      <c r="BS143" s="337"/>
      <c r="BT143" s="335">
        <f t="shared" si="3"/>
        <v>22.1</v>
      </c>
      <c r="BU143" s="340"/>
    </row>
    <row r="144" ht="13.95" spans="1:73">
      <c r="A144" s="484">
        <v>170</v>
      </c>
      <c r="B144" s="414" t="s">
        <v>3703</v>
      </c>
      <c r="C144" s="7" t="s">
        <v>3704</v>
      </c>
      <c r="D144" s="250" t="s">
        <v>201</v>
      </c>
      <c r="E144" s="352" t="s">
        <v>220</v>
      </c>
      <c r="F144" s="275">
        <v>24</v>
      </c>
      <c r="G144" s="222" t="s">
        <v>3705</v>
      </c>
      <c r="H144" s="7" t="s">
        <v>3562</v>
      </c>
      <c r="I144" s="7" t="s">
        <v>220</v>
      </c>
      <c r="J144" s="7" t="s">
        <v>3706</v>
      </c>
      <c r="K144" s="7" t="s">
        <v>3707</v>
      </c>
      <c r="L144" s="222" t="s">
        <v>3708</v>
      </c>
      <c r="M144" s="7"/>
      <c r="N144" s="54">
        <v>45989</v>
      </c>
      <c r="O144" s="461" t="s">
        <v>384</v>
      </c>
      <c r="P144" s="7" t="s">
        <v>242</v>
      </c>
      <c r="Q144" s="329">
        <v>0</v>
      </c>
      <c r="S144" s="282">
        <v>20.54</v>
      </c>
      <c r="U144" s="462">
        <v>46032</v>
      </c>
      <c r="V144" s="331">
        <v>46034</v>
      </c>
      <c r="W144" s="329">
        <v>20.54</v>
      </c>
      <c r="X144" s="332" t="s">
        <v>35</v>
      </c>
      <c r="Y144" s="344"/>
      <c r="Z144" s="334"/>
      <c r="AA144" s="332"/>
      <c r="AB144" s="334">
        <f t="shared" si="20"/>
        <v>0</v>
      </c>
      <c r="AC144" s="250" t="s">
        <v>213</v>
      </c>
      <c r="AD144" s="282">
        <v>20.54</v>
      </c>
      <c r="AF144" s="462">
        <v>46063</v>
      </c>
      <c r="AG144" s="251">
        <v>46063</v>
      </c>
      <c r="AH144" s="335">
        <v>20.54</v>
      </c>
      <c r="AI144" s="336" t="s">
        <v>35</v>
      </c>
      <c r="AJ144" s="345"/>
      <c r="AK144" s="338"/>
      <c r="AL144" s="339"/>
      <c r="AM144" s="338">
        <f t="shared" si="0"/>
        <v>0</v>
      </c>
      <c r="AN144" s="340" t="s">
        <v>213</v>
      </c>
      <c r="AO144" s="282">
        <v>20.54</v>
      </c>
      <c r="AQ144" s="462">
        <v>46091</v>
      </c>
      <c r="AR144" s="340" t="s">
        <v>309</v>
      </c>
      <c r="AS144" s="335">
        <v>20.54</v>
      </c>
      <c r="AT144" s="337" t="s">
        <v>35</v>
      </c>
      <c r="AU144" s="337"/>
      <c r="AV144" s="335"/>
      <c r="AW144" s="337"/>
      <c r="AX144" s="335">
        <f t="shared" si="1"/>
        <v>0</v>
      </c>
      <c r="AY144" s="340" t="s">
        <v>213</v>
      </c>
      <c r="AZ144" s="282">
        <v>20.54</v>
      </c>
      <c r="BB144" s="462">
        <v>46122</v>
      </c>
      <c r="BC144" s="340" t="s">
        <v>2465</v>
      </c>
      <c r="BD144" s="335">
        <v>20.54</v>
      </c>
      <c r="BE144" s="337" t="s">
        <v>35</v>
      </c>
      <c r="BF144" s="337"/>
      <c r="BG144" s="335"/>
      <c r="BH144" s="337"/>
      <c r="BI144" s="335">
        <f t="shared" si="2"/>
        <v>0</v>
      </c>
      <c r="BJ144" s="340"/>
      <c r="BK144" s="282">
        <v>20.54</v>
      </c>
      <c r="BM144" s="462">
        <v>46152</v>
      </c>
      <c r="BN144" s="340"/>
      <c r="BO144" s="335"/>
      <c r="BP144" s="337"/>
      <c r="BQ144" s="337"/>
      <c r="BR144" s="335"/>
      <c r="BS144" s="337"/>
      <c r="BT144" s="335">
        <f t="shared" si="3"/>
        <v>20.54</v>
      </c>
      <c r="BU144" s="340"/>
    </row>
    <row r="145" ht="13.95" spans="1:73">
      <c r="A145" s="497">
        <v>171</v>
      </c>
      <c r="B145" s="498" t="s">
        <v>3709</v>
      </c>
      <c r="C145" s="307" t="s">
        <v>3710</v>
      </c>
      <c r="D145" s="499" t="s">
        <v>201</v>
      </c>
      <c r="E145" s="465" t="s">
        <v>220</v>
      </c>
      <c r="F145" s="466">
        <v>24</v>
      </c>
      <c r="G145" s="467" t="s">
        <v>3711</v>
      </c>
      <c r="H145" s="307" t="s">
        <v>3562</v>
      </c>
      <c r="I145" s="307" t="s">
        <v>206</v>
      </c>
      <c r="J145" s="307" t="s">
        <v>3712</v>
      </c>
      <c r="K145" s="307" t="s">
        <v>3713</v>
      </c>
      <c r="L145" s="307" t="s">
        <v>3714</v>
      </c>
      <c r="M145" s="307"/>
      <c r="N145" s="468">
        <v>45995</v>
      </c>
      <c r="O145" s="327" t="s">
        <v>464</v>
      </c>
      <c r="P145" s="307" t="s">
        <v>242</v>
      </c>
      <c r="Q145" s="344"/>
      <c r="S145" s="500">
        <v>0</v>
      </c>
      <c r="U145" s="260">
        <v>46032</v>
      </c>
      <c r="V145" s="350"/>
      <c r="W145" s="334"/>
      <c r="X145" s="332"/>
      <c r="Y145" s="344"/>
      <c r="Z145" s="334"/>
      <c r="AA145" s="332"/>
      <c r="AB145" s="334">
        <f t="shared" si="20"/>
        <v>0</v>
      </c>
      <c r="AC145" s="250" t="s">
        <v>213</v>
      </c>
      <c r="AD145" s="282">
        <v>20.12</v>
      </c>
      <c r="AF145" s="260">
        <v>46063</v>
      </c>
      <c r="AG145" s="251">
        <v>46077</v>
      </c>
      <c r="AH145" s="335">
        <v>20.12</v>
      </c>
      <c r="AI145" s="336" t="s">
        <v>56</v>
      </c>
      <c r="AJ145" s="345"/>
      <c r="AK145" s="338"/>
      <c r="AL145" s="339"/>
      <c r="AM145" s="338">
        <f t="shared" si="0"/>
        <v>0</v>
      </c>
      <c r="AN145" s="340" t="s">
        <v>213</v>
      </c>
      <c r="AO145" s="282">
        <v>20.12</v>
      </c>
      <c r="AQ145" s="260">
        <v>46091</v>
      </c>
      <c r="AR145" s="340" t="s">
        <v>748</v>
      </c>
      <c r="AS145" s="335">
        <v>22.12</v>
      </c>
      <c r="AT145" s="337" t="s">
        <v>35</v>
      </c>
      <c r="AU145" s="337"/>
      <c r="AV145" s="335"/>
      <c r="AW145" s="337"/>
      <c r="AX145" s="335">
        <f t="shared" si="1"/>
        <v>-2</v>
      </c>
      <c r="AY145" s="340" t="s">
        <v>213</v>
      </c>
      <c r="AZ145" s="282">
        <v>20.12</v>
      </c>
      <c r="BB145" s="260">
        <v>46122</v>
      </c>
      <c r="BC145" s="340" t="s">
        <v>626</v>
      </c>
      <c r="BD145" s="335">
        <v>20.12</v>
      </c>
      <c r="BE145" s="337" t="s">
        <v>35</v>
      </c>
      <c r="BF145" s="337"/>
      <c r="BG145" s="335"/>
      <c r="BH145" s="337"/>
      <c r="BI145" s="335">
        <f t="shared" si="2"/>
        <v>-2</v>
      </c>
      <c r="BJ145" s="340"/>
      <c r="BK145" s="282">
        <v>20.12</v>
      </c>
      <c r="BM145" s="260">
        <v>46152</v>
      </c>
      <c r="BN145" s="340"/>
      <c r="BO145" s="335"/>
      <c r="BP145" s="337"/>
      <c r="BQ145" s="337"/>
      <c r="BR145" s="335"/>
      <c r="BS145" s="337"/>
      <c r="BT145" s="335">
        <f t="shared" si="3"/>
        <v>18.12</v>
      </c>
      <c r="BU145" s="340"/>
    </row>
    <row r="146" ht="13.95" spans="1:73">
      <c r="A146" s="497">
        <v>172</v>
      </c>
      <c r="B146" s="414" t="s">
        <v>3715</v>
      </c>
      <c r="C146" s="7" t="s">
        <v>3716</v>
      </c>
      <c r="D146" s="501" t="s">
        <v>1704</v>
      </c>
      <c r="E146" s="275" t="s">
        <v>220</v>
      </c>
      <c r="F146" s="275">
        <v>24</v>
      </c>
      <c r="G146" s="222" t="s">
        <v>3717</v>
      </c>
      <c r="H146" s="7" t="s">
        <v>3407</v>
      </c>
      <c r="I146" s="7" t="s">
        <v>220</v>
      </c>
      <c r="J146" s="7" t="s">
        <v>3407</v>
      </c>
      <c r="K146" s="7" t="s">
        <v>3718</v>
      </c>
      <c r="L146" s="222" t="s">
        <v>3719</v>
      </c>
      <c r="M146" s="7"/>
      <c r="N146" s="54">
        <v>46020</v>
      </c>
      <c r="O146" s="461" t="s">
        <v>384</v>
      </c>
      <c r="P146" s="7" t="s">
        <v>242</v>
      </c>
      <c r="Q146" s="344"/>
      <c r="S146" s="282">
        <v>20.54</v>
      </c>
      <c r="U146" s="260">
        <v>46032</v>
      </c>
      <c r="V146" s="350"/>
      <c r="W146" s="334"/>
      <c r="X146" s="332"/>
      <c r="Y146" s="344"/>
      <c r="Z146" s="334"/>
      <c r="AA146" s="332"/>
      <c r="AB146" s="334">
        <f t="shared" si="20"/>
        <v>20.54</v>
      </c>
      <c r="AC146" s="250" t="s">
        <v>213</v>
      </c>
      <c r="AD146" s="282">
        <v>10</v>
      </c>
      <c r="AF146" s="260">
        <v>46063</v>
      </c>
      <c r="AH146" s="338"/>
      <c r="AI146" s="339"/>
      <c r="AJ146" s="345"/>
      <c r="AK146" s="338"/>
      <c r="AL146" s="339"/>
      <c r="AM146" s="338">
        <f t="shared" si="0"/>
        <v>30.54</v>
      </c>
      <c r="AN146" s="340" t="s">
        <v>213</v>
      </c>
      <c r="AO146" s="282">
        <v>10</v>
      </c>
      <c r="AQ146" s="260">
        <v>46091</v>
      </c>
      <c r="AR146" s="340"/>
      <c r="AS146" s="335"/>
      <c r="AT146" s="337"/>
      <c r="AU146" s="337"/>
      <c r="AV146" s="335"/>
      <c r="AW146" s="337"/>
      <c r="AX146" s="335">
        <f t="shared" si="1"/>
        <v>40.54</v>
      </c>
      <c r="AY146" s="340" t="s">
        <v>213</v>
      </c>
      <c r="AZ146" s="282">
        <v>10</v>
      </c>
      <c r="BB146" s="260">
        <v>46122</v>
      </c>
      <c r="BC146" s="340"/>
      <c r="BD146" s="335"/>
      <c r="BE146" s="337"/>
      <c r="BF146" s="337"/>
      <c r="BG146" s="335"/>
      <c r="BH146" s="337"/>
      <c r="BI146" s="335">
        <f t="shared" si="2"/>
        <v>50.54</v>
      </c>
      <c r="BJ146" s="340"/>
      <c r="BK146" s="282">
        <v>10</v>
      </c>
      <c r="BM146" s="260">
        <v>46152</v>
      </c>
      <c r="BN146" s="340"/>
      <c r="BO146" s="335"/>
      <c r="BP146" s="337"/>
      <c r="BQ146" s="337"/>
      <c r="BR146" s="335"/>
      <c r="BS146" s="337"/>
      <c r="BT146" s="335">
        <f t="shared" si="3"/>
        <v>60.54</v>
      </c>
      <c r="BU146" s="340"/>
    </row>
    <row r="147" ht="13.2" spans="1:73">
      <c r="A147" s="484">
        <v>173</v>
      </c>
      <c r="B147" s="498" t="s">
        <v>3720</v>
      </c>
      <c r="C147" s="307" t="s">
        <v>3721</v>
      </c>
      <c r="D147" s="499" t="s">
        <v>201</v>
      </c>
      <c r="E147" s="466" t="s">
        <v>220</v>
      </c>
      <c r="F147" s="466">
        <v>24</v>
      </c>
      <c r="G147" s="467" t="s">
        <v>3722</v>
      </c>
      <c r="H147" s="307" t="s">
        <v>2615</v>
      </c>
      <c r="I147" s="307" t="s">
        <v>220</v>
      </c>
      <c r="J147" s="307" t="s">
        <v>3723</v>
      </c>
      <c r="K147" s="307" t="s">
        <v>3724</v>
      </c>
      <c r="L147" s="307" t="s">
        <v>3725</v>
      </c>
      <c r="M147" s="307"/>
      <c r="N147" s="502">
        <v>46034</v>
      </c>
      <c r="O147" s="461" t="s">
        <v>384</v>
      </c>
      <c r="P147" s="307" t="s">
        <v>242</v>
      </c>
      <c r="Q147" s="503"/>
      <c r="R147" s="503"/>
      <c r="S147" s="504">
        <v>12.5</v>
      </c>
      <c r="T147" s="503"/>
      <c r="U147" s="502">
        <v>46032</v>
      </c>
      <c r="V147" s="505">
        <v>46032</v>
      </c>
      <c r="W147" s="506">
        <v>12.5</v>
      </c>
      <c r="X147" s="507" t="s">
        <v>23</v>
      </c>
      <c r="Y147" s="508"/>
      <c r="Z147" s="508"/>
      <c r="AA147" s="507"/>
      <c r="AB147" s="508"/>
      <c r="AC147" s="250" t="s">
        <v>213</v>
      </c>
      <c r="AD147" s="504">
        <v>12.5</v>
      </c>
      <c r="AE147" s="503"/>
      <c r="AF147" s="502">
        <v>46063</v>
      </c>
      <c r="AG147" s="251">
        <v>46076</v>
      </c>
      <c r="AH147" s="335">
        <v>12.5</v>
      </c>
      <c r="AI147" s="336" t="s">
        <v>23</v>
      </c>
      <c r="AJ147" s="345"/>
      <c r="AK147" s="338"/>
      <c r="AL147" s="339"/>
      <c r="AM147" s="338">
        <f t="shared" si="0"/>
        <v>0</v>
      </c>
      <c r="AN147" s="340" t="s">
        <v>213</v>
      </c>
      <c r="AO147" s="504">
        <v>12.5</v>
      </c>
      <c r="AP147" s="503"/>
      <c r="AQ147" s="502">
        <v>46091</v>
      </c>
      <c r="AR147" s="340" t="s">
        <v>748</v>
      </c>
      <c r="AS147" s="335">
        <v>12.5</v>
      </c>
      <c r="AT147" s="337" t="s">
        <v>23</v>
      </c>
      <c r="AU147" s="337"/>
      <c r="AV147" s="335"/>
      <c r="AW147" s="337"/>
      <c r="AX147" s="335">
        <f t="shared" si="1"/>
        <v>0</v>
      </c>
      <c r="AY147" s="340" t="s">
        <v>213</v>
      </c>
      <c r="AZ147" s="504">
        <v>20.54</v>
      </c>
      <c r="BA147" s="503"/>
      <c r="BB147" s="502">
        <v>46122</v>
      </c>
      <c r="BC147" s="340" t="s">
        <v>223</v>
      </c>
      <c r="BD147" s="335">
        <v>20.54</v>
      </c>
      <c r="BE147" s="337" t="s">
        <v>23</v>
      </c>
      <c r="BF147" s="337"/>
      <c r="BG147" s="335"/>
      <c r="BH147" s="337"/>
      <c r="BI147" s="335">
        <f t="shared" si="2"/>
        <v>0</v>
      </c>
      <c r="BJ147" s="340"/>
      <c r="BK147" s="504">
        <v>20.54</v>
      </c>
      <c r="BL147" s="503"/>
      <c r="BM147" s="502">
        <v>46152</v>
      </c>
      <c r="BN147" s="340" t="s">
        <v>843</v>
      </c>
      <c r="BO147" s="335">
        <v>12.5</v>
      </c>
      <c r="BP147" s="337" t="s">
        <v>23</v>
      </c>
      <c r="BQ147" s="337"/>
      <c r="BR147" s="335"/>
      <c r="BS147" s="337"/>
      <c r="BT147" s="335">
        <f t="shared" si="3"/>
        <v>8.04</v>
      </c>
      <c r="BU147" s="340"/>
    </row>
    <row r="148" ht="13.2" spans="1:73">
      <c r="A148" s="484">
        <v>174</v>
      </c>
      <c r="B148" s="7" t="s">
        <v>3726</v>
      </c>
      <c r="C148" s="7" t="s">
        <v>3727</v>
      </c>
      <c r="D148" s="250" t="s">
        <v>201</v>
      </c>
      <c r="E148" s="275" t="s">
        <v>220</v>
      </c>
      <c r="F148" s="275">
        <v>24</v>
      </c>
      <c r="G148" s="222" t="s">
        <v>3728</v>
      </c>
      <c r="H148" s="7" t="s">
        <v>2615</v>
      </c>
      <c r="I148" s="7" t="s">
        <v>206</v>
      </c>
      <c r="J148" s="7" t="s">
        <v>3211</v>
      </c>
      <c r="K148" s="509" t="s">
        <v>3729</v>
      </c>
      <c r="L148" s="222" t="s">
        <v>3730</v>
      </c>
      <c r="M148" s="7"/>
      <c r="N148" s="49">
        <v>46037</v>
      </c>
      <c r="O148" s="7" t="s">
        <v>384</v>
      </c>
      <c r="P148" s="7" t="s">
        <v>242</v>
      </c>
      <c r="S148" s="282">
        <v>0</v>
      </c>
      <c r="U148" s="49">
        <v>46032</v>
      </c>
      <c r="V148" s="350"/>
      <c r="W148" s="334"/>
      <c r="X148" s="332"/>
      <c r="Y148" s="344"/>
      <c r="Z148" s="344"/>
      <c r="AA148" s="332"/>
      <c r="AB148" s="344"/>
      <c r="AC148" s="250" t="s">
        <v>213</v>
      </c>
      <c r="AD148" s="282">
        <v>0</v>
      </c>
      <c r="AF148" s="49">
        <v>46063</v>
      </c>
      <c r="AH148" s="338"/>
      <c r="AI148" s="339"/>
      <c r="AJ148" s="345"/>
      <c r="AK148" s="338"/>
      <c r="AL148" s="339"/>
      <c r="AM148" s="338">
        <f t="shared" si="0"/>
        <v>0</v>
      </c>
      <c r="AN148" s="340" t="s">
        <v>213</v>
      </c>
      <c r="AO148" s="282">
        <v>20.54</v>
      </c>
      <c r="AQ148" s="49">
        <v>46091</v>
      </c>
      <c r="AR148" s="340" t="s">
        <v>748</v>
      </c>
      <c r="AS148" s="335">
        <v>20.55</v>
      </c>
      <c r="AT148" s="337" t="s">
        <v>35</v>
      </c>
      <c r="AU148" s="337"/>
      <c r="AV148" s="335"/>
      <c r="AW148" s="337"/>
      <c r="AX148" s="335">
        <f t="shared" si="1"/>
        <v>-0.0100000000000016</v>
      </c>
      <c r="AY148" s="340" t="s">
        <v>213</v>
      </c>
      <c r="AZ148" s="282">
        <v>20.54</v>
      </c>
      <c r="BB148" s="49">
        <v>46122</v>
      </c>
      <c r="BC148" s="340" t="s">
        <v>563</v>
      </c>
      <c r="BD148" s="335">
        <v>20.55</v>
      </c>
      <c r="BE148" s="337" t="s">
        <v>35</v>
      </c>
      <c r="BF148" s="337"/>
      <c r="BG148" s="335"/>
      <c r="BH148" s="337"/>
      <c r="BI148" s="335">
        <f t="shared" si="2"/>
        <v>-0.0200000000000031</v>
      </c>
      <c r="BJ148" s="340"/>
      <c r="BK148" s="282">
        <v>20.54</v>
      </c>
      <c r="BM148" s="49">
        <v>46152</v>
      </c>
      <c r="BN148" s="340"/>
      <c r="BO148" s="335"/>
      <c r="BP148" s="337"/>
      <c r="BQ148" s="337"/>
      <c r="BR148" s="335"/>
      <c r="BS148" s="337"/>
      <c r="BT148" s="335">
        <f t="shared" si="3"/>
        <v>20.52</v>
      </c>
      <c r="BU148" s="340"/>
    </row>
    <row r="149" ht="13.2" spans="1:73">
      <c r="A149" s="484">
        <v>175</v>
      </c>
      <c r="B149" s="7" t="s">
        <v>3731</v>
      </c>
      <c r="C149" s="7" t="s">
        <v>3732</v>
      </c>
      <c r="D149" s="250" t="s">
        <v>988</v>
      </c>
      <c r="E149" s="275" t="s">
        <v>220</v>
      </c>
      <c r="F149" s="275">
        <v>24</v>
      </c>
      <c r="G149" s="222" t="s">
        <v>3733</v>
      </c>
      <c r="H149" s="7" t="s">
        <v>2615</v>
      </c>
      <c r="I149" s="7" t="s">
        <v>206</v>
      </c>
      <c r="J149" s="7" t="s">
        <v>3211</v>
      </c>
      <c r="K149" s="509" t="s">
        <v>3729</v>
      </c>
      <c r="L149" s="7" t="s">
        <v>3734</v>
      </c>
      <c r="M149" s="7"/>
      <c r="N149" s="49">
        <v>46036</v>
      </c>
      <c r="O149" s="7" t="s">
        <v>384</v>
      </c>
      <c r="P149" s="7" t="s">
        <v>242</v>
      </c>
      <c r="S149" s="282">
        <v>0</v>
      </c>
      <c r="U149" s="49">
        <v>46032</v>
      </c>
      <c r="V149" s="350"/>
      <c r="W149" s="334"/>
      <c r="X149" s="332"/>
      <c r="Y149" s="344"/>
      <c r="Z149" s="344"/>
      <c r="AA149" s="332"/>
      <c r="AB149" s="344"/>
      <c r="AC149" s="250" t="s">
        <v>213</v>
      </c>
      <c r="AD149" s="282">
        <v>0</v>
      </c>
      <c r="AF149" s="49">
        <v>46063</v>
      </c>
      <c r="AH149" s="338"/>
      <c r="AI149" s="339"/>
      <c r="AJ149" s="345"/>
      <c r="AK149" s="338"/>
      <c r="AL149" s="339"/>
      <c r="AM149" s="338">
        <f t="shared" si="0"/>
        <v>0</v>
      </c>
      <c r="AN149" s="340" t="s">
        <v>213</v>
      </c>
      <c r="AO149" s="282">
        <v>14</v>
      </c>
      <c r="AQ149" s="49">
        <v>46091</v>
      </c>
      <c r="AR149" s="340" t="s">
        <v>840</v>
      </c>
      <c r="AS149" s="335">
        <v>14</v>
      </c>
      <c r="AT149" s="337" t="s">
        <v>23</v>
      </c>
      <c r="AU149" s="337"/>
      <c r="AV149" s="335"/>
      <c r="AW149" s="337"/>
      <c r="AX149" s="335">
        <f t="shared" si="1"/>
        <v>0</v>
      </c>
      <c r="AY149" s="340" t="s">
        <v>213</v>
      </c>
      <c r="AZ149" s="282">
        <v>14</v>
      </c>
      <c r="BB149" s="49">
        <v>46122</v>
      </c>
      <c r="BC149" s="340" t="s">
        <v>234</v>
      </c>
      <c r="BD149" s="335">
        <v>14</v>
      </c>
      <c r="BE149" s="337" t="s">
        <v>23</v>
      </c>
      <c r="BF149" s="337" t="s">
        <v>3735</v>
      </c>
      <c r="BG149" s="335"/>
      <c r="BH149" s="337"/>
      <c r="BI149" s="335">
        <f t="shared" si="2"/>
        <v>0</v>
      </c>
      <c r="BJ149" s="340"/>
      <c r="BK149" s="282">
        <v>14</v>
      </c>
      <c r="BM149" s="49">
        <v>46152</v>
      </c>
      <c r="BN149" s="340"/>
      <c r="BO149" s="335"/>
      <c r="BP149" s="337"/>
      <c r="BQ149" s="337"/>
      <c r="BR149" s="335"/>
      <c r="BS149" s="337"/>
      <c r="BT149" s="335">
        <f t="shared" si="3"/>
        <v>14</v>
      </c>
      <c r="BU149" s="340"/>
    </row>
    <row r="150" ht="13.2" spans="1:73">
      <c r="A150" s="484">
        <v>176</v>
      </c>
      <c r="B150" s="7" t="s">
        <v>3736</v>
      </c>
      <c r="C150" s="7" t="s">
        <v>3737</v>
      </c>
      <c r="D150" s="250" t="s">
        <v>201</v>
      </c>
      <c r="E150" s="275" t="s">
        <v>220</v>
      </c>
      <c r="F150" s="275">
        <v>24</v>
      </c>
      <c r="G150" s="222" t="s">
        <v>3738</v>
      </c>
      <c r="H150" s="7" t="s">
        <v>2615</v>
      </c>
      <c r="I150" s="7" t="s">
        <v>220</v>
      </c>
      <c r="J150" s="7" t="s">
        <v>3739</v>
      </c>
      <c r="K150" s="250" t="s">
        <v>3740</v>
      </c>
      <c r="L150" s="340" t="s">
        <v>3741</v>
      </c>
      <c r="M150" s="7"/>
      <c r="N150" s="49">
        <v>46038</v>
      </c>
      <c r="O150" s="7" t="s">
        <v>384</v>
      </c>
      <c r="P150" s="7" t="s">
        <v>242</v>
      </c>
      <c r="S150" s="282">
        <v>0</v>
      </c>
      <c r="U150" s="49">
        <v>46032</v>
      </c>
      <c r="V150" s="350"/>
      <c r="W150" s="334"/>
      <c r="X150" s="332"/>
      <c r="Y150" s="344"/>
      <c r="Z150" s="344"/>
      <c r="AA150" s="332"/>
      <c r="AB150" s="344"/>
      <c r="AC150" s="250" t="s">
        <v>213</v>
      </c>
      <c r="AD150" s="282">
        <v>20.54</v>
      </c>
      <c r="AF150" s="49">
        <v>46063</v>
      </c>
      <c r="AG150" s="251">
        <v>46056</v>
      </c>
      <c r="AH150" s="335">
        <v>20.54</v>
      </c>
      <c r="AI150" s="336" t="s">
        <v>23</v>
      </c>
      <c r="AJ150" s="345"/>
      <c r="AK150" s="338"/>
      <c r="AL150" s="339"/>
      <c r="AM150" s="338">
        <f t="shared" si="0"/>
        <v>0</v>
      </c>
      <c r="AN150" s="340" t="s">
        <v>213</v>
      </c>
      <c r="AO150" s="282">
        <v>20.54</v>
      </c>
      <c r="AQ150" s="49">
        <v>46091</v>
      </c>
      <c r="AR150" s="340" t="s">
        <v>498</v>
      </c>
      <c r="AS150" s="335">
        <v>20.54</v>
      </c>
      <c r="AT150" s="337" t="s">
        <v>23</v>
      </c>
      <c r="AU150" s="337"/>
      <c r="AV150" s="335"/>
      <c r="AW150" s="337"/>
      <c r="AX150" s="335">
        <f t="shared" si="1"/>
        <v>0</v>
      </c>
      <c r="AY150" s="340" t="s">
        <v>213</v>
      </c>
      <c r="AZ150" s="282">
        <v>20.54</v>
      </c>
      <c r="BB150" s="49">
        <v>46122</v>
      </c>
      <c r="BC150" s="340" t="s">
        <v>563</v>
      </c>
      <c r="BD150" s="335">
        <v>20.54</v>
      </c>
      <c r="BE150" s="337" t="s">
        <v>23</v>
      </c>
      <c r="BF150" s="337"/>
      <c r="BG150" s="335"/>
      <c r="BH150" s="337"/>
      <c r="BI150" s="335">
        <f t="shared" si="2"/>
        <v>0</v>
      </c>
      <c r="BJ150" s="340"/>
      <c r="BK150" s="282">
        <v>20.54</v>
      </c>
      <c r="BM150" s="49">
        <v>46152</v>
      </c>
      <c r="BN150" s="340"/>
      <c r="BO150" s="335"/>
      <c r="BP150" s="337"/>
      <c r="BQ150" s="337"/>
      <c r="BR150" s="335"/>
      <c r="BS150" s="337"/>
      <c r="BT150" s="335">
        <f t="shared" si="3"/>
        <v>20.54</v>
      </c>
      <c r="BU150" s="340"/>
    </row>
    <row r="151" ht="13.2" spans="1:73">
      <c r="A151" s="484">
        <v>177</v>
      </c>
      <c r="B151" s="7" t="s">
        <v>3742</v>
      </c>
      <c r="C151" s="7" t="s">
        <v>3743</v>
      </c>
      <c r="D151" s="250" t="s">
        <v>201</v>
      </c>
      <c r="E151" s="275" t="s">
        <v>220</v>
      </c>
      <c r="F151" s="275">
        <v>24</v>
      </c>
      <c r="G151" s="222" t="s">
        <v>3744</v>
      </c>
      <c r="H151" s="7" t="s">
        <v>3739</v>
      </c>
      <c r="I151" s="7" t="s">
        <v>206</v>
      </c>
      <c r="J151" s="7" t="s">
        <v>3745</v>
      </c>
      <c r="K151" s="7" t="s">
        <v>3746</v>
      </c>
      <c r="L151" s="222" t="s">
        <v>3747</v>
      </c>
      <c r="M151" s="7"/>
      <c r="N151" s="49">
        <v>46046</v>
      </c>
      <c r="O151" s="7" t="s">
        <v>384</v>
      </c>
      <c r="P151" s="7" t="s">
        <v>242</v>
      </c>
      <c r="U151" s="7"/>
      <c r="V151" s="350"/>
      <c r="AC151" s="250" t="s">
        <v>213</v>
      </c>
      <c r="AD151" s="257"/>
      <c r="AF151" s="7"/>
      <c r="AH151" s="338"/>
      <c r="AI151" s="339"/>
      <c r="AJ151" s="345"/>
      <c r="AK151" s="338"/>
      <c r="AL151" s="339"/>
      <c r="AM151" s="338"/>
      <c r="AN151" s="340" t="s">
        <v>213</v>
      </c>
      <c r="AO151" s="282">
        <v>20.54</v>
      </c>
      <c r="AQ151" s="49">
        <v>46091</v>
      </c>
      <c r="AR151" s="340" t="s">
        <v>748</v>
      </c>
      <c r="AS151" s="335">
        <v>20.54</v>
      </c>
      <c r="AT151" s="337" t="s">
        <v>35</v>
      </c>
      <c r="AU151" s="337"/>
      <c r="AV151" s="335"/>
      <c r="AW151" s="337"/>
      <c r="AX151" s="335">
        <f t="shared" si="1"/>
        <v>0</v>
      </c>
      <c r="AY151" s="340" t="s">
        <v>213</v>
      </c>
      <c r="AZ151" s="282">
        <v>20.54</v>
      </c>
      <c r="BB151" s="49">
        <v>46122</v>
      </c>
      <c r="BC151" s="340" t="s">
        <v>905</v>
      </c>
      <c r="BD151" s="335">
        <v>20.5</v>
      </c>
      <c r="BE151" s="337" t="s">
        <v>35</v>
      </c>
      <c r="BF151" s="337"/>
      <c r="BG151" s="335"/>
      <c r="BH151" s="337"/>
      <c r="BI151" s="335">
        <f t="shared" si="2"/>
        <v>0.0399999999999991</v>
      </c>
      <c r="BJ151" s="340"/>
      <c r="BK151" s="282">
        <v>20.54</v>
      </c>
      <c r="BM151" s="49">
        <v>46152</v>
      </c>
      <c r="BN151" s="340"/>
      <c r="BO151" s="335"/>
      <c r="BP151" s="337"/>
      <c r="BQ151" s="337"/>
      <c r="BR151" s="335"/>
      <c r="BS151" s="337"/>
      <c r="BT151" s="335">
        <f t="shared" si="3"/>
        <v>20.58</v>
      </c>
      <c r="BU151" s="340"/>
    </row>
    <row r="152" ht="13.2" spans="1:73">
      <c r="A152" s="484">
        <v>178</v>
      </c>
      <c r="B152" s="7" t="s">
        <v>3748</v>
      </c>
      <c r="C152" s="7" t="s">
        <v>3749</v>
      </c>
      <c r="D152" s="250" t="s">
        <v>201</v>
      </c>
      <c r="E152" s="275" t="s">
        <v>220</v>
      </c>
      <c r="F152" s="275">
        <v>24</v>
      </c>
      <c r="G152" s="222" t="s">
        <v>3750</v>
      </c>
      <c r="H152" s="7" t="s">
        <v>3739</v>
      </c>
      <c r="I152" s="7" t="s">
        <v>206</v>
      </c>
      <c r="J152" s="7" t="s">
        <v>3751</v>
      </c>
      <c r="K152" s="7" t="s">
        <v>3752</v>
      </c>
      <c r="L152" s="7" t="s">
        <v>3753</v>
      </c>
      <c r="M152" s="7"/>
      <c r="N152" s="49">
        <v>46042</v>
      </c>
      <c r="O152" s="7" t="s">
        <v>2197</v>
      </c>
      <c r="P152" s="7" t="s">
        <v>242</v>
      </c>
      <c r="U152" s="7"/>
      <c r="V152" s="350"/>
      <c r="AC152" s="250" t="s">
        <v>213</v>
      </c>
      <c r="AD152" s="257"/>
      <c r="AF152" s="7"/>
      <c r="AH152" s="338"/>
      <c r="AI152" s="339"/>
      <c r="AJ152" s="345"/>
      <c r="AK152" s="338"/>
      <c r="AL152" s="339"/>
      <c r="AM152" s="338">
        <f t="shared" ref="AM152:AM162" si="21">(AB152+AD152+AE152)-(AH152+AK152)</f>
        <v>0</v>
      </c>
      <c r="AN152" s="340" t="s">
        <v>213</v>
      </c>
      <c r="AO152" s="257"/>
      <c r="AQ152" s="7"/>
      <c r="AR152" s="340"/>
      <c r="AS152" s="335"/>
      <c r="AT152" s="337"/>
      <c r="AU152" s="337"/>
      <c r="AV152" s="335"/>
      <c r="AW152" s="337"/>
      <c r="AX152" s="335">
        <f t="shared" si="1"/>
        <v>0</v>
      </c>
      <c r="AY152" s="340" t="s">
        <v>213</v>
      </c>
      <c r="AZ152" s="282">
        <v>25</v>
      </c>
      <c r="BB152" s="49">
        <v>46122</v>
      </c>
      <c r="BC152" s="340" t="s">
        <v>398</v>
      </c>
      <c r="BD152" s="335">
        <v>25</v>
      </c>
      <c r="BE152" s="337" t="s">
        <v>23</v>
      </c>
      <c r="BF152" s="337"/>
      <c r="BG152" s="335"/>
      <c r="BH152" s="337"/>
      <c r="BI152" s="335">
        <f t="shared" si="2"/>
        <v>0</v>
      </c>
      <c r="BJ152" s="340"/>
      <c r="BK152" s="282">
        <v>25</v>
      </c>
      <c r="BM152" s="49">
        <v>46152</v>
      </c>
      <c r="BN152" s="340"/>
      <c r="BO152" s="335"/>
      <c r="BP152" s="337"/>
      <c r="BQ152" s="337"/>
      <c r="BR152" s="335"/>
      <c r="BS152" s="337"/>
      <c r="BT152" s="335">
        <f t="shared" si="3"/>
        <v>25</v>
      </c>
      <c r="BU152" s="340"/>
    </row>
    <row r="153" ht="13.2" spans="1:73">
      <c r="A153" s="484">
        <v>179</v>
      </c>
      <c r="B153" s="7" t="s">
        <v>3754</v>
      </c>
      <c r="C153" s="7" t="s">
        <v>3755</v>
      </c>
      <c r="D153" s="250" t="s">
        <v>201</v>
      </c>
      <c r="E153" s="275" t="s">
        <v>220</v>
      </c>
      <c r="F153" s="275">
        <v>24</v>
      </c>
      <c r="G153" s="222" t="s">
        <v>3756</v>
      </c>
      <c r="H153" s="7" t="s">
        <v>2615</v>
      </c>
      <c r="I153" s="7" t="s">
        <v>220</v>
      </c>
      <c r="J153" s="7" t="s">
        <v>3757</v>
      </c>
      <c r="K153" s="7" t="s">
        <v>3758</v>
      </c>
      <c r="L153" s="222" t="s">
        <v>3759</v>
      </c>
      <c r="M153" s="7"/>
      <c r="N153" s="49">
        <v>46049</v>
      </c>
      <c r="O153" s="7" t="s">
        <v>2197</v>
      </c>
      <c r="P153" s="7" t="s">
        <v>242</v>
      </c>
      <c r="U153" s="7"/>
      <c r="V153" s="350"/>
      <c r="AC153" s="250" t="s">
        <v>213</v>
      </c>
      <c r="AD153" s="282">
        <v>25</v>
      </c>
      <c r="AF153" s="251">
        <v>46063</v>
      </c>
      <c r="AG153" s="251">
        <v>46058</v>
      </c>
      <c r="AH153" s="335">
        <v>25</v>
      </c>
      <c r="AI153" s="336" t="s">
        <v>23</v>
      </c>
      <c r="AJ153" s="345"/>
      <c r="AK153" s="338"/>
      <c r="AL153" s="339"/>
      <c r="AM153" s="338">
        <f t="shared" si="21"/>
        <v>0</v>
      </c>
      <c r="AN153" s="340" t="s">
        <v>213</v>
      </c>
      <c r="AO153" s="282">
        <v>25</v>
      </c>
      <c r="AQ153" s="251">
        <v>46091</v>
      </c>
      <c r="AR153" s="340" t="s">
        <v>233</v>
      </c>
      <c r="AS153" s="335">
        <v>25</v>
      </c>
      <c r="AT153" s="337" t="s">
        <v>35</v>
      </c>
      <c r="AU153" s="337"/>
      <c r="AV153" s="335"/>
      <c r="AW153" s="337"/>
      <c r="AX153" s="335">
        <f t="shared" si="1"/>
        <v>0</v>
      </c>
      <c r="AY153" s="340" t="s">
        <v>213</v>
      </c>
      <c r="AZ153" s="282">
        <v>25</v>
      </c>
      <c r="BB153" s="251">
        <v>46122</v>
      </c>
      <c r="BC153" s="340" t="s">
        <v>954</v>
      </c>
      <c r="BD153" s="335">
        <v>25</v>
      </c>
      <c r="BE153" s="337" t="s">
        <v>35</v>
      </c>
      <c r="BF153" s="337"/>
      <c r="BG153" s="335"/>
      <c r="BH153" s="337"/>
      <c r="BI153" s="335">
        <f t="shared" si="2"/>
        <v>0</v>
      </c>
      <c r="BJ153" s="340" t="s">
        <v>3760</v>
      </c>
      <c r="BK153" s="282">
        <v>25</v>
      </c>
      <c r="BM153" s="251">
        <v>46152</v>
      </c>
      <c r="BN153" s="340" t="s">
        <v>683</v>
      </c>
      <c r="BO153" s="335">
        <v>25</v>
      </c>
      <c r="BP153" s="337" t="s">
        <v>35</v>
      </c>
      <c r="BQ153" s="337"/>
      <c r="BR153" s="335"/>
      <c r="BS153" s="337"/>
      <c r="BT153" s="335">
        <f t="shared" si="3"/>
        <v>0</v>
      </c>
      <c r="BU153" s="340"/>
    </row>
    <row r="154" ht="13.2" spans="1:73">
      <c r="A154" s="484">
        <v>180</v>
      </c>
      <c r="B154" s="7" t="s">
        <v>3761</v>
      </c>
      <c r="C154" s="7" t="s">
        <v>3762</v>
      </c>
      <c r="D154" s="250" t="s">
        <v>201</v>
      </c>
      <c r="E154" s="275" t="s">
        <v>220</v>
      </c>
      <c r="F154" s="275">
        <v>24</v>
      </c>
      <c r="G154" s="222" t="s">
        <v>3763</v>
      </c>
      <c r="H154" s="7" t="s">
        <v>2615</v>
      </c>
      <c r="I154" s="7" t="s">
        <v>206</v>
      </c>
      <c r="J154" s="7" t="s">
        <v>3764</v>
      </c>
      <c r="K154" s="7" t="s">
        <v>3765</v>
      </c>
      <c r="L154" s="7" t="s">
        <v>3766</v>
      </c>
      <c r="M154" s="7"/>
      <c r="N154" s="232">
        <v>46049</v>
      </c>
      <c r="O154" s="7" t="s">
        <v>384</v>
      </c>
      <c r="P154" s="7" t="s">
        <v>242</v>
      </c>
      <c r="U154" s="7"/>
      <c r="V154" s="350"/>
      <c r="AC154" s="250" t="s">
        <v>213</v>
      </c>
      <c r="AD154" s="257"/>
      <c r="AH154" s="338"/>
      <c r="AI154" s="339"/>
      <c r="AJ154" s="345"/>
      <c r="AK154" s="338"/>
      <c r="AL154" s="339"/>
      <c r="AM154" s="338">
        <f t="shared" si="21"/>
        <v>0</v>
      </c>
      <c r="AN154" s="340" t="s">
        <v>213</v>
      </c>
      <c r="AO154" s="282">
        <v>10.27</v>
      </c>
      <c r="AQ154" s="251">
        <v>46091</v>
      </c>
      <c r="AR154" s="340" t="s">
        <v>386</v>
      </c>
      <c r="AS154" s="335">
        <v>10.27</v>
      </c>
      <c r="AT154" s="337" t="s">
        <v>23</v>
      </c>
      <c r="AU154" s="337"/>
      <c r="AV154" s="335"/>
      <c r="AW154" s="337"/>
      <c r="AX154" s="335">
        <f t="shared" si="1"/>
        <v>0</v>
      </c>
      <c r="AY154" s="340" t="s">
        <v>3767</v>
      </c>
      <c r="AZ154" s="282">
        <v>10.27</v>
      </c>
      <c r="BB154" s="251">
        <v>46122</v>
      </c>
      <c r="BC154" s="340" t="s">
        <v>626</v>
      </c>
      <c r="BD154" s="335">
        <v>10.27</v>
      </c>
      <c r="BE154" s="337" t="s">
        <v>35</v>
      </c>
      <c r="BF154" s="337"/>
      <c r="BG154" s="335"/>
      <c r="BH154" s="337"/>
      <c r="BI154" s="335">
        <f t="shared" si="2"/>
        <v>0</v>
      </c>
      <c r="BJ154" s="340" t="s">
        <v>3768</v>
      </c>
      <c r="BK154" s="282">
        <v>10.27</v>
      </c>
      <c r="BM154" s="251">
        <v>46152</v>
      </c>
      <c r="BN154" s="340"/>
      <c r="BO154" s="335"/>
      <c r="BP154" s="337"/>
      <c r="BQ154" s="337"/>
      <c r="BR154" s="335"/>
      <c r="BS154" s="337"/>
      <c r="BT154" s="335">
        <f t="shared" si="3"/>
        <v>10.27</v>
      </c>
      <c r="BU154" s="340"/>
    </row>
    <row r="155" ht="13.95" spans="1:73">
      <c r="A155" s="484">
        <v>181</v>
      </c>
      <c r="B155" s="7" t="s">
        <v>3769</v>
      </c>
      <c r="C155" s="7" t="s">
        <v>3770</v>
      </c>
      <c r="D155" s="250" t="s">
        <v>201</v>
      </c>
      <c r="E155" s="275" t="s">
        <v>220</v>
      </c>
      <c r="F155" s="275">
        <v>24</v>
      </c>
      <c r="G155" s="222" t="s">
        <v>3771</v>
      </c>
      <c r="H155" s="7" t="s">
        <v>3739</v>
      </c>
      <c r="I155" s="7" t="s">
        <v>206</v>
      </c>
      <c r="J155" s="7" t="s">
        <v>3772</v>
      </c>
      <c r="K155" s="7" t="s">
        <v>3773</v>
      </c>
      <c r="L155" s="7" t="s">
        <v>3774</v>
      </c>
      <c r="M155" s="7"/>
      <c r="N155" s="232">
        <v>46049</v>
      </c>
      <c r="O155" s="7" t="s">
        <v>384</v>
      </c>
      <c r="P155" s="7" t="s">
        <v>242</v>
      </c>
      <c r="U155" s="7"/>
      <c r="V155" s="350"/>
      <c r="AC155" s="250" t="s">
        <v>213</v>
      </c>
      <c r="AD155" s="257"/>
      <c r="AH155" s="338"/>
      <c r="AI155" s="339"/>
      <c r="AJ155" s="345"/>
      <c r="AK155" s="338"/>
      <c r="AL155" s="339"/>
      <c r="AM155" s="338">
        <f t="shared" si="21"/>
        <v>0</v>
      </c>
      <c r="AN155" s="510" t="s">
        <v>213</v>
      </c>
      <c r="AO155" s="282">
        <v>20.54</v>
      </c>
      <c r="AQ155" s="251">
        <v>46091</v>
      </c>
      <c r="AR155" s="340" t="s">
        <v>748</v>
      </c>
      <c r="AS155" s="335">
        <v>42</v>
      </c>
      <c r="AT155" s="337" t="s">
        <v>23</v>
      </c>
      <c r="AU155" s="337"/>
      <c r="AV155" s="335"/>
      <c r="AW155" s="337"/>
      <c r="AX155" s="335">
        <f t="shared" si="1"/>
        <v>-21.46</v>
      </c>
      <c r="AY155" s="340" t="s">
        <v>213</v>
      </c>
      <c r="AZ155" s="282">
        <v>20.54</v>
      </c>
      <c r="BB155" s="251">
        <v>46122</v>
      </c>
      <c r="BC155" s="340" t="s">
        <v>1182</v>
      </c>
      <c r="BD155" s="335">
        <v>1</v>
      </c>
      <c r="BE155" s="337" t="s">
        <v>23</v>
      </c>
      <c r="BF155" s="337"/>
      <c r="BG155" s="335"/>
      <c r="BH155" s="337"/>
      <c r="BI155" s="335">
        <f t="shared" si="2"/>
        <v>-1.92</v>
      </c>
      <c r="BJ155" s="340"/>
      <c r="BK155" s="282">
        <v>20.54</v>
      </c>
      <c r="BM155" s="251">
        <v>46152</v>
      </c>
      <c r="BN155" s="340"/>
      <c r="BO155" s="335"/>
      <c r="BP155" s="337"/>
      <c r="BQ155" s="337"/>
      <c r="BR155" s="335"/>
      <c r="BS155" s="337"/>
      <c r="BT155" s="335">
        <f t="shared" si="3"/>
        <v>18.62</v>
      </c>
      <c r="BU155" s="340"/>
    </row>
    <row r="156" ht="13.2" spans="1:73">
      <c r="A156" s="497">
        <v>182</v>
      </c>
      <c r="B156" s="307" t="s">
        <v>3775</v>
      </c>
      <c r="C156" s="307" t="s">
        <v>3776</v>
      </c>
      <c r="D156" s="499" t="s">
        <v>201</v>
      </c>
      <c r="E156" s="465" t="s">
        <v>220</v>
      </c>
      <c r="F156" s="466">
        <v>24</v>
      </c>
      <c r="G156" s="467" t="s">
        <v>3777</v>
      </c>
      <c r="H156" s="307" t="s">
        <v>3739</v>
      </c>
      <c r="I156" s="307" t="s">
        <v>206</v>
      </c>
      <c r="J156" s="307" t="s">
        <v>3778</v>
      </c>
      <c r="K156" s="307" t="s">
        <v>3779</v>
      </c>
      <c r="L156" s="467" t="s">
        <v>3780</v>
      </c>
      <c r="M156" s="307"/>
      <c r="N156" s="511">
        <v>46062</v>
      </c>
      <c r="O156" s="307" t="s">
        <v>2197</v>
      </c>
      <c r="P156" s="307" t="s">
        <v>242</v>
      </c>
      <c r="Q156" s="503"/>
      <c r="R156" s="503"/>
      <c r="S156" s="503"/>
      <c r="T156" s="503"/>
      <c r="U156" s="307"/>
      <c r="V156" s="512"/>
      <c r="W156" s="503"/>
      <c r="X156" s="503"/>
      <c r="Y156" s="503"/>
      <c r="Z156" s="503"/>
      <c r="AA156" s="503"/>
      <c r="AB156" s="503"/>
      <c r="AC156" s="499" t="s">
        <v>213</v>
      </c>
      <c r="AD156" s="513"/>
      <c r="AE156" s="503"/>
      <c r="AF156" s="503"/>
      <c r="AG156" s="503"/>
      <c r="AH156" s="514"/>
      <c r="AI156" s="515"/>
      <c r="AJ156" s="516"/>
      <c r="AK156" s="514"/>
      <c r="AL156" s="515"/>
      <c r="AM156" s="514">
        <f t="shared" si="21"/>
        <v>0</v>
      </c>
      <c r="AN156" s="250" t="s">
        <v>213</v>
      </c>
      <c r="AO156" s="504">
        <v>0</v>
      </c>
      <c r="AP156" s="503"/>
      <c r="AQ156" s="503"/>
      <c r="AR156" s="250"/>
      <c r="AS156" s="335"/>
      <c r="AT156" s="336"/>
      <c r="AU156" s="337"/>
      <c r="AV156" s="335"/>
      <c r="AW156" s="336"/>
      <c r="AX156" s="335">
        <f t="shared" si="1"/>
        <v>0</v>
      </c>
      <c r="AY156" s="340" t="s">
        <v>213</v>
      </c>
      <c r="AZ156" s="504">
        <v>12.5</v>
      </c>
      <c r="BA156" s="503"/>
      <c r="BB156" s="517">
        <v>46132</v>
      </c>
      <c r="BC156" s="340" t="s">
        <v>626</v>
      </c>
      <c r="BD156" s="335">
        <v>12.5</v>
      </c>
      <c r="BE156" s="337" t="s">
        <v>35</v>
      </c>
      <c r="BF156" s="337"/>
      <c r="BG156" s="335"/>
      <c r="BH156" s="337"/>
      <c r="BI156" s="335">
        <f t="shared" si="2"/>
        <v>0</v>
      </c>
      <c r="BJ156" s="340"/>
      <c r="BK156" s="504">
        <v>12.5</v>
      </c>
      <c r="BL156" s="503"/>
      <c r="BM156" s="517">
        <v>46162</v>
      </c>
      <c r="BN156" s="340"/>
      <c r="BO156" s="335"/>
      <c r="BP156" s="337"/>
      <c r="BQ156" s="337"/>
      <c r="BR156" s="335"/>
      <c r="BS156" s="337"/>
      <c r="BT156" s="335">
        <f t="shared" si="3"/>
        <v>12.5</v>
      </c>
      <c r="BU156" s="340"/>
    </row>
    <row r="157" ht="13.2" spans="1:73">
      <c r="A157" s="484">
        <v>183</v>
      </c>
      <c r="B157" s="7" t="s">
        <v>3781</v>
      </c>
      <c r="C157" s="7" t="s">
        <v>3782</v>
      </c>
      <c r="D157" s="250" t="s">
        <v>201</v>
      </c>
      <c r="E157" s="352" t="s">
        <v>220</v>
      </c>
      <c r="F157" s="275">
        <v>36</v>
      </c>
      <c r="G157" s="222" t="s">
        <v>3783</v>
      </c>
      <c r="H157" s="7" t="s">
        <v>3739</v>
      </c>
      <c r="I157" s="7" t="s">
        <v>206</v>
      </c>
      <c r="J157" s="7" t="s">
        <v>3778</v>
      </c>
      <c r="K157" s="7" t="s">
        <v>3784</v>
      </c>
      <c r="L157" s="7" t="s">
        <v>3785</v>
      </c>
      <c r="M157" s="7"/>
      <c r="N157" s="232">
        <v>46064</v>
      </c>
      <c r="O157" s="7" t="s">
        <v>2197</v>
      </c>
      <c r="P157" s="7" t="s">
        <v>242</v>
      </c>
      <c r="U157" s="7"/>
      <c r="V157" s="350"/>
      <c r="AC157" s="250" t="s">
        <v>213</v>
      </c>
      <c r="AD157" s="257"/>
      <c r="AH157" s="338"/>
      <c r="AI157" s="339"/>
      <c r="AJ157" s="345"/>
      <c r="AK157" s="338"/>
      <c r="AL157" s="339"/>
      <c r="AM157" s="338">
        <f t="shared" si="21"/>
        <v>0</v>
      </c>
      <c r="AN157" s="250" t="s">
        <v>213</v>
      </c>
      <c r="AO157" s="282">
        <f>12.5+16.67</f>
        <v>29.17</v>
      </c>
      <c r="AQ157" s="251">
        <v>46091</v>
      </c>
      <c r="AR157" s="251">
        <v>46091</v>
      </c>
      <c r="AS157" s="335">
        <v>30</v>
      </c>
      <c r="AT157" s="336" t="s">
        <v>35</v>
      </c>
      <c r="AU157" s="337"/>
      <c r="AV157" s="335"/>
      <c r="AW157" s="336"/>
      <c r="AX157" s="335">
        <f t="shared" si="1"/>
        <v>-0.829999999999998</v>
      </c>
      <c r="AY157" s="340" t="s">
        <v>213</v>
      </c>
      <c r="AZ157" s="282">
        <f>12.5+16.67</f>
        <v>29.17</v>
      </c>
      <c r="BB157" s="251">
        <v>46122</v>
      </c>
      <c r="BC157" s="340" t="s">
        <v>321</v>
      </c>
      <c r="BD157" s="335">
        <v>27.17</v>
      </c>
      <c r="BE157" s="337" t="s">
        <v>23</v>
      </c>
      <c r="BF157" s="337"/>
      <c r="BG157" s="335"/>
      <c r="BH157" s="337"/>
      <c r="BI157" s="335">
        <f t="shared" si="2"/>
        <v>1.17</v>
      </c>
      <c r="BJ157" s="340"/>
      <c r="BK157" s="282">
        <f>12.5+16.67</f>
        <v>29.17</v>
      </c>
      <c r="BM157" s="251">
        <v>46152</v>
      </c>
      <c r="BN157" s="340"/>
      <c r="BO157" s="335"/>
      <c r="BP157" s="337"/>
      <c r="BQ157" s="337"/>
      <c r="BR157" s="335"/>
      <c r="BS157" s="337"/>
      <c r="BT157" s="335">
        <f t="shared" si="3"/>
        <v>30.34</v>
      </c>
      <c r="BU157" s="340"/>
    </row>
    <row r="158" ht="13.2" spans="1:73">
      <c r="A158" s="484">
        <v>184</v>
      </c>
      <c r="B158" s="7" t="s">
        <v>3786</v>
      </c>
      <c r="C158" s="7" t="s">
        <v>3787</v>
      </c>
      <c r="D158" s="250" t="s">
        <v>201</v>
      </c>
      <c r="E158" s="352" t="s">
        <v>220</v>
      </c>
      <c r="F158" s="275">
        <v>12</v>
      </c>
      <c r="G158" s="222" t="s">
        <v>2475</v>
      </c>
      <c r="H158" s="7" t="s">
        <v>2615</v>
      </c>
      <c r="I158" s="7" t="s">
        <v>220</v>
      </c>
      <c r="J158" s="7" t="s">
        <v>3788</v>
      </c>
      <c r="K158" s="7" t="s">
        <v>3789</v>
      </c>
      <c r="L158" s="222" t="s">
        <v>3790</v>
      </c>
      <c r="M158" s="7"/>
      <c r="N158" s="49">
        <v>46071</v>
      </c>
      <c r="O158" s="7" t="s">
        <v>384</v>
      </c>
      <c r="P158" s="7" t="s">
        <v>242</v>
      </c>
      <c r="U158" s="7"/>
      <c r="V158" s="350"/>
      <c r="AC158" s="250" t="s">
        <v>213</v>
      </c>
      <c r="AD158" s="282">
        <v>8.25</v>
      </c>
      <c r="AF158" s="251">
        <v>46063</v>
      </c>
      <c r="AG158" s="251">
        <v>46071</v>
      </c>
      <c r="AH158" s="335">
        <v>8.5</v>
      </c>
      <c r="AI158" s="336" t="s">
        <v>56</v>
      </c>
      <c r="AJ158" s="345"/>
      <c r="AK158" s="338"/>
      <c r="AL158" s="339"/>
      <c r="AM158" s="338">
        <f t="shared" si="21"/>
        <v>-0.25</v>
      </c>
      <c r="AN158" s="250" t="s">
        <v>213</v>
      </c>
      <c r="AO158" s="282">
        <v>20.54</v>
      </c>
      <c r="AQ158" s="251">
        <v>46091</v>
      </c>
      <c r="AR158" s="251">
        <v>46087</v>
      </c>
      <c r="AS158" s="335">
        <v>20.54</v>
      </c>
      <c r="AT158" s="336" t="s">
        <v>23</v>
      </c>
      <c r="AU158" s="337"/>
      <c r="AV158" s="335"/>
      <c r="AW158" s="336"/>
      <c r="AX158" s="335">
        <f t="shared" si="1"/>
        <v>-0.25</v>
      </c>
      <c r="AY158" s="340" t="s">
        <v>3791</v>
      </c>
      <c r="AZ158" s="282">
        <v>20.54</v>
      </c>
      <c r="BB158" s="251">
        <v>46122</v>
      </c>
      <c r="BC158" s="340" t="s">
        <v>234</v>
      </c>
      <c r="BD158" s="335">
        <v>20.29</v>
      </c>
      <c r="BE158" s="337" t="s">
        <v>23</v>
      </c>
      <c r="BF158" s="337" t="s">
        <v>3792</v>
      </c>
      <c r="BG158" s="335"/>
      <c r="BH158" s="337"/>
      <c r="BI158" s="335">
        <f t="shared" si="2"/>
        <v>0</v>
      </c>
      <c r="BJ158" s="340" t="s">
        <v>3793</v>
      </c>
      <c r="BK158" s="282">
        <v>20.54</v>
      </c>
      <c r="BM158" s="251">
        <v>46152</v>
      </c>
      <c r="BN158" s="340"/>
      <c r="BO158" s="335"/>
      <c r="BP158" s="337"/>
      <c r="BQ158" s="337"/>
      <c r="BR158" s="335"/>
      <c r="BS158" s="337"/>
      <c r="BT158" s="335">
        <f t="shared" si="3"/>
        <v>20.54</v>
      </c>
      <c r="BU158" s="340"/>
    </row>
    <row r="159" ht="13.2" spans="1:73">
      <c r="A159" s="484">
        <v>185</v>
      </c>
      <c r="B159" s="364" t="s">
        <v>3794</v>
      </c>
      <c r="C159" s="7" t="s">
        <v>3795</v>
      </c>
      <c r="D159" s="250" t="s">
        <v>201</v>
      </c>
      <c r="E159" s="352" t="s">
        <v>220</v>
      </c>
      <c r="F159" s="275">
        <v>24</v>
      </c>
      <c r="G159" s="222" t="s">
        <v>3796</v>
      </c>
      <c r="H159" s="7" t="s">
        <v>3739</v>
      </c>
      <c r="I159" s="7" t="s">
        <v>220</v>
      </c>
      <c r="J159" s="7" t="s">
        <v>3797</v>
      </c>
      <c r="K159" s="7" t="s">
        <v>3746</v>
      </c>
      <c r="L159" s="222" t="s">
        <v>3798</v>
      </c>
      <c r="M159" s="7"/>
      <c r="N159" s="49">
        <v>46073</v>
      </c>
      <c r="O159" s="7" t="s">
        <v>384</v>
      </c>
      <c r="P159" s="7" t="s">
        <v>242</v>
      </c>
      <c r="U159" s="7"/>
      <c r="V159" s="350"/>
      <c r="AC159" s="250" t="s">
        <v>213</v>
      </c>
      <c r="AD159" s="282">
        <v>3.42</v>
      </c>
      <c r="AF159" s="251">
        <v>46063</v>
      </c>
      <c r="AG159" s="251">
        <v>46073</v>
      </c>
      <c r="AH159" s="335">
        <v>3.42</v>
      </c>
      <c r="AI159" s="336" t="s">
        <v>56</v>
      </c>
      <c r="AJ159" s="345"/>
      <c r="AK159" s="338"/>
      <c r="AL159" s="339"/>
      <c r="AM159" s="338">
        <f t="shared" si="21"/>
        <v>0</v>
      </c>
      <c r="AN159" s="250" t="s">
        <v>213</v>
      </c>
      <c r="AO159" s="282">
        <v>10.27</v>
      </c>
      <c r="AQ159" s="251">
        <v>46091</v>
      </c>
      <c r="AR159" s="251">
        <v>46101</v>
      </c>
      <c r="AS159" s="335">
        <v>10.27</v>
      </c>
      <c r="AT159" s="336" t="s">
        <v>35</v>
      </c>
      <c r="AU159" s="337"/>
      <c r="AV159" s="335"/>
      <c r="AW159" s="336"/>
      <c r="AX159" s="335">
        <f t="shared" si="1"/>
        <v>0</v>
      </c>
      <c r="AY159" s="340" t="s">
        <v>213</v>
      </c>
      <c r="AZ159" s="282">
        <v>10.27</v>
      </c>
      <c r="BB159" s="251">
        <v>46122</v>
      </c>
      <c r="BC159" s="340" t="s">
        <v>905</v>
      </c>
      <c r="BD159" s="335">
        <v>10.27</v>
      </c>
      <c r="BE159" s="337" t="s">
        <v>23</v>
      </c>
      <c r="BF159" s="337"/>
      <c r="BG159" s="335"/>
      <c r="BH159" s="337"/>
      <c r="BI159" s="335">
        <f t="shared" si="2"/>
        <v>0</v>
      </c>
      <c r="BJ159" s="340"/>
      <c r="BK159" s="282">
        <v>10.27</v>
      </c>
      <c r="BM159" s="251">
        <v>46152</v>
      </c>
      <c r="BN159" s="340"/>
      <c r="BO159" s="335"/>
      <c r="BP159" s="337"/>
      <c r="BQ159" s="337"/>
      <c r="BR159" s="335"/>
      <c r="BS159" s="337"/>
      <c r="BT159" s="335">
        <f t="shared" si="3"/>
        <v>10.27</v>
      </c>
      <c r="BU159" s="340"/>
    </row>
    <row r="160" ht="13.2" spans="1:73">
      <c r="A160" s="484">
        <v>186</v>
      </c>
      <c r="B160" s="7" t="s">
        <v>3799</v>
      </c>
      <c r="C160" s="7" t="s">
        <v>3800</v>
      </c>
      <c r="D160" s="250" t="s">
        <v>201</v>
      </c>
      <c r="E160" s="352" t="s">
        <v>220</v>
      </c>
      <c r="F160" s="275">
        <v>24</v>
      </c>
      <c r="G160" s="222" t="s">
        <v>3801</v>
      </c>
      <c r="H160" s="7" t="s">
        <v>3675</v>
      </c>
      <c r="I160" s="7" t="s">
        <v>206</v>
      </c>
      <c r="J160" s="7" t="s">
        <v>3802</v>
      </c>
      <c r="K160" s="7" t="s">
        <v>3803</v>
      </c>
      <c r="L160" s="7" t="s">
        <v>3804</v>
      </c>
      <c r="M160" s="7"/>
      <c r="N160" s="49">
        <v>46077</v>
      </c>
      <c r="O160" s="7" t="s">
        <v>464</v>
      </c>
      <c r="P160" s="7" t="s">
        <v>242</v>
      </c>
      <c r="U160" s="7"/>
      <c r="V160" s="350"/>
      <c r="AC160" s="250" t="s">
        <v>213</v>
      </c>
      <c r="AD160" s="257"/>
      <c r="AH160" s="335"/>
      <c r="AI160" s="336"/>
      <c r="AJ160" s="345"/>
      <c r="AK160" s="338"/>
      <c r="AL160" s="339"/>
      <c r="AM160" s="338">
        <f t="shared" si="21"/>
        <v>0</v>
      </c>
      <c r="AN160" s="250" t="s">
        <v>213</v>
      </c>
      <c r="AO160" s="282">
        <v>32.2</v>
      </c>
      <c r="AQ160" s="251">
        <v>46091</v>
      </c>
      <c r="AR160" s="251">
        <v>46104</v>
      </c>
      <c r="AS160" s="335">
        <v>32.2</v>
      </c>
      <c r="AT160" s="336" t="s">
        <v>35</v>
      </c>
      <c r="AU160" s="337"/>
      <c r="AV160" s="335"/>
      <c r="AW160" s="336"/>
      <c r="AX160" s="335">
        <f t="shared" si="1"/>
        <v>0</v>
      </c>
      <c r="AY160" s="340" t="s">
        <v>213</v>
      </c>
      <c r="AZ160" s="282">
        <v>32.2</v>
      </c>
      <c r="BB160" s="251">
        <v>46122</v>
      </c>
      <c r="BC160" s="340" t="s">
        <v>626</v>
      </c>
      <c r="BD160" s="335">
        <v>32.2</v>
      </c>
      <c r="BE160" s="337" t="s">
        <v>35</v>
      </c>
      <c r="BF160" s="337"/>
      <c r="BG160" s="335"/>
      <c r="BH160" s="337"/>
      <c r="BI160" s="335">
        <f t="shared" si="2"/>
        <v>0</v>
      </c>
      <c r="BJ160" s="340"/>
      <c r="BK160" s="282">
        <v>32.2</v>
      </c>
      <c r="BM160" s="251">
        <v>46152</v>
      </c>
      <c r="BN160" s="340"/>
      <c r="BO160" s="335"/>
      <c r="BP160" s="337"/>
      <c r="BQ160" s="337"/>
      <c r="BR160" s="335"/>
      <c r="BS160" s="337"/>
      <c r="BT160" s="335">
        <f t="shared" si="3"/>
        <v>32.2</v>
      </c>
      <c r="BU160" s="340"/>
    </row>
    <row r="161" ht="13.95" spans="1:73">
      <c r="A161" s="484">
        <v>187</v>
      </c>
      <c r="B161" s="7" t="s">
        <v>3805</v>
      </c>
      <c r="C161" s="7" t="s">
        <v>3806</v>
      </c>
      <c r="D161" s="250" t="s">
        <v>201</v>
      </c>
      <c r="E161" s="352" t="s">
        <v>220</v>
      </c>
      <c r="F161" s="275">
        <v>24</v>
      </c>
      <c r="G161" s="222" t="s">
        <v>3807</v>
      </c>
      <c r="H161" s="7" t="s">
        <v>3808</v>
      </c>
      <c r="I161" s="7" t="s">
        <v>206</v>
      </c>
      <c r="J161" s="7" t="s">
        <v>3809</v>
      </c>
      <c r="K161" s="7" t="s">
        <v>3810</v>
      </c>
      <c r="L161" s="222" t="s">
        <v>3811</v>
      </c>
      <c r="M161" s="7"/>
      <c r="N161" s="49">
        <v>46080</v>
      </c>
      <c r="O161" s="7" t="s">
        <v>384</v>
      </c>
      <c r="P161" s="7" t="s">
        <v>242</v>
      </c>
      <c r="U161" s="7"/>
      <c r="V161" s="350"/>
      <c r="AH161" s="335"/>
      <c r="AI161" s="336"/>
      <c r="AJ161" s="345"/>
      <c r="AK161" s="338"/>
      <c r="AL161" s="339"/>
      <c r="AM161" s="338">
        <f t="shared" si="21"/>
        <v>0</v>
      </c>
      <c r="AN161" s="250" t="s">
        <v>213</v>
      </c>
      <c r="AO161" s="282"/>
      <c r="AR161" s="250"/>
      <c r="AS161" s="335"/>
      <c r="AT161" s="336"/>
      <c r="AU161" s="337"/>
      <c r="AV161" s="335"/>
      <c r="AW161" s="336"/>
      <c r="AX161" s="335">
        <f t="shared" si="1"/>
        <v>0</v>
      </c>
      <c r="AY161" s="340" t="s">
        <v>213</v>
      </c>
      <c r="AZ161" s="282">
        <v>10.27</v>
      </c>
      <c r="BB161" s="251">
        <v>46122</v>
      </c>
      <c r="BC161" s="340" t="s">
        <v>1202</v>
      </c>
      <c r="BD161" s="335">
        <v>30.81</v>
      </c>
      <c r="BE161" s="337" t="s">
        <v>23</v>
      </c>
      <c r="BF161" s="337"/>
      <c r="BG161" s="335"/>
      <c r="BH161" s="337"/>
      <c r="BI161" s="335">
        <f t="shared" si="2"/>
        <v>-20.54</v>
      </c>
      <c r="BJ161" s="340"/>
      <c r="BK161" s="282">
        <v>10.27</v>
      </c>
      <c r="BM161" s="251">
        <v>46152</v>
      </c>
      <c r="BN161" s="340"/>
      <c r="BO161" s="335"/>
      <c r="BP161" s="337"/>
      <c r="BQ161" s="337"/>
      <c r="BR161" s="335"/>
      <c r="BS161" s="337"/>
      <c r="BT161" s="335">
        <f t="shared" si="3"/>
        <v>-10.27</v>
      </c>
      <c r="BU161" s="340"/>
    </row>
    <row r="162" ht="13.2" spans="1:73">
      <c r="A162" s="497">
        <v>188</v>
      </c>
      <c r="B162" s="307" t="s">
        <v>3812</v>
      </c>
      <c r="C162" s="307" t="s">
        <v>3813</v>
      </c>
      <c r="D162" s="499" t="s">
        <v>201</v>
      </c>
      <c r="E162" s="465" t="s">
        <v>220</v>
      </c>
      <c r="F162" s="466">
        <v>24</v>
      </c>
      <c r="G162" s="467" t="s">
        <v>3814</v>
      </c>
      <c r="H162" s="307" t="s">
        <v>2615</v>
      </c>
      <c r="I162" s="307" t="s">
        <v>220</v>
      </c>
      <c r="J162" s="307" t="s">
        <v>3815</v>
      </c>
      <c r="K162" s="307" t="s">
        <v>3816</v>
      </c>
      <c r="L162" s="467" t="s">
        <v>3817</v>
      </c>
      <c r="M162" s="307"/>
      <c r="N162" s="502">
        <v>46084</v>
      </c>
      <c r="O162" s="307" t="s">
        <v>384</v>
      </c>
      <c r="P162" s="307" t="s">
        <v>242</v>
      </c>
      <c r="Q162" s="503"/>
      <c r="R162" s="503"/>
      <c r="S162" s="503"/>
      <c r="T162" s="503"/>
      <c r="U162" s="307"/>
      <c r="V162" s="512"/>
      <c r="W162" s="503"/>
      <c r="X162" s="503"/>
      <c r="Y162" s="503"/>
      <c r="Z162" s="503"/>
      <c r="AA162" s="503"/>
      <c r="AB162" s="503"/>
      <c r="AC162" s="503"/>
      <c r="AD162" s="503"/>
      <c r="AE162" s="503"/>
      <c r="AF162" s="503"/>
      <c r="AG162" s="503"/>
      <c r="AH162" s="503"/>
      <c r="AI162" s="503"/>
      <c r="AJ162" s="503"/>
      <c r="AK162" s="503"/>
      <c r="AL162" s="503"/>
      <c r="AM162" s="514">
        <f t="shared" si="21"/>
        <v>0</v>
      </c>
      <c r="AN162" s="499" t="s">
        <v>213</v>
      </c>
      <c r="AO162" s="504"/>
      <c r="AP162" s="503"/>
      <c r="AQ162" s="503"/>
      <c r="AR162" s="503"/>
      <c r="AS162" s="514"/>
      <c r="AT162" s="515"/>
      <c r="AU162" s="516"/>
      <c r="AV162" s="514"/>
      <c r="AW162" s="515"/>
      <c r="AX162" s="514">
        <f t="shared" si="1"/>
        <v>0</v>
      </c>
      <c r="AY162" s="340" t="s">
        <v>213</v>
      </c>
      <c r="AZ162" s="504">
        <v>20.54</v>
      </c>
      <c r="BA162" s="503"/>
      <c r="BB162" s="503"/>
      <c r="BC162" s="518"/>
      <c r="BD162" s="514"/>
      <c r="BE162" s="516"/>
      <c r="BF162" s="516"/>
      <c r="BG162" s="514"/>
      <c r="BH162" s="516"/>
      <c r="BI162" s="514">
        <f t="shared" si="2"/>
        <v>20.54</v>
      </c>
      <c r="BJ162" s="518"/>
      <c r="BK162" s="504">
        <v>20.54</v>
      </c>
      <c r="BL162" s="503"/>
      <c r="BM162" s="503"/>
      <c r="BN162" s="519"/>
      <c r="BO162" s="338"/>
      <c r="BP162" s="345"/>
      <c r="BQ162" s="345"/>
      <c r="BR162" s="338"/>
      <c r="BS162" s="345"/>
      <c r="BT162" s="338">
        <f t="shared" si="3"/>
        <v>41.08</v>
      </c>
      <c r="BU162" s="519"/>
    </row>
    <row r="163" ht="13.2" spans="1:73">
      <c r="A163" s="484">
        <v>189</v>
      </c>
      <c r="B163" s="7" t="s">
        <v>3818</v>
      </c>
      <c r="C163" s="7" t="s">
        <v>3819</v>
      </c>
      <c r="D163" s="250" t="s">
        <v>201</v>
      </c>
      <c r="E163" s="352" t="s">
        <v>220</v>
      </c>
      <c r="F163" s="275">
        <v>24</v>
      </c>
      <c r="G163" s="222" t="s">
        <v>3820</v>
      </c>
      <c r="H163" s="7" t="s">
        <v>2615</v>
      </c>
      <c r="I163" s="7" t="s">
        <v>206</v>
      </c>
      <c r="J163" s="7" t="s">
        <v>3815</v>
      </c>
      <c r="K163" s="7" t="s">
        <v>3821</v>
      </c>
      <c r="L163" s="222" t="s">
        <v>3822</v>
      </c>
      <c r="M163" s="7"/>
      <c r="N163" s="49">
        <v>46084</v>
      </c>
      <c r="O163" s="7" t="s">
        <v>384</v>
      </c>
      <c r="P163" s="7" t="s">
        <v>242</v>
      </c>
      <c r="U163" s="7"/>
      <c r="V163" s="350"/>
      <c r="AN163" s="250" t="s">
        <v>213</v>
      </c>
      <c r="AO163" s="282">
        <v>26.44</v>
      </c>
      <c r="AS163" s="338"/>
      <c r="AT163" s="339"/>
      <c r="AU163" s="345"/>
      <c r="AV163" s="338"/>
      <c r="AW163" s="339"/>
      <c r="AX163" s="338">
        <f t="shared" si="1"/>
        <v>26.44</v>
      </c>
      <c r="AY163" s="340" t="s">
        <v>213</v>
      </c>
      <c r="AZ163" s="282">
        <v>20.54</v>
      </c>
      <c r="BB163" s="251">
        <v>46122</v>
      </c>
      <c r="BC163" s="251">
        <v>46136</v>
      </c>
      <c r="BD163" s="335">
        <v>47</v>
      </c>
      <c r="BE163" s="336" t="s">
        <v>35</v>
      </c>
      <c r="BF163" s="345"/>
      <c r="BG163" s="338"/>
      <c r="BH163" s="339"/>
      <c r="BI163" s="338">
        <f t="shared" si="2"/>
        <v>-0.019999999999996</v>
      </c>
      <c r="BJ163" s="519"/>
      <c r="BK163" s="282">
        <v>20.54</v>
      </c>
      <c r="BM163" s="251">
        <v>46152</v>
      </c>
      <c r="BN163" s="519"/>
      <c r="BO163" s="338"/>
      <c r="BP163" s="345"/>
      <c r="BQ163" s="345"/>
      <c r="BR163" s="338"/>
      <c r="BS163" s="345"/>
      <c r="BT163" s="338">
        <f t="shared" si="3"/>
        <v>20.52</v>
      </c>
      <c r="BU163" s="519"/>
    </row>
    <row r="164" ht="13.2" spans="1:73">
      <c r="A164" s="484">
        <v>190</v>
      </c>
      <c r="B164" s="7" t="s">
        <v>3823</v>
      </c>
      <c r="C164" s="7" t="s">
        <v>3824</v>
      </c>
      <c r="D164" s="250" t="s">
        <v>201</v>
      </c>
      <c r="E164" s="352" t="s">
        <v>220</v>
      </c>
      <c r="F164" s="275">
        <v>24</v>
      </c>
      <c r="G164" s="222" t="s">
        <v>3825</v>
      </c>
      <c r="H164" s="7" t="s">
        <v>3739</v>
      </c>
      <c r="I164" s="7" t="s">
        <v>206</v>
      </c>
      <c r="J164" s="7" t="s">
        <v>3826</v>
      </c>
      <c r="K164" s="7" t="s">
        <v>3827</v>
      </c>
      <c r="L164" s="222" t="s">
        <v>3828</v>
      </c>
      <c r="M164" s="7"/>
      <c r="N164" s="232">
        <v>46087</v>
      </c>
      <c r="O164" s="7" t="s">
        <v>464</v>
      </c>
      <c r="P164" s="7" t="s">
        <v>242</v>
      </c>
      <c r="U164" s="7"/>
      <c r="V164" s="350"/>
      <c r="AN164" s="250" t="s">
        <v>213</v>
      </c>
      <c r="AO164" s="282"/>
      <c r="AS164" s="338"/>
      <c r="AT164" s="339"/>
      <c r="AU164" s="345"/>
      <c r="AV164" s="338"/>
      <c r="AW164" s="339"/>
      <c r="AX164" s="338">
        <f t="shared" si="1"/>
        <v>0</v>
      </c>
      <c r="AY164" s="340" t="s">
        <v>213</v>
      </c>
      <c r="AZ164" s="282">
        <v>0</v>
      </c>
      <c r="BD164" s="338"/>
      <c r="BE164" s="339"/>
      <c r="BF164" s="345"/>
      <c r="BG164" s="338"/>
      <c r="BH164" s="339"/>
      <c r="BI164" s="338">
        <f t="shared" si="2"/>
        <v>0</v>
      </c>
      <c r="BJ164" s="519"/>
      <c r="BK164" s="282">
        <v>0</v>
      </c>
      <c r="BN164" s="519"/>
      <c r="BO164" s="338"/>
      <c r="BP164" s="345"/>
      <c r="BQ164" s="345"/>
      <c r="BR164" s="338"/>
      <c r="BS164" s="345"/>
      <c r="BT164" s="338">
        <f t="shared" si="3"/>
        <v>0</v>
      </c>
      <c r="BU164" s="519"/>
    </row>
    <row r="165" ht="13.2" spans="1:73">
      <c r="A165" s="484">
        <v>191</v>
      </c>
      <c r="B165" s="7" t="s">
        <v>3829</v>
      </c>
      <c r="C165" s="7" t="s">
        <v>3830</v>
      </c>
      <c r="D165" s="250" t="s">
        <v>201</v>
      </c>
      <c r="E165" s="352" t="s">
        <v>220</v>
      </c>
      <c r="F165" s="275">
        <v>24</v>
      </c>
      <c r="G165" s="222" t="s">
        <v>3831</v>
      </c>
      <c r="H165" s="7" t="s">
        <v>2615</v>
      </c>
      <c r="I165" s="7" t="s">
        <v>220</v>
      </c>
      <c r="J165" s="7" t="s">
        <v>3832</v>
      </c>
      <c r="K165" s="7" t="s">
        <v>3833</v>
      </c>
      <c r="L165" s="222" t="s">
        <v>3834</v>
      </c>
      <c r="M165" s="7"/>
      <c r="N165" s="49">
        <v>46088</v>
      </c>
      <c r="O165" s="7" t="s">
        <v>384</v>
      </c>
      <c r="P165" s="7" t="s">
        <v>242</v>
      </c>
      <c r="U165" s="7"/>
      <c r="V165" s="350"/>
      <c r="AN165" s="250" t="s">
        <v>213</v>
      </c>
      <c r="AO165" s="257">
        <f t="shared" ref="AO165:AO166" si="22">45</f>
        <v>45</v>
      </c>
      <c r="AS165" s="338"/>
      <c r="AT165" s="339"/>
      <c r="AU165" s="345"/>
      <c r="AV165" s="338"/>
      <c r="AW165" s="339"/>
      <c r="AX165" s="338">
        <f t="shared" si="1"/>
        <v>45</v>
      </c>
      <c r="AY165" s="340" t="s">
        <v>213</v>
      </c>
      <c r="AZ165" s="282">
        <v>10.27</v>
      </c>
      <c r="BB165" s="251">
        <v>46122</v>
      </c>
      <c r="BC165" s="251">
        <v>46140</v>
      </c>
      <c r="BD165" s="335">
        <v>55.27</v>
      </c>
      <c r="BE165" s="336" t="s">
        <v>35</v>
      </c>
      <c r="BF165" s="345"/>
      <c r="BG165" s="338"/>
      <c r="BH165" s="339"/>
      <c r="BI165" s="338">
        <f t="shared" si="2"/>
        <v>0</v>
      </c>
      <c r="BJ165" s="519"/>
      <c r="BK165" s="282">
        <v>20.54</v>
      </c>
      <c r="BM165" s="251">
        <v>46152</v>
      </c>
      <c r="BN165" s="519"/>
      <c r="BO165" s="338"/>
      <c r="BP165" s="345"/>
      <c r="BQ165" s="345"/>
      <c r="BR165" s="338"/>
      <c r="BS165" s="345"/>
      <c r="BT165" s="338">
        <f t="shared" si="3"/>
        <v>20.54</v>
      </c>
      <c r="BU165" s="519"/>
    </row>
    <row r="166" ht="13.2" spans="1:73">
      <c r="A166" s="484">
        <v>192</v>
      </c>
      <c r="B166" s="7" t="s">
        <v>3835</v>
      </c>
      <c r="C166" s="7" t="s">
        <v>3836</v>
      </c>
      <c r="D166" s="250" t="s">
        <v>201</v>
      </c>
      <c r="E166" s="352" t="s">
        <v>220</v>
      </c>
      <c r="F166" s="275">
        <v>24</v>
      </c>
      <c r="G166" s="222" t="s">
        <v>3837</v>
      </c>
      <c r="H166" s="7" t="s">
        <v>3808</v>
      </c>
      <c r="I166" s="7" t="s">
        <v>206</v>
      </c>
      <c r="J166" s="7" t="s">
        <v>3838</v>
      </c>
      <c r="K166" s="7" t="s">
        <v>3839</v>
      </c>
      <c r="L166" s="222" t="s">
        <v>3840</v>
      </c>
      <c r="M166" s="7"/>
      <c r="N166" s="49">
        <v>46090</v>
      </c>
      <c r="O166" s="7" t="s">
        <v>464</v>
      </c>
      <c r="P166" s="7" t="s">
        <v>242</v>
      </c>
      <c r="U166" s="7"/>
      <c r="V166" s="350"/>
      <c r="AN166" s="250" t="s">
        <v>213</v>
      </c>
      <c r="AO166" s="257">
        <f t="shared" si="22"/>
        <v>45</v>
      </c>
      <c r="AQ166" s="251">
        <v>46122</v>
      </c>
      <c r="AR166" s="251">
        <v>46107</v>
      </c>
      <c r="AS166" s="335">
        <v>45</v>
      </c>
      <c r="AT166" s="336" t="s">
        <v>23</v>
      </c>
      <c r="AU166" s="345"/>
      <c r="AV166" s="338"/>
      <c r="AW166" s="339"/>
      <c r="AX166" s="338">
        <f t="shared" si="1"/>
        <v>0</v>
      </c>
      <c r="AY166" s="340" t="s">
        <v>213</v>
      </c>
      <c r="AZ166" s="282">
        <v>32.2</v>
      </c>
      <c r="BB166" s="251">
        <v>46122</v>
      </c>
      <c r="BC166" s="251">
        <v>46121</v>
      </c>
      <c r="BD166" s="335">
        <v>32.2</v>
      </c>
      <c r="BE166" s="336" t="s">
        <v>23</v>
      </c>
      <c r="BF166" s="345"/>
      <c r="BG166" s="338"/>
      <c r="BH166" s="339"/>
      <c r="BI166" s="338">
        <f t="shared" si="2"/>
        <v>0</v>
      </c>
      <c r="BJ166" s="519"/>
      <c r="BK166" s="282">
        <v>32.2</v>
      </c>
      <c r="BM166" s="251">
        <v>46152</v>
      </c>
      <c r="BN166" s="519"/>
      <c r="BO166" s="338"/>
      <c r="BP166" s="345"/>
      <c r="BQ166" s="345"/>
      <c r="BR166" s="338"/>
      <c r="BS166" s="345"/>
      <c r="BT166" s="338">
        <f t="shared" si="3"/>
        <v>32.2</v>
      </c>
      <c r="BU166" s="519"/>
    </row>
    <row r="167" ht="13.2" spans="1:73">
      <c r="A167" s="484">
        <v>193</v>
      </c>
      <c r="B167" s="7" t="s">
        <v>3841</v>
      </c>
      <c r="C167" s="7" t="s">
        <v>3842</v>
      </c>
      <c r="D167" s="250" t="s">
        <v>201</v>
      </c>
      <c r="E167" s="352" t="s">
        <v>220</v>
      </c>
      <c r="F167" s="275">
        <v>24</v>
      </c>
      <c r="G167" s="222" t="s">
        <v>3843</v>
      </c>
      <c r="H167" s="7" t="s">
        <v>2615</v>
      </c>
      <c r="I167" s="7" t="s">
        <v>220</v>
      </c>
      <c r="J167" s="7" t="s">
        <v>3832</v>
      </c>
      <c r="K167" s="7" t="s">
        <v>3844</v>
      </c>
      <c r="L167" s="222" t="s">
        <v>3845</v>
      </c>
      <c r="M167" s="7"/>
      <c r="N167" s="49">
        <v>46091</v>
      </c>
      <c r="O167" s="7" t="s">
        <v>2197</v>
      </c>
      <c r="P167" s="7" t="s">
        <v>242</v>
      </c>
      <c r="U167" s="7"/>
      <c r="V167" s="350"/>
      <c r="AN167" s="250" t="s">
        <v>213</v>
      </c>
      <c r="AO167" s="282">
        <v>0</v>
      </c>
      <c r="AS167" s="338"/>
      <c r="AT167" s="339"/>
      <c r="AU167" s="345"/>
      <c r="AV167" s="338"/>
      <c r="AW167" s="339"/>
      <c r="AX167" s="338">
        <f t="shared" si="1"/>
        <v>0</v>
      </c>
      <c r="AY167" s="340" t="s">
        <v>213</v>
      </c>
      <c r="AZ167" s="282">
        <v>25</v>
      </c>
      <c r="BB167" s="251">
        <v>46122</v>
      </c>
      <c r="BC167" s="251">
        <v>46134</v>
      </c>
      <c r="BD167" s="335">
        <v>29.65</v>
      </c>
      <c r="BE167" s="336" t="s">
        <v>23</v>
      </c>
      <c r="BF167" s="345"/>
      <c r="BG167" s="338"/>
      <c r="BH167" s="339"/>
      <c r="BI167" s="338">
        <f t="shared" si="2"/>
        <v>-4.65</v>
      </c>
      <c r="BJ167" s="519"/>
      <c r="BK167" s="282">
        <v>25</v>
      </c>
      <c r="BM167" s="251">
        <v>46152</v>
      </c>
      <c r="BN167" s="519"/>
      <c r="BO167" s="338"/>
      <c r="BP167" s="345"/>
      <c r="BQ167" s="345"/>
      <c r="BR167" s="338"/>
      <c r="BS167" s="345"/>
      <c r="BT167" s="338">
        <f t="shared" si="3"/>
        <v>20.35</v>
      </c>
      <c r="BU167" s="519"/>
    </row>
    <row r="168" ht="13.2" spans="1:73">
      <c r="A168" s="484">
        <v>194</v>
      </c>
      <c r="B168" s="7" t="s">
        <v>3846</v>
      </c>
      <c r="C168" s="7" t="s">
        <v>3847</v>
      </c>
      <c r="D168" s="250" t="s">
        <v>201</v>
      </c>
      <c r="E168" s="352" t="s">
        <v>220</v>
      </c>
      <c r="F168" s="275">
        <v>24</v>
      </c>
      <c r="G168" s="222" t="s">
        <v>3848</v>
      </c>
      <c r="H168" s="7" t="s">
        <v>3739</v>
      </c>
      <c r="I168" s="7" t="s">
        <v>206</v>
      </c>
      <c r="J168" s="7" t="s">
        <v>3838</v>
      </c>
      <c r="K168" s="7" t="s">
        <v>3849</v>
      </c>
      <c r="L168" s="222" t="s">
        <v>3850</v>
      </c>
      <c r="M168" s="7"/>
      <c r="N168" s="49">
        <v>46091</v>
      </c>
      <c r="O168" s="7" t="s">
        <v>384</v>
      </c>
      <c r="P168" s="7" t="s">
        <v>242</v>
      </c>
      <c r="U168" s="7"/>
      <c r="V168" s="350"/>
      <c r="AN168" s="250" t="s">
        <v>213</v>
      </c>
      <c r="AO168" s="250">
        <v>18.7</v>
      </c>
      <c r="AQ168" s="251">
        <v>46091</v>
      </c>
      <c r="AR168" s="251">
        <v>46094</v>
      </c>
      <c r="AS168" s="335">
        <v>18.7</v>
      </c>
      <c r="AT168" s="336" t="s">
        <v>23</v>
      </c>
      <c r="AU168" s="345"/>
      <c r="AV168" s="338"/>
      <c r="AW168" s="339"/>
      <c r="AX168" s="338">
        <f t="shared" si="1"/>
        <v>0</v>
      </c>
      <c r="AY168" s="340" t="s">
        <v>213</v>
      </c>
      <c r="AZ168" s="282">
        <v>20.54</v>
      </c>
      <c r="BB168" s="251">
        <v>46122</v>
      </c>
      <c r="BC168" s="251">
        <v>46119</v>
      </c>
      <c r="BD168" s="335">
        <v>20.54</v>
      </c>
      <c r="BE168" s="336" t="s">
        <v>23</v>
      </c>
      <c r="BF168" s="345"/>
      <c r="BG168" s="338"/>
      <c r="BH168" s="339"/>
      <c r="BI168" s="338">
        <f t="shared" si="2"/>
        <v>0</v>
      </c>
      <c r="BJ168" s="519"/>
      <c r="BK168" s="282">
        <v>20.54</v>
      </c>
      <c r="BM168" s="251">
        <v>46152</v>
      </c>
      <c r="BN168" s="519"/>
      <c r="BO168" s="338"/>
      <c r="BP168" s="345"/>
      <c r="BQ168" s="345"/>
      <c r="BR168" s="338"/>
      <c r="BS168" s="345"/>
      <c r="BT168" s="338">
        <f t="shared" si="3"/>
        <v>20.54</v>
      </c>
      <c r="BU168" s="519"/>
    </row>
    <row r="169" ht="13.2" spans="1:73">
      <c r="A169" s="484">
        <v>195</v>
      </c>
      <c r="B169" s="7" t="s">
        <v>3851</v>
      </c>
      <c r="C169" s="7" t="s">
        <v>3852</v>
      </c>
      <c r="D169" s="250" t="s">
        <v>201</v>
      </c>
      <c r="E169" s="352" t="s">
        <v>220</v>
      </c>
      <c r="F169" s="275">
        <v>24</v>
      </c>
      <c r="G169" s="222" t="s">
        <v>3853</v>
      </c>
      <c r="H169" s="7" t="s">
        <v>2615</v>
      </c>
      <c r="I169" s="7" t="s">
        <v>206</v>
      </c>
      <c r="J169" s="7" t="s">
        <v>3832</v>
      </c>
      <c r="K169" s="7" t="s">
        <v>3854</v>
      </c>
      <c r="L169" s="222" t="s">
        <v>3855</v>
      </c>
      <c r="M169" s="7"/>
      <c r="N169" s="49">
        <v>46093</v>
      </c>
      <c r="O169" s="7" t="s">
        <v>2197</v>
      </c>
      <c r="P169" s="7" t="s">
        <v>242</v>
      </c>
      <c r="U169" s="7"/>
      <c r="V169" s="350"/>
      <c r="AN169" s="250" t="s">
        <v>213</v>
      </c>
      <c r="AS169" s="338"/>
      <c r="AT169" s="339"/>
      <c r="AU169" s="345"/>
      <c r="AV169" s="338"/>
      <c r="AW169" s="339"/>
      <c r="AX169" s="338">
        <f t="shared" si="1"/>
        <v>0</v>
      </c>
      <c r="AY169" s="340" t="s">
        <v>213</v>
      </c>
      <c r="AZ169" s="282">
        <v>25</v>
      </c>
      <c r="BB169" s="251">
        <v>46122</v>
      </c>
      <c r="BC169" s="251">
        <v>46124</v>
      </c>
      <c r="BD169" s="335">
        <v>25</v>
      </c>
      <c r="BE169" s="336" t="s">
        <v>35</v>
      </c>
      <c r="BF169" s="345"/>
      <c r="BG169" s="338"/>
      <c r="BH169" s="339"/>
      <c r="BI169" s="338">
        <f t="shared" si="2"/>
        <v>0</v>
      </c>
      <c r="BJ169" s="519"/>
      <c r="BK169" s="282">
        <v>25</v>
      </c>
      <c r="BM169" s="251">
        <v>46152</v>
      </c>
      <c r="BN169" s="519"/>
      <c r="BO169" s="338"/>
      <c r="BP169" s="345"/>
      <c r="BQ169" s="345"/>
      <c r="BR169" s="338"/>
      <c r="BS169" s="345"/>
      <c r="BT169" s="338">
        <f t="shared" si="3"/>
        <v>25</v>
      </c>
      <c r="BU169" s="519"/>
    </row>
    <row r="170" ht="13.2" spans="1:73">
      <c r="A170" s="484">
        <v>196</v>
      </c>
      <c r="B170" s="7" t="s">
        <v>3856</v>
      </c>
      <c r="C170" s="7" t="s">
        <v>3857</v>
      </c>
      <c r="D170" s="250" t="s">
        <v>201</v>
      </c>
      <c r="E170" s="352" t="s">
        <v>220</v>
      </c>
      <c r="F170" s="275">
        <v>24</v>
      </c>
      <c r="G170" s="222" t="s">
        <v>3858</v>
      </c>
      <c r="H170" s="7" t="s">
        <v>3808</v>
      </c>
      <c r="I170" s="7" t="s">
        <v>206</v>
      </c>
      <c r="J170" s="7" t="s">
        <v>3838</v>
      </c>
      <c r="K170" s="7" t="s">
        <v>3859</v>
      </c>
      <c r="L170" s="222" t="s">
        <v>3860</v>
      </c>
      <c r="M170" s="7"/>
      <c r="N170" s="232">
        <v>46094</v>
      </c>
      <c r="O170" s="7" t="s">
        <v>384</v>
      </c>
      <c r="P170" s="7" t="s">
        <v>242</v>
      </c>
      <c r="U170" s="7"/>
      <c r="V170" s="350"/>
      <c r="AX170" s="338">
        <f t="shared" si="1"/>
        <v>0</v>
      </c>
      <c r="AY170" s="340" t="s">
        <v>213</v>
      </c>
      <c r="AZ170" s="282">
        <v>20.54</v>
      </c>
      <c r="BB170" s="251">
        <v>46122</v>
      </c>
      <c r="BC170" s="251">
        <v>46121</v>
      </c>
      <c r="BD170" s="335">
        <v>20.5</v>
      </c>
      <c r="BE170" s="336" t="s">
        <v>35</v>
      </c>
      <c r="BF170" s="345"/>
      <c r="BG170" s="338"/>
      <c r="BH170" s="339"/>
      <c r="BI170" s="338">
        <f t="shared" si="2"/>
        <v>0.0399999999999991</v>
      </c>
      <c r="BJ170" s="519"/>
      <c r="BK170" s="282">
        <v>20.54</v>
      </c>
      <c r="BM170" s="251">
        <v>46152</v>
      </c>
      <c r="BN170" s="519"/>
      <c r="BO170" s="338"/>
      <c r="BP170" s="345"/>
      <c r="BQ170" s="345"/>
      <c r="BR170" s="338"/>
      <c r="BS170" s="345"/>
      <c r="BT170" s="338">
        <f t="shared" si="3"/>
        <v>20.58</v>
      </c>
      <c r="BU170" s="519"/>
    </row>
    <row r="171" ht="13.2" spans="1:73">
      <c r="A171" s="484">
        <v>197</v>
      </c>
      <c r="B171" s="7" t="s">
        <v>3861</v>
      </c>
      <c r="C171" s="7" t="s">
        <v>3862</v>
      </c>
      <c r="D171" s="250" t="s">
        <v>201</v>
      </c>
      <c r="E171" s="352" t="s">
        <v>220</v>
      </c>
      <c r="F171" s="275">
        <v>24</v>
      </c>
      <c r="G171" s="222" t="s">
        <v>3863</v>
      </c>
      <c r="H171" s="7" t="s">
        <v>2615</v>
      </c>
      <c r="I171" s="7" t="s">
        <v>220</v>
      </c>
      <c r="J171" s="7" t="s">
        <v>3864</v>
      </c>
      <c r="K171" s="7" t="s">
        <v>3865</v>
      </c>
      <c r="L171" s="222" t="s">
        <v>3866</v>
      </c>
      <c r="M171" s="7"/>
      <c r="N171" s="232">
        <v>46095</v>
      </c>
      <c r="O171" s="7" t="s">
        <v>384</v>
      </c>
      <c r="P171" s="7" t="s">
        <v>242</v>
      </c>
      <c r="U171" s="7"/>
      <c r="V171" s="350"/>
      <c r="AO171" s="250">
        <v>19.5</v>
      </c>
      <c r="AX171" s="338">
        <f t="shared" si="1"/>
        <v>19.5</v>
      </c>
      <c r="AY171" s="340" t="s">
        <v>213</v>
      </c>
      <c r="AZ171" s="282">
        <v>20.54</v>
      </c>
      <c r="BB171" s="251">
        <v>46122</v>
      </c>
      <c r="BC171" s="251">
        <v>46135</v>
      </c>
      <c r="BD171" s="335">
        <v>40.04</v>
      </c>
      <c r="BE171" s="336" t="s">
        <v>35</v>
      </c>
      <c r="BF171" s="345"/>
      <c r="BG171" s="338"/>
      <c r="BH171" s="339"/>
      <c r="BI171" s="338">
        <f t="shared" si="2"/>
        <v>0</v>
      </c>
      <c r="BJ171" s="519"/>
      <c r="BK171" s="282">
        <v>20.54</v>
      </c>
      <c r="BM171" s="251">
        <v>46152</v>
      </c>
      <c r="BN171" s="519"/>
      <c r="BO171" s="338"/>
      <c r="BP171" s="345"/>
      <c r="BQ171" s="345"/>
      <c r="BR171" s="338"/>
      <c r="BS171" s="345"/>
      <c r="BT171" s="338">
        <f t="shared" si="3"/>
        <v>20.54</v>
      </c>
      <c r="BU171" s="519"/>
    </row>
    <row r="172" ht="13.2" spans="1:73">
      <c r="A172" s="484">
        <v>198</v>
      </c>
      <c r="B172" s="7" t="s">
        <v>3867</v>
      </c>
      <c r="C172" s="7" t="s">
        <v>3868</v>
      </c>
      <c r="D172" s="250" t="s">
        <v>201</v>
      </c>
      <c r="E172" s="352" t="s">
        <v>220</v>
      </c>
      <c r="F172" s="275">
        <v>24</v>
      </c>
      <c r="G172" s="222" t="s">
        <v>3869</v>
      </c>
      <c r="H172" s="7" t="s">
        <v>2615</v>
      </c>
      <c r="I172" s="7" t="s">
        <v>206</v>
      </c>
      <c r="J172" s="7" t="s">
        <v>3870</v>
      </c>
      <c r="K172" s="7" t="s">
        <v>3871</v>
      </c>
      <c r="L172" s="222" t="s">
        <v>3872</v>
      </c>
      <c r="M172" s="7"/>
      <c r="N172" s="232">
        <v>46100</v>
      </c>
      <c r="O172" s="7" t="s">
        <v>464</v>
      </c>
      <c r="P172" s="290" t="s">
        <v>242</v>
      </c>
      <c r="U172" s="7"/>
      <c r="V172" s="350"/>
      <c r="AO172" s="250">
        <v>15</v>
      </c>
      <c r="AX172" s="338">
        <f t="shared" si="1"/>
        <v>15</v>
      </c>
      <c r="AY172" s="340" t="s">
        <v>213</v>
      </c>
      <c r="AZ172" s="282">
        <v>0</v>
      </c>
      <c r="BD172" s="338"/>
      <c r="BE172" s="339"/>
      <c r="BF172" s="345"/>
      <c r="BG172" s="338"/>
      <c r="BH172" s="339"/>
      <c r="BI172" s="338">
        <f t="shared" si="2"/>
        <v>15</v>
      </c>
      <c r="BJ172" s="519"/>
      <c r="BK172" s="282">
        <v>32.2</v>
      </c>
      <c r="BN172" s="519"/>
      <c r="BO172" s="338"/>
      <c r="BP172" s="345"/>
      <c r="BQ172" s="345"/>
      <c r="BR172" s="338"/>
      <c r="BS172" s="345"/>
      <c r="BT172" s="338">
        <f t="shared" si="3"/>
        <v>47.2</v>
      </c>
      <c r="BU172" s="519"/>
    </row>
    <row r="173" ht="13.2" spans="1:73">
      <c r="A173" s="484">
        <v>199</v>
      </c>
      <c r="B173" s="7" t="s">
        <v>3011</v>
      </c>
      <c r="C173" s="7" t="s">
        <v>3873</v>
      </c>
      <c r="D173" s="250" t="s">
        <v>201</v>
      </c>
      <c r="E173" s="275" t="s">
        <v>206</v>
      </c>
      <c r="F173" s="275">
        <v>24</v>
      </c>
      <c r="G173" s="222" t="s">
        <v>3013</v>
      </c>
      <c r="H173" s="7" t="s">
        <v>2615</v>
      </c>
      <c r="I173" s="7" t="s">
        <v>220</v>
      </c>
      <c r="J173" s="7" t="s">
        <v>3874</v>
      </c>
      <c r="K173" s="7" t="s">
        <v>3015</v>
      </c>
      <c r="L173" s="222" t="s">
        <v>3330</v>
      </c>
      <c r="M173" s="7"/>
      <c r="N173" s="49">
        <v>46101</v>
      </c>
      <c r="O173" s="7" t="s">
        <v>210</v>
      </c>
      <c r="P173" s="7" t="s">
        <v>242</v>
      </c>
      <c r="U173" s="7"/>
      <c r="V173" s="350"/>
      <c r="AX173" s="338">
        <f t="shared" si="1"/>
        <v>0</v>
      </c>
      <c r="AY173" s="340" t="s">
        <v>213</v>
      </c>
      <c r="AZ173" s="257">
        <v>23</v>
      </c>
      <c r="BD173" s="338"/>
      <c r="BE173" s="339"/>
      <c r="BF173" s="345"/>
      <c r="BG173" s="338"/>
      <c r="BH173" s="339"/>
      <c r="BI173" s="338">
        <f t="shared" si="2"/>
        <v>23</v>
      </c>
      <c r="BJ173" s="519"/>
      <c r="BK173" s="257">
        <v>23</v>
      </c>
      <c r="BN173" s="519"/>
      <c r="BO173" s="338"/>
      <c r="BP173" s="345"/>
      <c r="BQ173" s="345"/>
      <c r="BR173" s="338"/>
      <c r="BS173" s="345"/>
      <c r="BT173" s="338">
        <f t="shared" si="3"/>
        <v>46</v>
      </c>
      <c r="BU173" s="519"/>
    </row>
    <row r="174" ht="13.95" spans="1:73">
      <c r="A174" s="484">
        <v>200</v>
      </c>
      <c r="B174" s="7" t="s">
        <v>3875</v>
      </c>
      <c r="C174" s="7" t="s">
        <v>3876</v>
      </c>
      <c r="D174" s="250" t="s">
        <v>201</v>
      </c>
      <c r="E174" s="352" t="s">
        <v>220</v>
      </c>
      <c r="F174" s="275">
        <v>24</v>
      </c>
      <c r="G174" s="222" t="s">
        <v>3877</v>
      </c>
      <c r="H174" s="7" t="s">
        <v>3739</v>
      </c>
      <c r="I174" s="7" t="s">
        <v>220</v>
      </c>
      <c r="J174" s="7" t="s">
        <v>3878</v>
      </c>
      <c r="K174" s="7" t="s">
        <v>3879</v>
      </c>
      <c r="L174" s="222" t="s">
        <v>3880</v>
      </c>
      <c r="M174" s="7"/>
      <c r="N174" s="232">
        <v>46111</v>
      </c>
      <c r="O174" s="7" t="s">
        <v>384</v>
      </c>
      <c r="P174" s="290" t="s">
        <v>242</v>
      </c>
      <c r="U174" s="7"/>
      <c r="V174" s="350"/>
      <c r="AX174" s="338">
        <f t="shared" si="1"/>
        <v>0</v>
      </c>
      <c r="AY174" s="340" t="s">
        <v>213</v>
      </c>
      <c r="AZ174" s="257">
        <f>75</f>
        <v>75</v>
      </c>
      <c r="BD174" s="338"/>
      <c r="BE174" s="339"/>
      <c r="BF174" s="345"/>
      <c r="BG174" s="338"/>
      <c r="BH174" s="339"/>
      <c r="BI174" s="338">
        <f t="shared" si="2"/>
        <v>75</v>
      </c>
      <c r="BJ174" s="519"/>
      <c r="BK174" s="282">
        <v>20.54</v>
      </c>
      <c r="BN174" s="519"/>
      <c r="BO174" s="338"/>
      <c r="BP174" s="345"/>
      <c r="BQ174" s="345"/>
      <c r="BR174" s="338"/>
      <c r="BS174" s="345"/>
      <c r="BT174" s="338">
        <f t="shared" si="3"/>
        <v>95.54</v>
      </c>
      <c r="BU174" s="519"/>
    </row>
    <row r="175" ht="13.95" spans="1:73">
      <c r="A175" s="520">
        <v>201</v>
      </c>
      <c r="B175" s="307" t="s">
        <v>3881</v>
      </c>
      <c r="C175" s="307" t="s">
        <v>3882</v>
      </c>
      <c r="D175" s="499" t="s">
        <v>201</v>
      </c>
      <c r="E175" s="466" t="s">
        <v>220</v>
      </c>
      <c r="F175" s="466">
        <v>24</v>
      </c>
      <c r="G175" s="521" t="s">
        <v>3883</v>
      </c>
      <c r="H175" s="307" t="s">
        <v>3739</v>
      </c>
      <c r="I175" s="307" t="s">
        <v>206</v>
      </c>
      <c r="J175" s="307" t="s">
        <v>3884</v>
      </c>
      <c r="K175" s="307" t="s">
        <v>3885</v>
      </c>
      <c r="L175" s="467" t="s">
        <v>3886</v>
      </c>
      <c r="M175" s="307"/>
      <c r="N175" s="511">
        <v>46095</v>
      </c>
      <c r="O175" s="307" t="s">
        <v>384</v>
      </c>
      <c r="P175" s="307" t="s">
        <v>242</v>
      </c>
      <c r="Q175" s="503"/>
      <c r="R175" s="503"/>
      <c r="S175" s="503"/>
      <c r="T175" s="503"/>
      <c r="U175" s="307"/>
      <c r="V175" s="512"/>
      <c r="W175" s="503"/>
      <c r="X175" s="503"/>
      <c r="Y175" s="503"/>
      <c r="Z175" s="503"/>
      <c r="AA175" s="503"/>
      <c r="AB175" s="503"/>
      <c r="AC175" s="503"/>
      <c r="AD175" s="503"/>
      <c r="AE175" s="503"/>
      <c r="AF175" s="503"/>
      <c r="AG175" s="503"/>
      <c r="AH175" s="503"/>
      <c r="AI175" s="503"/>
      <c r="AJ175" s="503"/>
      <c r="AK175" s="503"/>
      <c r="AL175" s="503"/>
      <c r="AM175" s="503"/>
      <c r="AN175" s="503"/>
      <c r="AO175" s="503"/>
      <c r="AP175" s="503"/>
      <c r="AQ175" s="503"/>
      <c r="AR175" s="503"/>
      <c r="AS175" s="503"/>
      <c r="AT175" s="503"/>
      <c r="AU175" s="503"/>
      <c r="AV175" s="503"/>
      <c r="AW175" s="503"/>
      <c r="AX175" s="503"/>
      <c r="AY175" s="499" t="s">
        <v>213</v>
      </c>
      <c r="AZ175" s="504">
        <f>5.13+35</f>
        <v>40.13</v>
      </c>
      <c r="BA175" s="503"/>
      <c r="BB175" s="517">
        <v>46487</v>
      </c>
      <c r="BC175" s="517">
        <v>46129</v>
      </c>
      <c r="BD175" s="522">
        <f>5.13+35</f>
        <v>40.13</v>
      </c>
      <c r="BE175" s="523" t="s">
        <v>35</v>
      </c>
      <c r="BF175" s="503"/>
      <c r="BG175" s="503"/>
      <c r="BH175" s="503"/>
      <c r="BI175" s="514">
        <f t="shared" si="2"/>
        <v>0</v>
      </c>
      <c r="BJ175" s="499" t="s">
        <v>3887</v>
      </c>
      <c r="BK175" s="504">
        <v>0</v>
      </c>
      <c r="BL175" s="503"/>
      <c r="BM175" s="517">
        <v>46517</v>
      </c>
      <c r="BN175" s="250"/>
      <c r="BO175" s="335"/>
      <c r="BP175" s="336"/>
      <c r="BQ175" s="337"/>
      <c r="BR175" s="335"/>
      <c r="BS175" s="336"/>
      <c r="BT175" s="335">
        <f t="shared" si="3"/>
        <v>0</v>
      </c>
      <c r="BU175" s="340"/>
    </row>
    <row r="176" ht="13.2" spans="1:73">
      <c r="A176" s="307"/>
      <c r="B176" s="307"/>
      <c r="C176" s="307"/>
      <c r="D176" s="503"/>
      <c r="E176" s="307"/>
      <c r="F176" s="307"/>
      <c r="G176" s="307"/>
      <c r="H176" s="307"/>
      <c r="I176" s="307"/>
      <c r="J176" s="307"/>
      <c r="K176" s="307"/>
      <c r="L176" s="307"/>
      <c r="M176" s="307"/>
      <c r="N176" s="307"/>
      <c r="O176" s="307"/>
      <c r="P176" s="307"/>
      <c r="Q176" s="503"/>
      <c r="R176" s="503"/>
      <c r="S176" s="503"/>
      <c r="T176" s="503"/>
      <c r="U176" s="307"/>
      <c r="V176" s="512"/>
      <c r="W176" s="503"/>
      <c r="X176" s="503"/>
      <c r="Y176" s="503"/>
      <c r="Z176" s="503"/>
      <c r="AA176" s="503"/>
      <c r="AB176" s="503"/>
      <c r="AC176" s="503"/>
      <c r="AD176" s="503"/>
      <c r="AE176" s="503"/>
      <c r="AF176" s="503"/>
      <c r="AG176" s="503"/>
      <c r="AH176" s="503"/>
      <c r="AI176" s="503"/>
      <c r="AJ176" s="503"/>
      <c r="AK176" s="503"/>
      <c r="AL176" s="503"/>
      <c r="AM176" s="503"/>
      <c r="AN176" s="503"/>
      <c r="AO176" s="503"/>
      <c r="AP176" s="503"/>
      <c r="AQ176" s="503"/>
      <c r="AR176" s="503"/>
      <c r="AS176" s="503"/>
      <c r="AT176" s="503"/>
      <c r="AU176" s="503"/>
      <c r="AV176" s="503"/>
      <c r="AW176" s="503"/>
      <c r="AX176" s="503"/>
      <c r="AY176" s="503"/>
      <c r="AZ176" s="503"/>
      <c r="BA176" s="503"/>
      <c r="BB176" s="503"/>
      <c r="BC176" s="503"/>
      <c r="BD176" s="503"/>
      <c r="BE176" s="503"/>
      <c r="BF176" s="503"/>
      <c r="BG176" s="503"/>
      <c r="BH176" s="503"/>
      <c r="BI176" s="503"/>
      <c r="BJ176" s="503"/>
      <c r="BK176" s="503"/>
      <c r="BL176" s="503"/>
      <c r="BM176" s="503"/>
      <c r="BN176" s="503"/>
      <c r="BO176" s="503"/>
      <c r="BP176" s="503"/>
      <c r="BQ176" s="503"/>
      <c r="BR176" s="503"/>
      <c r="BS176" s="503"/>
      <c r="BT176" s="503"/>
      <c r="BU176" s="503"/>
    </row>
    <row r="177" ht="13.2" spans="1:22">
      <c r="A177" s="7"/>
      <c r="B177" s="7"/>
      <c r="C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U177" s="7"/>
      <c r="V177" s="350"/>
    </row>
    <row r="178" ht="13.2" spans="1:22">
      <c r="A178" s="7"/>
      <c r="B178" s="7"/>
      <c r="C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U178" s="7"/>
      <c r="V178" s="350"/>
    </row>
    <row r="179" ht="13.2" spans="1:22">
      <c r="A179" s="7"/>
      <c r="B179" s="7"/>
      <c r="C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U179" s="7"/>
      <c r="V179" s="350"/>
    </row>
    <row r="180" ht="13.2" spans="1:22">
      <c r="A180" s="7"/>
      <c r="B180" s="7"/>
      <c r="C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U180" s="7"/>
      <c r="V180" s="350"/>
    </row>
    <row r="181" ht="13.2" spans="1:22">
      <c r="A181" s="7"/>
      <c r="B181" s="7"/>
      <c r="C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U181" s="7"/>
      <c r="V181" s="350"/>
    </row>
    <row r="182" ht="13.2" spans="1:22">
      <c r="A182" s="7"/>
      <c r="B182" s="7"/>
      <c r="C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U182" s="7"/>
      <c r="V182" s="350"/>
    </row>
    <row r="183" ht="13.2" spans="1:22">
      <c r="A183" s="7"/>
      <c r="B183" s="7"/>
      <c r="C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U183" s="7"/>
      <c r="V183" s="350"/>
    </row>
    <row r="184" ht="13.2" spans="1:22">
      <c r="A184" s="7"/>
      <c r="B184" s="7"/>
      <c r="C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U184" s="7"/>
      <c r="V184" s="350"/>
    </row>
    <row r="185" ht="13.2" spans="1:22">
      <c r="A185" s="7"/>
      <c r="B185" s="7"/>
      <c r="C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U185" s="7"/>
      <c r="V185" s="350"/>
    </row>
    <row r="186" ht="13.2" spans="1:22">
      <c r="A186" s="7"/>
      <c r="B186" s="7"/>
      <c r="C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U186" s="7"/>
      <c r="V186" s="350"/>
    </row>
    <row r="187" ht="13.2" spans="1:22">
      <c r="A187" s="7"/>
      <c r="B187" s="7"/>
      <c r="C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U187" s="7"/>
      <c r="V187" s="350"/>
    </row>
    <row r="188" ht="13.2" spans="1:22">
      <c r="A188" s="7"/>
      <c r="B188" s="7"/>
      <c r="C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U188" s="7"/>
      <c r="V188" s="350"/>
    </row>
    <row r="189" ht="13.2" spans="1:22">
      <c r="A189" s="7"/>
      <c r="B189" s="7"/>
      <c r="C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U189" s="7"/>
      <c r="V189" s="350"/>
    </row>
    <row r="190" ht="13.2" spans="1:22">
      <c r="A190" s="7"/>
      <c r="B190" s="7"/>
      <c r="C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U190" s="7"/>
      <c r="V190" s="350"/>
    </row>
    <row r="191" ht="13.2" spans="1:22">
      <c r="A191" s="7"/>
      <c r="B191" s="7"/>
      <c r="C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U191" s="7"/>
      <c r="V191" s="350"/>
    </row>
    <row r="192" ht="13.2" spans="1:22">
      <c r="A192" s="7"/>
      <c r="B192" s="7"/>
      <c r="C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U192" s="7"/>
      <c r="V192" s="350"/>
    </row>
    <row r="193" ht="13.2" spans="1:22">
      <c r="A193" s="7"/>
      <c r="B193" s="7"/>
      <c r="C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U193" s="7"/>
      <c r="V193" s="350"/>
    </row>
    <row r="194" ht="13.2" spans="1:22">
      <c r="A194" s="7"/>
      <c r="B194" s="7"/>
      <c r="C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U194" s="7"/>
      <c r="V194" s="350"/>
    </row>
    <row r="195" ht="13.2" spans="1:22">
      <c r="A195" s="7"/>
      <c r="B195" s="7"/>
      <c r="C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U195" s="7"/>
      <c r="V195" s="350"/>
    </row>
    <row r="196" ht="13.2" spans="1:22">
      <c r="A196" s="7"/>
      <c r="B196" s="7"/>
      <c r="C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U196" s="7"/>
      <c r="V196" s="350"/>
    </row>
    <row r="197" ht="13.2" spans="1:22">
      <c r="A197" s="7"/>
      <c r="B197" s="7"/>
      <c r="C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U197" s="7"/>
      <c r="V197" s="350"/>
    </row>
    <row r="198" ht="13.2" spans="1:22">
      <c r="A198" s="7"/>
      <c r="B198" s="7"/>
      <c r="C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U198" s="7"/>
      <c r="V198" s="350"/>
    </row>
    <row r="199" ht="13.2" spans="1:22">
      <c r="A199" s="7"/>
      <c r="B199" s="7"/>
      <c r="C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U199" s="7"/>
      <c r="V199" s="350"/>
    </row>
    <row r="200" ht="13.2" spans="1:22">
      <c r="A200" s="7"/>
      <c r="B200" s="7"/>
      <c r="C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U200" s="7"/>
      <c r="V200" s="350"/>
    </row>
    <row r="201" ht="13.2" spans="1:22">
      <c r="A201" s="7"/>
      <c r="B201" s="7"/>
      <c r="C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U201" s="7"/>
      <c r="V201" s="350"/>
    </row>
    <row r="202" ht="13.2" spans="1:22">
      <c r="A202" s="7"/>
      <c r="B202" s="7"/>
      <c r="C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U202" s="7"/>
      <c r="V202" s="350"/>
    </row>
    <row r="203" ht="13.2" spans="1:22">
      <c r="A203" s="7"/>
      <c r="B203" s="7"/>
      <c r="C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U203" s="7"/>
      <c r="V203" s="350"/>
    </row>
    <row r="204" ht="13.2" spans="1:22">
      <c r="A204" s="7"/>
      <c r="B204" s="7"/>
      <c r="C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U204" s="7"/>
      <c r="V204" s="350"/>
    </row>
    <row r="205" ht="13.2" spans="1:22">
      <c r="A205" s="7"/>
      <c r="B205" s="7"/>
      <c r="C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U205" s="7"/>
      <c r="V205" s="350"/>
    </row>
    <row r="206" ht="13.2" spans="1:22">
      <c r="A206" s="7"/>
      <c r="B206" s="7"/>
      <c r="C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U206" s="7"/>
      <c r="V206" s="350"/>
    </row>
    <row r="207" ht="13.2" spans="1:22">
      <c r="A207" s="7"/>
      <c r="B207" s="7"/>
      <c r="C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U207" s="7"/>
      <c r="V207" s="350"/>
    </row>
    <row r="208" ht="13.2" spans="1:22">
      <c r="A208" s="7"/>
      <c r="B208" s="7"/>
      <c r="C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U208" s="7"/>
      <c r="V208" s="350"/>
    </row>
    <row r="209" ht="13.2" spans="1:22">
      <c r="A209" s="7"/>
      <c r="B209" s="7"/>
      <c r="C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U209" s="7"/>
      <c r="V209" s="350"/>
    </row>
    <row r="210" ht="13.2" spans="1:22">
      <c r="A210" s="7"/>
      <c r="B210" s="7"/>
      <c r="C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U210" s="7"/>
      <c r="V210" s="350"/>
    </row>
    <row r="211" ht="13.2" spans="1:22">
      <c r="A211" s="7"/>
      <c r="B211" s="7"/>
      <c r="C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U211" s="7"/>
      <c r="V211" s="350"/>
    </row>
    <row r="212" ht="13.2" spans="1:22">
      <c r="A212" s="7"/>
      <c r="B212" s="7"/>
      <c r="C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U212" s="7"/>
      <c r="V212" s="350"/>
    </row>
    <row r="213" ht="13.2" spans="1:22">
      <c r="A213" s="7"/>
      <c r="B213" s="7"/>
      <c r="C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U213" s="7"/>
      <c r="V213" s="350"/>
    </row>
    <row r="214" ht="13.2" spans="1:22">
      <c r="A214" s="7"/>
      <c r="B214" s="7"/>
      <c r="C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U214" s="7"/>
      <c r="V214" s="350"/>
    </row>
    <row r="215" ht="13.2" spans="1:22">
      <c r="A215" s="7"/>
      <c r="B215" s="7"/>
      <c r="C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U215" s="7"/>
      <c r="V215" s="350"/>
    </row>
    <row r="216" ht="13.2" spans="1:22">
      <c r="A216" s="7"/>
      <c r="B216" s="7"/>
      <c r="C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U216" s="7"/>
      <c r="V216" s="350"/>
    </row>
    <row r="217" ht="13.2" spans="1:22">
      <c r="A217" s="7"/>
      <c r="B217" s="7"/>
      <c r="C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U217" s="7"/>
      <c r="V217" s="350"/>
    </row>
    <row r="218" ht="13.2" spans="1:22">
      <c r="A218" s="7"/>
      <c r="B218" s="7"/>
      <c r="C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U218" s="7"/>
      <c r="V218" s="350"/>
    </row>
    <row r="219" ht="13.2" spans="1:22">
      <c r="A219" s="7"/>
      <c r="B219" s="7"/>
      <c r="C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U219" s="7"/>
      <c r="V219" s="350"/>
    </row>
    <row r="220" ht="13.2" spans="1:22">
      <c r="A220" s="7"/>
      <c r="B220" s="7"/>
      <c r="C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U220" s="7"/>
      <c r="V220" s="350"/>
    </row>
    <row r="221" ht="13.2" spans="1:22">
      <c r="A221" s="7"/>
      <c r="B221" s="7"/>
      <c r="C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U221" s="7"/>
      <c r="V221" s="350"/>
    </row>
    <row r="222" ht="13.2" spans="1:22">
      <c r="A222" s="7"/>
      <c r="B222" s="7"/>
      <c r="C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U222" s="7"/>
      <c r="V222" s="350"/>
    </row>
    <row r="223" ht="13.2" spans="1:22">
      <c r="A223" s="7"/>
      <c r="B223" s="7"/>
      <c r="C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U223" s="7"/>
      <c r="V223" s="350"/>
    </row>
    <row r="224" ht="13.2" spans="1:22">
      <c r="A224" s="7"/>
      <c r="B224" s="7"/>
      <c r="C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U224" s="7"/>
      <c r="V224" s="350"/>
    </row>
    <row r="225" ht="13.2" spans="1:22">
      <c r="A225" s="7"/>
      <c r="B225" s="7"/>
      <c r="C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U225" s="7"/>
      <c r="V225" s="350"/>
    </row>
    <row r="226" ht="13.2" spans="1:22">
      <c r="A226" s="7"/>
      <c r="B226" s="7"/>
      <c r="C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U226" s="7"/>
      <c r="V226" s="350"/>
    </row>
    <row r="227" ht="13.2" spans="1:22">
      <c r="A227" s="7"/>
      <c r="B227" s="7"/>
      <c r="C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U227" s="7"/>
      <c r="V227" s="350"/>
    </row>
    <row r="228" ht="13.2" spans="1:22">
      <c r="A228" s="7"/>
      <c r="B228" s="7"/>
      <c r="C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U228" s="7"/>
      <c r="V228" s="350"/>
    </row>
    <row r="229" ht="13.2" spans="1:22">
      <c r="A229" s="7"/>
      <c r="B229" s="7"/>
      <c r="C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U229" s="7"/>
      <c r="V229" s="350"/>
    </row>
    <row r="230" ht="13.2" spans="1:22">
      <c r="A230" s="7"/>
      <c r="B230" s="7"/>
      <c r="C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U230" s="7"/>
      <c r="V230" s="350"/>
    </row>
    <row r="231" ht="13.2" spans="1:22">
      <c r="A231" s="7"/>
      <c r="B231" s="7"/>
      <c r="C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U231" s="7"/>
      <c r="V231" s="350"/>
    </row>
    <row r="232" ht="13.2" spans="1:22">
      <c r="A232" s="7"/>
      <c r="B232" s="7"/>
      <c r="C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U232" s="7"/>
      <c r="V232" s="350"/>
    </row>
    <row r="233" ht="13.2" spans="1:22">
      <c r="A233" s="7"/>
      <c r="B233" s="7"/>
      <c r="C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U233" s="7"/>
      <c r="V233" s="350"/>
    </row>
    <row r="234" ht="13.2" spans="1:22">
      <c r="A234" s="7"/>
      <c r="B234" s="7"/>
      <c r="C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U234" s="7"/>
      <c r="V234" s="350"/>
    </row>
    <row r="235" ht="13.2" spans="1:22">
      <c r="A235" s="7"/>
      <c r="B235" s="7"/>
      <c r="C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U235" s="7"/>
      <c r="V235" s="350"/>
    </row>
    <row r="236" ht="13.2" spans="1:22">
      <c r="A236" s="7"/>
      <c r="B236" s="7"/>
      <c r="C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U236" s="7"/>
      <c r="V236" s="350"/>
    </row>
    <row r="237" ht="13.2" spans="1:22">
      <c r="A237" s="7"/>
      <c r="B237" s="7"/>
      <c r="C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U237" s="7"/>
      <c r="V237" s="350"/>
    </row>
    <row r="238" ht="13.2" spans="1:22">
      <c r="A238" s="7"/>
      <c r="B238" s="7"/>
      <c r="C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U238" s="7"/>
      <c r="V238" s="350"/>
    </row>
    <row r="239" ht="13.2" spans="1:22">
      <c r="A239" s="7"/>
      <c r="B239" s="7"/>
      <c r="C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U239" s="7"/>
      <c r="V239" s="350"/>
    </row>
    <row r="240" ht="13.2" spans="1:22">
      <c r="A240" s="7"/>
      <c r="B240" s="7"/>
      <c r="C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U240" s="7"/>
      <c r="V240" s="350"/>
    </row>
    <row r="241" ht="13.2" spans="1:22">
      <c r="A241" s="7"/>
      <c r="B241" s="7"/>
      <c r="C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U241" s="7"/>
      <c r="V241" s="350"/>
    </row>
    <row r="242" ht="13.2" spans="1:22">
      <c r="A242" s="7"/>
      <c r="B242" s="7"/>
      <c r="C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U242" s="7"/>
      <c r="V242" s="350"/>
    </row>
    <row r="243" ht="13.2" spans="1:22">
      <c r="A243" s="7"/>
      <c r="B243" s="7"/>
      <c r="C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U243" s="7"/>
      <c r="V243" s="350"/>
    </row>
    <row r="244" ht="13.2" spans="1:22">
      <c r="A244" s="7"/>
      <c r="B244" s="7"/>
      <c r="C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U244" s="7"/>
      <c r="V244" s="350"/>
    </row>
    <row r="245" ht="13.2" spans="1:22">
      <c r="A245" s="7"/>
      <c r="B245" s="7"/>
      <c r="C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U245" s="7"/>
      <c r="V245" s="350"/>
    </row>
    <row r="246" ht="13.2" spans="1:22">
      <c r="A246" s="7"/>
      <c r="B246" s="7"/>
      <c r="C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U246" s="7"/>
      <c r="V246" s="350"/>
    </row>
    <row r="247" ht="13.2" spans="1:22">
      <c r="A247" s="7"/>
      <c r="B247" s="7"/>
      <c r="C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U247" s="7"/>
      <c r="V247" s="350"/>
    </row>
    <row r="248" ht="13.2" spans="1:22">
      <c r="A248" s="7"/>
      <c r="B248" s="7"/>
      <c r="C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U248" s="7"/>
      <c r="V248" s="350"/>
    </row>
    <row r="249" ht="13.2" spans="1:22">
      <c r="A249" s="7"/>
      <c r="B249" s="7"/>
      <c r="C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U249" s="7"/>
      <c r="V249" s="350"/>
    </row>
    <row r="250" ht="13.2" spans="1:22">
      <c r="A250" s="7"/>
      <c r="B250" s="7"/>
      <c r="C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U250" s="7"/>
      <c r="V250" s="350"/>
    </row>
    <row r="251" ht="13.2" spans="1:22">
      <c r="A251" s="7"/>
      <c r="B251" s="7"/>
      <c r="C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U251" s="7"/>
      <c r="V251" s="350"/>
    </row>
    <row r="252" ht="13.2" spans="1:22">
      <c r="A252" s="7"/>
      <c r="B252" s="7"/>
      <c r="C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U252" s="7"/>
      <c r="V252" s="350"/>
    </row>
    <row r="253" ht="13.2" spans="1:22">
      <c r="A253" s="7"/>
      <c r="B253" s="7"/>
      <c r="C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U253" s="7"/>
      <c r="V253" s="350"/>
    </row>
    <row r="254" ht="13.2" spans="1:22">
      <c r="A254" s="7"/>
      <c r="B254" s="7"/>
      <c r="C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U254" s="7"/>
      <c r="V254" s="350"/>
    </row>
    <row r="255" ht="13.2" spans="1:22">
      <c r="A255" s="7"/>
      <c r="B255" s="7"/>
      <c r="C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U255" s="7"/>
      <c r="V255" s="350"/>
    </row>
    <row r="256" ht="13.2" spans="1:22">
      <c r="A256" s="7"/>
      <c r="B256" s="7"/>
      <c r="C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U256" s="7"/>
      <c r="V256" s="350"/>
    </row>
    <row r="257" ht="13.2" spans="1:22">
      <c r="A257" s="7"/>
      <c r="B257" s="7"/>
      <c r="C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U257" s="7"/>
      <c r="V257" s="350"/>
    </row>
    <row r="258" ht="13.2" spans="1:22">
      <c r="A258" s="7"/>
      <c r="B258" s="7"/>
      <c r="C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U258" s="7"/>
      <c r="V258" s="350"/>
    </row>
    <row r="259" ht="13.2" spans="1:22">
      <c r="A259" s="7"/>
      <c r="B259" s="7"/>
      <c r="C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U259" s="7"/>
      <c r="V259" s="350"/>
    </row>
    <row r="260" ht="13.2" spans="1:22">
      <c r="A260" s="7"/>
      <c r="B260" s="7"/>
      <c r="C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U260" s="7"/>
      <c r="V260" s="350"/>
    </row>
    <row r="261" ht="13.2" spans="1:22">
      <c r="A261" s="7"/>
      <c r="B261" s="7"/>
      <c r="C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U261" s="7"/>
      <c r="V261" s="350"/>
    </row>
    <row r="262" ht="13.2" spans="1:22">
      <c r="A262" s="7"/>
      <c r="B262" s="7"/>
      <c r="C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U262" s="7"/>
      <c r="V262" s="350"/>
    </row>
    <row r="263" ht="13.2" spans="1:22">
      <c r="A263" s="7"/>
      <c r="B263" s="7"/>
      <c r="C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U263" s="7"/>
      <c r="V263" s="350"/>
    </row>
    <row r="264" ht="13.2" spans="1:22">
      <c r="A264" s="7"/>
      <c r="B264" s="7"/>
      <c r="C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U264" s="7"/>
      <c r="V264" s="350"/>
    </row>
    <row r="265" ht="13.2" spans="1:22">
      <c r="A265" s="7"/>
      <c r="B265" s="7"/>
      <c r="C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U265" s="7"/>
      <c r="V265" s="350"/>
    </row>
    <row r="266" ht="13.2" spans="1:22">
      <c r="A266" s="7"/>
      <c r="B266" s="7"/>
      <c r="C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U266" s="7"/>
      <c r="V266" s="350"/>
    </row>
    <row r="267" ht="13.2" spans="1:22">
      <c r="A267" s="7"/>
      <c r="B267" s="7"/>
      <c r="C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U267" s="7"/>
      <c r="V267" s="350"/>
    </row>
    <row r="268" ht="13.2" spans="1:22">
      <c r="A268" s="7"/>
      <c r="B268" s="7"/>
      <c r="C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U268" s="7"/>
      <c r="V268" s="350"/>
    </row>
    <row r="269" ht="13.2" spans="1:22">
      <c r="A269" s="7"/>
      <c r="B269" s="7"/>
      <c r="C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U269" s="7"/>
      <c r="V269" s="350"/>
    </row>
    <row r="270" ht="13.2" spans="1:22">
      <c r="A270" s="7"/>
      <c r="B270" s="7"/>
      <c r="C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U270" s="7"/>
      <c r="V270" s="350"/>
    </row>
    <row r="271" ht="13.2" spans="1:22">
      <c r="A271" s="7"/>
      <c r="B271" s="7"/>
      <c r="C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U271" s="7"/>
      <c r="V271" s="350"/>
    </row>
    <row r="272" ht="13.2" spans="1:22">
      <c r="A272" s="7"/>
      <c r="B272" s="7"/>
      <c r="C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U272" s="7"/>
      <c r="V272" s="350"/>
    </row>
    <row r="273" ht="13.2" spans="1:22">
      <c r="A273" s="7"/>
      <c r="B273" s="7"/>
      <c r="C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U273" s="7"/>
      <c r="V273" s="350"/>
    </row>
    <row r="274" ht="13.2" spans="1:22">
      <c r="A274" s="7"/>
      <c r="B274" s="7"/>
      <c r="C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U274" s="7"/>
      <c r="V274" s="350"/>
    </row>
    <row r="275" ht="13.2" spans="1:22">
      <c r="A275" s="7"/>
      <c r="B275" s="7"/>
      <c r="C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U275" s="7"/>
      <c r="V275" s="350"/>
    </row>
    <row r="276" ht="13.2" spans="1:22">
      <c r="A276" s="7"/>
      <c r="B276" s="7"/>
      <c r="C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U276" s="7"/>
      <c r="V276" s="350"/>
    </row>
    <row r="277" ht="13.2" spans="1:22">
      <c r="A277" s="7"/>
      <c r="B277" s="7"/>
      <c r="C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U277" s="7"/>
      <c r="V277" s="350"/>
    </row>
    <row r="278" ht="13.2" spans="1:22">
      <c r="A278" s="7"/>
      <c r="B278" s="7"/>
      <c r="C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U278" s="7"/>
      <c r="V278" s="350"/>
    </row>
    <row r="279" ht="13.2" spans="1:22">
      <c r="A279" s="7"/>
      <c r="B279" s="7"/>
      <c r="C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U279" s="7"/>
      <c r="V279" s="350"/>
    </row>
    <row r="280" ht="13.2" spans="1:22">
      <c r="A280" s="7"/>
      <c r="B280" s="7"/>
      <c r="C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U280" s="7"/>
      <c r="V280" s="350"/>
    </row>
    <row r="281" ht="13.2" spans="1:22">
      <c r="A281" s="7"/>
      <c r="B281" s="7"/>
      <c r="C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U281" s="7"/>
      <c r="V281" s="350"/>
    </row>
    <row r="282" ht="13.2" spans="1:22">
      <c r="A282" s="7"/>
      <c r="B282" s="7"/>
      <c r="C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U282" s="7"/>
      <c r="V282" s="350"/>
    </row>
    <row r="283" ht="13.2" spans="1:22">
      <c r="A283" s="7"/>
      <c r="B283" s="7"/>
      <c r="C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U283" s="7"/>
      <c r="V283" s="350"/>
    </row>
    <row r="284" ht="13.2" spans="1:22">
      <c r="A284" s="7"/>
      <c r="B284" s="7"/>
      <c r="C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U284" s="7"/>
      <c r="V284" s="350"/>
    </row>
    <row r="285" ht="13.2" spans="1:22">
      <c r="A285" s="7"/>
      <c r="B285" s="7"/>
      <c r="C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U285" s="7"/>
      <c r="V285" s="350"/>
    </row>
    <row r="286" ht="13.2" spans="1:22">
      <c r="A286" s="7"/>
      <c r="B286" s="7"/>
      <c r="C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U286" s="7"/>
      <c r="V286" s="350"/>
    </row>
    <row r="287" ht="13.2" spans="1:22">
      <c r="A287" s="7"/>
      <c r="B287" s="7"/>
      <c r="C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U287" s="7"/>
      <c r="V287" s="350"/>
    </row>
    <row r="288" ht="13.2" spans="1:22">
      <c r="A288" s="7"/>
      <c r="B288" s="7"/>
      <c r="C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U288" s="7"/>
      <c r="V288" s="350"/>
    </row>
    <row r="289" ht="13.2" spans="1:22">
      <c r="A289" s="7"/>
      <c r="B289" s="7"/>
      <c r="C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U289" s="7"/>
      <c r="V289" s="350"/>
    </row>
    <row r="290" ht="13.2" spans="1:22">
      <c r="A290" s="7"/>
      <c r="B290" s="7"/>
      <c r="C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U290" s="7"/>
      <c r="V290" s="350"/>
    </row>
    <row r="291" ht="13.2" spans="1:22">
      <c r="A291" s="7"/>
      <c r="B291" s="7"/>
      <c r="C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U291" s="7"/>
      <c r="V291" s="350"/>
    </row>
    <row r="292" ht="13.2" spans="1:22">
      <c r="A292" s="7"/>
      <c r="B292" s="7"/>
      <c r="C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U292" s="7"/>
      <c r="V292" s="350"/>
    </row>
    <row r="293" ht="13.2" spans="1:22">
      <c r="A293" s="7"/>
      <c r="B293" s="7"/>
      <c r="C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U293" s="7"/>
      <c r="V293" s="350"/>
    </row>
    <row r="294" ht="13.2" spans="1:22">
      <c r="A294" s="7"/>
      <c r="B294" s="7"/>
      <c r="C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U294" s="7"/>
      <c r="V294" s="350"/>
    </row>
    <row r="295" ht="13.2" spans="1:22">
      <c r="A295" s="7"/>
      <c r="B295" s="7"/>
      <c r="C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U295" s="7"/>
      <c r="V295" s="350"/>
    </row>
    <row r="296" ht="13.2" spans="1:22">
      <c r="A296" s="7"/>
      <c r="B296" s="7"/>
      <c r="C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U296" s="7"/>
      <c r="V296" s="350"/>
    </row>
    <row r="297" ht="13.2" spans="1:22">
      <c r="A297" s="7"/>
      <c r="B297" s="7"/>
      <c r="C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U297" s="7"/>
      <c r="V297" s="350"/>
    </row>
    <row r="298" ht="13.2" spans="1:22">
      <c r="A298" s="7"/>
      <c r="B298" s="7"/>
      <c r="C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U298" s="7"/>
      <c r="V298" s="350"/>
    </row>
    <row r="299" ht="13.2" spans="1:22">
      <c r="A299" s="7"/>
      <c r="B299" s="7"/>
      <c r="C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U299" s="7"/>
      <c r="V299" s="350"/>
    </row>
    <row r="300" ht="13.2" spans="1:22">
      <c r="A300" s="7"/>
      <c r="B300" s="7"/>
      <c r="C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U300" s="7"/>
      <c r="V300" s="350"/>
    </row>
    <row r="301" ht="13.2" spans="1:22">
      <c r="A301" s="7"/>
      <c r="B301" s="7"/>
      <c r="C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U301" s="7"/>
      <c r="V301" s="350"/>
    </row>
    <row r="302" ht="13.2" spans="1:22">
      <c r="A302" s="7"/>
      <c r="B302" s="7"/>
      <c r="C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U302" s="7"/>
      <c r="V302" s="350"/>
    </row>
    <row r="303" ht="13.2" spans="1:22">
      <c r="A303" s="7"/>
      <c r="B303" s="7"/>
      <c r="C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U303" s="7"/>
      <c r="V303" s="350"/>
    </row>
    <row r="304" ht="13.2" spans="1:22">
      <c r="A304" s="7"/>
      <c r="B304" s="7"/>
      <c r="C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U304" s="7"/>
      <c r="V304" s="350"/>
    </row>
    <row r="305" ht="13.2" spans="1:22">
      <c r="A305" s="7"/>
      <c r="B305" s="7"/>
      <c r="C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U305" s="7"/>
      <c r="V305" s="350"/>
    </row>
    <row r="306" ht="13.2" spans="1:22">
      <c r="A306" s="7"/>
      <c r="B306" s="7"/>
      <c r="C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U306" s="7"/>
      <c r="V306" s="350"/>
    </row>
    <row r="307" ht="13.2" spans="1:22">
      <c r="A307" s="7"/>
      <c r="B307" s="7"/>
      <c r="C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U307" s="7"/>
      <c r="V307" s="350"/>
    </row>
    <row r="308" ht="13.2" spans="1:22">
      <c r="A308" s="7"/>
      <c r="B308" s="7"/>
      <c r="C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U308" s="7"/>
      <c r="V308" s="350"/>
    </row>
    <row r="309" ht="13.2" spans="1:22">
      <c r="A309" s="7"/>
      <c r="B309" s="7"/>
      <c r="C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U309" s="7"/>
      <c r="V309" s="350"/>
    </row>
    <row r="310" ht="13.2" spans="1:22">
      <c r="A310" s="7"/>
      <c r="B310" s="7"/>
      <c r="C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U310" s="7"/>
      <c r="V310" s="350"/>
    </row>
    <row r="311" ht="13.2" spans="1:22">
      <c r="A311" s="7"/>
      <c r="B311" s="7"/>
      <c r="C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U311" s="7"/>
      <c r="V311" s="350"/>
    </row>
    <row r="312" ht="13.2" spans="1:22">
      <c r="A312" s="7"/>
      <c r="B312" s="7"/>
      <c r="C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U312" s="7"/>
      <c r="V312" s="350"/>
    </row>
    <row r="313" ht="13.2" spans="1:22">
      <c r="A313" s="7"/>
      <c r="B313" s="7"/>
      <c r="C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U313" s="7"/>
      <c r="V313" s="350"/>
    </row>
    <row r="314" ht="13.2" spans="1:22">
      <c r="A314" s="7"/>
      <c r="B314" s="7"/>
      <c r="C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U314" s="7"/>
      <c r="V314" s="350"/>
    </row>
    <row r="315" ht="13.2" spans="1:22">
      <c r="A315" s="7"/>
      <c r="B315" s="7"/>
      <c r="C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U315" s="7"/>
      <c r="V315" s="350"/>
    </row>
    <row r="316" ht="13.2" spans="1:22">
      <c r="A316" s="7"/>
      <c r="B316" s="7"/>
      <c r="C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U316" s="7"/>
      <c r="V316" s="350"/>
    </row>
    <row r="317" ht="13.2" spans="1:22">
      <c r="A317" s="7"/>
      <c r="B317" s="7"/>
      <c r="C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U317" s="7"/>
      <c r="V317" s="350"/>
    </row>
    <row r="318" ht="13.2" spans="1:22">
      <c r="A318" s="7"/>
      <c r="B318" s="7"/>
      <c r="C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U318" s="7"/>
      <c r="V318" s="350"/>
    </row>
    <row r="319" ht="13.2" spans="1:22">
      <c r="A319" s="7"/>
      <c r="B319" s="7"/>
      <c r="C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U319" s="7"/>
      <c r="V319" s="350"/>
    </row>
    <row r="320" ht="13.2" spans="1:22">
      <c r="A320" s="7"/>
      <c r="B320" s="7"/>
      <c r="C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U320" s="7"/>
      <c r="V320" s="350"/>
    </row>
    <row r="321" ht="13.2" spans="1:22">
      <c r="A321" s="7"/>
      <c r="B321" s="7"/>
      <c r="C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U321" s="7"/>
      <c r="V321" s="350"/>
    </row>
    <row r="322" ht="13.2" spans="1:22">
      <c r="A322" s="7"/>
      <c r="B322" s="7"/>
      <c r="C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U322" s="7"/>
      <c r="V322" s="350"/>
    </row>
    <row r="323" ht="13.2" spans="1:22">
      <c r="A323" s="7"/>
      <c r="B323" s="7"/>
      <c r="C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U323" s="7"/>
      <c r="V323" s="350"/>
    </row>
    <row r="324" ht="13.2" spans="1:22">
      <c r="A324" s="7"/>
      <c r="B324" s="7"/>
      <c r="C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U324" s="7"/>
      <c r="V324" s="350"/>
    </row>
    <row r="325" ht="13.2" spans="1:22">
      <c r="A325" s="7"/>
      <c r="B325" s="7"/>
      <c r="C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U325" s="7"/>
      <c r="V325" s="350"/>
    </row>
    <row r="326" ht="13.2" spans="1:22">
      <c r="A326" s="7"/>
      <c r="B326" s="7"/>
      <c r="C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U326" s="7"/>
      <c r="V326" s="350"/>
    </row>
    <row r="327" ht="13.2" spans="1:22">
      <c r="A327" s="7"/>
      <c r="B327" s="7"/>
      <c r="C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U327" s="7"/>
      <c r="V327" s="350"/>
    </row>
    <row r="328" ht="13.2" spans="1:22">
      <c r="A328" s="7"/>
      <c r="B328" s="7"/>
      <c r="C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U328" s="7"/>
      <c r="V328" s="350"/>
    </row>
    <row r="329" ht="13.2" spans="1:22">
      <c r="A329" s="7"/>
      <c r="B329" s="7"/>
      <c r="C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U329" s="7"/>
      <c r="V329" s="350"/>
    </row>
    <row r="330" ht="13.2" spans="1:22">
      <c r="A330" s="7"/>
      <c r="B330" s="7"/>
      <c r="C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U330" s="7"/>
      <c r="V330" s="350"/>
    </row>
    <row r="331" ht="13.2" spans="1:22">
      <c r="A331" s="7"/>
      <c r="B331" s="7"/>
      <c r="C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U331" s="7"/>
      <c r="V331" s="350"/>
    </row>
    <row r="332" ht="13.2" spans="1:22">
      <c r="A332" s="7"/>
      <c r="B332" s="7"/>
      <c r="C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U332" s="7"/>
      <c r="V332" s="350"/>
    </row>
    <row r="333" ht="13.2" spans="1:22">
      <c r="A333" s="7"/>
      <c r="B333" s="7"/>
      <c r="C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U333" s="7"/>
      <c r="V333" s="350"/>
    </row>
    <row r="334" ht="13.2" spans="1:22">
      <c r="A334" s="7"/>
      <c r="B334" s="7"/>
      <c r="C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U334" s="7"/>
      <c r="V334" s="350"/>
    </row>
    <row r="335" ht="13.2" spans="1:22">
      <c r="A335" s="7"/>
      <c r="B335" s="7"/>
      <c r="C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U335" s="7"/>
      <c r="V335" s="350"/>
    </row>
    <row r="336" ht="13.2" spans="1:22">
      <c r="A336" s="7"/>
      <c r="B336" s="7"/>
      <c r="C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U336" s="7"/>
      <c r="V336" s="350"/>
    </row>
    <row r="337" ht="13.2" spans="1:22">
      <c r="A337" s="7"/>
      <c r="B337" s="7"/>
      <c r="C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U337" s="7"/>
      <c r="V337" s="350"/>
    </row>
    <row r="338" ht="13.2" spans="1:22">
      <c r="A338" s="7"/>
      <c r="B338" s="7"/>
      <c r="C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U338" s="7"/>
      <c r="V338" s="350"/>
    </row>
    <row r="339" ht="13.2" spans="1:22">
      <c r="A339" s="7"/>
      <c r="B339" s="7"/>
      <c r="C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U339" s="7"/>
      <c r="V339" s="350"/>
    </row>
    <row r="340" ht="13.2" spans="1:22">
      <c r="A340" s="7"/>
      <c r="B340" s="7"/>
      <c r="C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U340" s="7"/>
      <c r="V340" s="350"/>
    </row>
    <row r="341" ht="13.2" spans="1:22">
      <c r="A341" s="7"/>
      <c r="B341" s="7"/>
      <c r="C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U341" s="7"/>
      <c r="V341" s="350"/>
    </row>
    <row r="342" ht="13.2" spans="1:22">
      <c r="A342" s="7"/>
      <c r="B342" s="7"/>
      <c r="C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U342" s="7"/>
      <c r="V342" s="350"/>
    </row>
    <row r="343" ht="13.2" spans="1:22">
      <c r="A343" s="7"/>
      <c r="B343" s="7"/>
      <c r="C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U343" s="7"/>
      <c r="V343" s="350"/>
    </row>
    <row r="344" ht="13.2" spans="1:22">
      <c r="A344" s="7"/>
      <c r="B344" s="7"/>
      <c r="C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U344" s="7"/>
      <c r="V344" s="350"/>
    </row>
    <row r="345" ht="13.2" spans="1:22">
      <c r="A345" s="7"/>
      <c r="B345" s="7"/>
      <c r="C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U345" s="7"/>
      <c r="V345" s="350"/>
    </row>
    <row r="346" ht="13.2" spans="1:22">
      <c r="A346" s="7"/>
      <c r="B346" s="7"/>
      <c r="C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U346" s="7"/>
      <c r="V346" s="350"/>
    </row>
    <row r="347" ht="13.2" spans="1:22">
      <c r="A347" s="7"/>
      <c r="B347" s="7"/>
      <c r="C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U347" s="7"/>
      <c r="V347" s="350"/>
    </row>
    <row r="348" ht="13.2" spans="1:22">
      <c r="A348" s="7"/>
      <c r="B348" s="7"/>
      <c r="C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U348" s="7"/>
      <c r="V348" s="350"/>
    </row>
    <row r="349" ht="13.2" spans="1:22">
      <c r="A349" s="7"/>
      <c r="B349" s="7"/>
      <c r="C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U349" s="7"/>
      <c r="V349" s="350"/>
    </row>
    <row r="350" ht="13.2" spans="1:22">
      <c r="A350" s="7"/>
      <c r="B350" s="7"/>
      <c r="C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U350" s="7"/>
      <c r="V350" s="350"/>
    </row>
    <row r="351" ht="13.2" spans="1:22">
      <c r="A351" s="7"/>
      <c r="B351" s="7"/>
      <c r="C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U351" s="7"/>
      <c r="V351" s="350"/>
    </row>
    <row r="352" ht="13.2" spans="1:22">
      <c r="A352" s="7"/>
      <c r="B352" s="7"/>
      <c r="C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U352" s="7"/>
      <c r="V352" s="350"/>
    </row>
    <row r="353" ht="13.2" spans="1:22">
      <c r="A353" s="7"/>
      <c r="B353" s="7"/>
      <c r="C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U353" s="7"/>
      <c r="V353" s="350"/>
    </row>
    <row r="354" ht="13.2" spans="1:22">
      <c r="A354" s="7"/>
      <c r="B354" s="7"/>
      <c r="C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U354" s="7"/>
      <c r="V354" s="350"/>
    </row>
    <row r="355" ht="13.2" spans="1:22">
      <c r="A355" s="7"/>
      <c r="B355" s="7"/>
      <c r="C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U355" s="7"/>
      <c r="V355" s="350"/>
    </row>
    <row r="356" ht="13.2" spans="1:22">
      <c r="A356" s="7"/>
      <c r="B356" s="7"/>
      <c r="C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U356" s="7"/>
      <c r="V356" s="350"/>
    </row>
    <row r="357" ht="13.2" spans="1:22">
      <c r="A357" s="7"/>
      <c r="B357" s="7"/>
      <c r="C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U357" s="7"/>
      <c r="V357" s="350"/>
    </row>
    <row r="358" ht="13.2" spans="1:22">
      <c r="A358" s="7"/>
      <c r="B358" s="7"/>
      <c r="C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U358" s="7"/>
      <c r="V358" s="350"/>
    </row>
    <row r="359" ht="13.2" spans="1:22">
      <c r="A359" s="7"/>
      <c r="B359" s="7"/>
      <c r="C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U359" s="7"/>
      <c r="V359" s="350"/>
    </row>
    <row r="360" ht="13.2" spans="1:22">
      <c r="A360" s="7"/>
      <c r="B360" s="7"/>
      <c r="C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U360" s="7"/>
      <c r="V360" s="350"/>
    </row>
    <row r="361" ht="13.2" spans="1:22">
      <c r="A361" s="7"/>
      <c r="B361" s="7"/>
      <c r="C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U361" s="7"/>
      <c r="V361" s="350"/>
    </row>
    <row r="362" ht="13.2" spans="1:22">
      <c r="A362" s="7"/>
      <c r="B362" s="7"/>
      <c r="C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U362" s="7"/>
      <c r="V362" s="350"/>
    </row>
    <row r="363" ht="13.2" spans="1:22">
      <c r="A363" s="7"/>
      <c r="B363" s="7"/>
      <c r="C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U363" s="7"/>
      <c r="V363" s="350"/>
    </row>
    <row r="364" ht="13.2" spans="1:22">
      <c r="A364" s="7"/>
      <c r="B364" s="7"/>
      <c r="C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U364" s="7"/>
      <c r="V364" s="350"/>
    </row>
    <row r="365" ht="13.2" spans="1:22">
      <c r="A365" s="7"/>
      <c r="B365" s="7"/>
      <c r="C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U365" s="7"/>
      <c r="V365" s="350"/>
    </row>
    <row r="366" ht="13.2" spans="1:22">
      <c r="A366" s="7"/>
      <c r="B366" s="7"/>
      <c r="C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U366" s="7"/>
      <c r="V366" s="350"/>
    </row>
    <row r="367" ht="13.2" spans="1:22">
      <c r="A367" s="7"/>
      <c r="B367" s="7"/>
      <c r="C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U367" s="7"/>
      <c r="V367" s="350"/>
    </row>
    <row r="368" ht="13.2" spans="1:22">
      <c r="A368" s="7"/>
      <c r="B368" s="7"/>
      <c r="C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U368" s="7"/>
      <c r="V368" s="350"/>
    </row>
    <row r="369" ht="13.2" spans="1:22">
      <c r="A369" s="7"/>
      <c r="B369" s="7"/>
      <c r="C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U369" s="7"/>
      <c r="V369" s="350"/>
    </row>
    <row r="370" ht="13.2" spans="1:22">
      <c r="A370" s="7"/>
      <c r="B370" s="7"/>
      <c r="C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U370" s="7"/>
      <c r="V370" s="350"/>
    </row>
    <row r="371" ht="13.2" spans="1:22">
      <c r="A371" s="7"/>
      <c r="B371" s="7"/>
      <c r="C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U371" s="7"/>
      <c r="V371" s="350"/>
    </row>
    <row r="372" ht="13.2" spans="1:22">
      <c r="A372" s="7"/>
      <c r="B372" s="7"/>
      <c r="C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U372" s="7"/>
      <c r="V372" s="350"/>
    </row>
    <row r="373" ht="13.2" spans="1:22">
      <c r="A373" s="7"/>
      <c r="B373" s="7"/>
      <c r="C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U373" s="7"/>
      <c r="V373" s="350"/>
    </row>
    <row r="374" ht="13.2" spans="1:22">
      <c r="A374" s="7"/>
      <c r="B374" s="7"/>
      <c r="C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U374" s="7"/>
      <c r="V374" s="350"/>
    </row>
    <row r="375" ht="13.2" spans="1:22">
      <c r="A375" s="7"/>
      <c r="B375" s="7"/>
      <c r="C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U375" s="7"/>
      <c r="V375" s="350"/>
    </row>
    <row r="376" ht="13.2" spans="1:22">
      <c r="A376" s="7"/>
      <c r="B376" s="7"/>
      <c r="C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U376" s="7"/>
      <c r="V376" s="350"/>
    </row>
    <row r="377" ht="13.2" spans="1:22">
      <c r="A377" s="7"/>
      <c r="B377" s="7"/>
      <c r="C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U377" s="7"/>
      <c r="V377" s="350"/>
    </row>
    <row r="378" ht="13.2" spans="1:22">
      <c r="A378" s="7"/>
      <c r="B378" s="7"/>
      <c r="C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U378" s="7"/>
      <c r="V378" s="350"/>
    </row>
    <row r="379" ht="13.2" spans="1:22">
      <c r="A379" s="7"/>
      <c r="B379" s="7"/>
      <c r="C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U379" s="7"/>
      <c r="V379" s="350"/>
    </row>
    <row r="380" ht="13.2" spans="1:22">
      <c r="A380" s="7"/>
      <c r="B380" s="7"/>
      <c r="C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U380" s="7"/>
      <c r="V380" s="350"/>
    </row>
    <row r="381" ht="13.2" spans="1:22">
      <c r="A381" s="7"/>
      <c r="B381" s="7"/>
      <c r="C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U381" s="7"/>
      <c r="V381" s="350"/>
    </row>
    <row r="382" ht="13.2" spans="1:22">
      <c r="A382" s="7"/>
      <c r="B382" s="7"/>
      <c r="C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U382" s="7"/>
      <c r="V382" s="350"/>
    </row>
    <row r="383" ht="13.2" spans="1:22">
      <c r="A383" s="7"/>
      <c r="B383" s="7"/>
      <c r="C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U383" s="7"/>
      <c r="V383" s="350"/>
    </row>
    <row r="384" ht="13.2" spans="1:22">
      <c r="A384" s="7"/>
      <c r="B384" s="7"/>
      <c r="C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U384" s="7"/>
      <c r="V384" s="350"/>
    </row>
    <row r="385" ht="13.2" spans="1:22">
      <c r="A385" s="7"/>
      <c r="B385" s="7"/>
      <c r="C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U385" s="7"/>
      <c r="V385" s="350"/>
    </row>
    <row r="386" ht="13.2" spans="1:22">
      <c r="A386" s="7"/>
      <c r="B386" s="7"/>
      <c r="C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U386" s="7"/>
      <c r="V386" s="350"/>
    </row>
    <row r="387" ht="13.2" spans="1:22">
      <c r="A387" s="7"/>
      <c r="B387" s="7"/>
      <c r="C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U387" s="7"/>
      <c r="V387" s="350"/>
    </row>
    <row r="388" ht="13.2" spans="1:22">
      <c r="A388" s="7"/>
      <c r="B388" s="7"/>
      <c r="C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U388" s="7"/>
      <c r="V388" s="350"/>
    </row>
    <row r="389" ht="13.2" spans="1:22">
      <c r="A389" s="7"/>
      <c r="B389" s="7"/>
      <c r="C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U389" s="7"/>
      <c r="V389" s="350"/>
    </row>
    <row r="390" ht="13.2" spans="1:22">
      <c r="A390" s="7"/>
      <c r="B390" s="7"/>
      <c r="C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U390" s="7"/>
      <c r="V390" s="350"/>
    </row>
    <row r="391" ht="13.2" spans="1:22">
      <c r="A391" s="7"/>
      <c r="B391" s="7"/>
      <c r="C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U391" s="7"/>
      <c r="V391" s="350"/>
    </row>
    <row r="392" ht="13.2" spans="1:22">
      <c r="A392" s="7"/>
      <c r="B392" s="7"/>
      <c r="C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U392" s="7"/>
      <c r="V392" s="350"/>
    </row>
    <row r="393" ht="13.2" spans="1:22">
      <c r="A393" s="7"/>
      <c r="B393" s="7"/>
      <c r="C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U393" s="7"/>
      <c r="V393" s="350"/>
    </row>
    <row r="394" ht="13.2" spans="1:22">
      <c r="A394" s="7"/>
      <c r="B394" s="7"/>
      <c r="C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U394" s="7"/>
      <c r="V394" s="350"/>
    </row>
    <row r="395" ht="13.2" spans="1:22">
      <c r="A395" s="7"/>
      <c r="B395" s="7"/>
      <c r="C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U395" s="7"/>
      <c r="V395" s="350"/>
    </row>
    <row r="396" ht="13.2" spans="1:22">
      <c r="A396" s="7"/>
      <c r="B396" s="7"/>
      <c r="C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U396" s="7"/>
      <c r="V396" s="350"/>
    </row>
    <row r="397" ht="13.2" spans="1:22">
      <c r="A397" s="7"/>
      <c r="B397" s="7"/>
      <c r="C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U397" s="7"/>
      <c r="V397" s="350"/>
    </row>
    <row r="398" ht="13.2" spans="1:22">
      <c r="A398" s="7"/>
      <c r="B398" s="7"/>
      <c r="C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U398" s="7"/>
      <c r="V398" s="350"/>
    </row>
    <row r="399" ht="13.2" spans="1:22">
      <c r="A399" s="7"/>
      <c r="B399" s="7"/>
      <c r="C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U399" s="7"/>
      <c r="V399" s="350"/>
    </row>
    <row r="400" ht="13.2" spans="1:22">
      <c r="A400" s="7"/>
      <c r="B400" s="7"/>
      <c r="C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U400" s="7"/>
      <c r="V400" s="350"/>
    </row>
    <row r="401" ht="13.2" spans="1:22">
      <c r="A401" s="7"/>
      <c r="B401" s="7"/>
      <c r="C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U401" s="7"/>
      <c r="V401" s="350"/>
    </row>
    <row r="402" ht="13.2" spans="1:22">
      <c r="A402" s="7"/>
      <c r="B402" s="7"/>
      <c r="C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U402" s="7"/>
      <c r="V402" s="350"/>
    </row>
    <row r="403" ht="13.2" spans="1:22">
      <c r="A403" s="7"/>
      <c r="B403" s="7"/>
      <c r="C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U403" s="7"/>
      <c r="V403" s="350"/>
    </row>
    <row r="404" ht="13.2" spans="1:22">
      <c r="A404" s="7"/>
      <c r="B404" s="7"/>
      <c r="C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U404" s="7"/>
      <c r="V404" s="350"/>
    </row>
    <row r="405" ht="13.2" spans="1:22">
      <c r="A405" s="7"/>
      <c r="B405" s="7"/>
      <c r="C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U405" s="7"/>
      <c r="V405" s="350"/>
    </row>
    <row r="406" ht="13.2" spans="1:22">
      <c r="A406" s="7"/>
      <c r="B406" s="7"/>
      <c r="C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U406" s="7"/>
      <c r="V406" s="350"/>
    </row>
    <row r="407" ht="13.2" spans="1:22">
      <c r="A407" s="7"/>
      <c r="B407" s="7"/>
      <c r="C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U407" s="7"/>
      <c r="V407" s="350"/>
    </row>
    <row r="408" ht="13.2" spans="1:22">
      <c r="A408" s="7"/>
      <c r="B408" s="7"/>
      <c r="C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U408" s="7"/>
      <c r="V408" s="350"/>
    </row>
    <row r="409" ht="13.2" spans="1:22">
      <c r="A409" s="7"/>
      <c r="B409" s="7"/>
      <c r="C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U409" s="7"/>
      <c r="V409" s="350"/>
    </row>
    <row r="410" ht="13.2" spans="1:22">
      <c r="A410" s="7"/>
      <c r="B410" s="7"/>
      <c r="C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U410" s="7"/>
      <c r="V410" s="350"/>
    </row>
    <row r="411" ht="13.2" spans="1:22">
      <c r="A411" s="7"/>
      <c r="B411" s="7"/>
      <c r="C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U411" s="7"/>
      <c r="V411" s="350"/>
    </row>
    <row r="412" ht="13.2" spans="1:22">
      <c r="A412" s="7"/>
      <c r="B412" s="7"/>
      <c r="C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U412" s="7"/>
      <c r="V412" s="350"/>
    </row>
    <row r="413" ht="13.2" spans="1:22">
      <c r="A413" s="7"/>
      <c r="B413" s="7"/>
      <c r="C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U413" s="7"/>
      <c r="V413" s="350"/>
    </row>
    <row r="414" ht="13.2" spans="1:22">
      <c r="A414" s="7"/>
      <c r="B414" s="7"/>
      <c r="C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U414" s="7"/>
      <c r="V414" s="350"/>
    </row>
    <row r="415" ht="13.2" spans="1:22">
      <c r="A415" s="7"/>
      <c r="B415" s="7"/>
      <c r="C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U415" s="7"/>
      <c r="V415" s="350"/>
    </row>
    <row r="416" ht="13.2" spans="1:22">
      <c r="A416" s="7"/>
      <c r="B416" s="7"/>
      <c r="C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U416" s="7"/>
      <c r="V416" s="350"/>
    </row>
    <row r="417" ht="13.2" spans="1:22">
      <c r="A417" s="7"/>
      <c r="B417" s="7"/>
      <c r="C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U417" s="7"/>
      <c r="V417" s="350"/>
    </row>
    <row r="418" ht="13.2" spans="1:22">
      <c r="A418" s="7"/>
      <c r="B418" s="7"/>
      <c r="C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U418" s="7"/>
      <c r="V418" s="350"/>
    </row>
    <row r="419" ht="13.2" spans="1:22">
      <c r="A419" s="7"/>
      <c r="B419" s="7"/>
      <c r="C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U419" s="7"/>
      <c r="V419" s="350"/>
    </row>
    <row r="420" ht="13.2" spans="1:22">
      <c r="A420" s="7"/>
      <c r="B420" s="7"/>
      <c r="C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U420" s="7"/>
      <c r="V420" s="350"/>
    </row>
    <row r="421" ht="13.2" spans="1:22">
      <c r="A421" s="7"/>
      <c r="B421" s="7"/>
      <c r="C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U421" s="7"/>
      <c r="V421" s="350"/>
    </row>
    <row r="422" ht="13.2" spans="1:22">
      <c r="A422" s="7"/>
      <c r="B422" s="7"/>
      <c r="C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U422" s="7"/>
      <c r="V422" s="350"/>
    </row>
    <row r="423" ht="13.2" spans="1:22">
      <c r="A423" s="7"/>
      <c r="B423" s="7"/>
      <c r="C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U423" s="7"/>
      <c r="V423" s="350"/>
    </row>
    <row r="424" ht="13.2" spans="1:22">
      <c r="A424" s="7"/>
      <c r="B424" s="7"/>
      <c r="C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U424" s="7"/>
      <c r="V424" s="350"/>
    </row>
    <row r="425" ht="13.2" spans="1:22">
      <c r="A425" s="7"/>
      <c r="B425" s="7"/>
      <c r="C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U425" s="7"/>
      <c r="V425" s="350"/>
    </row>
    <row r="426" ht="13.2" spans="1:22">
      <c r="A426" s="7"/>
      <c r="B426" s="7"/>
      <c r="C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U426" s="7"/>
      <c r="V426" s="350"/>
    </row>
    <row r="427" ht="13.2" spans="1:22">
      <c r="A427" s="7"/>
      <c r="B427" s="7"/>
      <c r="C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U427" s="7"/>
      <c r="V427" s="350"/>
    </row>
    <row r="428" ht="13.2" spans="1:22">
      <c r="A428" s="7"/>
      <c r="B428" s="7"/>
      <c r="C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U428" s="7"/>
      <c r="V428" s="350"/>
    </row>
    <row r="429" ht="13.2" spans="1:22">
      <c r="A429" s="7"/>
      <c r="B429" s="7"/>
      <c r="C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U429" s="7"/>
      <c r="V429" s="350"/>
    </row>
    <row r="430" ht="13.2" spans="1:22">
      <c r="A430" s="7"/>
      <c r="B430" s="7"/>
      <c r="C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U430" s="7"/>
      <c r="V430" s="350"/>
    </row>
    <row r="431" ht="13.2" spans="1:22">
      <c r="A431" s="7"/>
      <c r="B431" s="7"/>
      <c r="C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U431" s="7"/>
      <c r="V431" s="350"/>
    </row>
    <row r="432" ht="13.2" spans="1:22">
      <c r="A432" s="7"/>
      <c r="B432" s="7"/>
      <c r="C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U432" s="7"/>
      <c r="V432" s="350"/>
    </row>
    <row r="433" ht="13.2" spans="1:22">
      <c r="A433" s="7"/>
      <c r="B433" s="7"/>
      <c r="C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U433" s="7"/>
      <c r="V433" s="350"/>
    </row>
    <row r="434" ht="13.2" spans="1:22">
      <c r="A434" s="7"/>
      <c r="B434" s="7"/>
      <c r="C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U434" s="7"/>
      <c r="V434" s="350"/>
    </row>
    <row r="435" ht="13.2" spans="1:22">
      <c r="A435" s="7"/>
      <c r="B435" s="7"/>
      <c r="C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U435" s="7"/>
      <c r="V435" s="350"/>
    </row>
    <row r="436" ht="13.2" spans="1:22">
      <c r="A436" s="7"/>
      <c r="B436" s="7"/>
      <c r="C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U436" s="7"/>
      <c r="V436" s="350"/>
    </row>
    <row r="437" ht="13.2" spans="1:22">
      <c r="A437" s="7"/>
      <c r="B437" s="7"/>
      <c r="C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U437" s="7"/>
      <c r="V437" s="350"/>
    </row>
    <row r="438" ht="13.2" spans="1:22">
      <c r="A438" s="7"/>
      <c r="B438" s="7"/>
      <c r="C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U438" s="7"/>
      <c r="V438" s="350"/>
    </row>
    <row r="439" ht="13.2" spans="1:22">
      <c r="A439" s="7"/>
      <c r="B439" s="7"/>
      <c r="C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U439" s="7"/>
      <c r="V439" s="350"/>
    </row>
    <row r="440" ht="13.2" spans="1:22">
      <c r="A440" s="7"/>
      <c r="B440" s="7"/>
      <c r="C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U440" s="7"/>
      <c r="V440" s="350"/>
    </row>
    <row r="441" ht="13.2" spans="1:22">
      <c r="A441" s="7"/>
      <c r="B441" s="7"/>
      <c r="C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U441" s="7"/>
      <c r="V441" s="350"/>
    </row>
    <row r="442" ht="13.2" spans="1:22">
      <c r="A442" s="7"/>
      <c r="B442" s="7"/>
      <c r="C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U442" s="7"/>
      <c r="V442" s="350"/>
    </row>
    <row r="443" ht="13.2" spans="1:22">
      <c r="A443" s="7"/>
      <c r="B443" s="7"/>
      <c r="C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U443" s="7"/>
      <c r="V443" s="350"/>
    </row>
    <row r="444" ht="13.2" spans="1:22">
      <c r="A444" s="7"/>
      <c r="B444" s="7"/>
      <c r="C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U444" s="7"/>
      <c r="V444" s="350"/>
    </row>
    <row r="445" ht="13.2" spans="1:22">
      <c r="A445" s="7"/>
      <c r="B445" s="7"/>
      <c r="C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U445" s="7"/>
      <c r="V445" s="350"/>
    </row>
    <row r="446" ht="13.2" spans="1:22">
      <c r="A446" s="7"/>
      <c r="B446" s="7"/>
      <c r="C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U446" s="7"/>
      <c r="V446" s="350"/>
    </row>
    <row r="447" ht="13.2" spans="1:22">
      <c r="A447" s="7"/>
      <c r="B447" s="7"/>
      <c r="C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U447" s="7"/>
      <c r="V447" s="350"/>
    </row>
    <row r="448" ht="13.2" spans="1:22">
      <c r="A448" s="7"/>
      <c r="B448" s="7"/>
      <c r="C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U448" s="7"/>
      <c r="V448" s="350"/>
    </row>
    <row r="449" ht="13.2" spans="1:22">
      <c r="A449" s="7"/>
      <c r="B449" s="7"/>
      <c r="C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U449" s="7"/>
      <c r="V449" s="350"/>
    </row>
    <row r="450" ht="13.2" spans="1:22">
      <c r="A450" s="7"/>
      <c r="B450" s="7"/>
      <c r="C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U450" s="7"/>
      <c r="V450" s="350"/>
    </row>
    <row r="451" ht="13.2" spans="1:22">
      <c r="A451" s="7"/>
      <c r="B451" s="7"/>
      <c r="C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U451" s="7"/>
      <c r="V451" s="350"/>
    </row>
    <row r="452" ht="13.2" spans="1:22">
      <c r="A452" s="7"/>
      <c r="B452" s="7"/>
      <c r="C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U452" s="7"/>
      <c r="V452" s="350"/>
    </row>
    <row r="453" ht="13.2" spans="1:22">
      <c r="A453" s="7"/>
      <c r="B453" s="7"/>
      <c r="C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U453" s="7"/>
      <c r="V453" s="350"/>
    </row>
    <row r="454" ht="13.2" spans="1:22">
      <c r="A454" s="7"/>
      <c r="B454" s="7"/>
      <c r="C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U454" s="7"/>
      <c r="V454" s="350"/>
    </row>
    <row r="455" ht="13.2" spans="1:22">
      <c r="A455" s="7"/>
      <c r="B455" s="7"/>
      <c r="C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U455" s="7"/>
      <c r="V455" s="350"/>
    </row>
    <row r="456" ht="13.2" spans="1:22">
      <c r="A456" s="7"/>
      <c r="B456" s="7"/>
      <c r="C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U456" s="7"/>
      <c r="V456" s="350"/>
    </row>
    <row r="457" ht="13.2" spans="1:22">
      <c r="A457" s="7"/>
      <c r="B457" s="7"/>
      <c r="C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U457" s="7"/>
      <c r="V457" s="350"/>
    </row>
    <row r="458" ht="13.2" spans="1:22">
      <c r="A458" s="7"/>
      <c r="B458" s="7"/>
      <c r="C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U458" s="7"/>
      <c r="V458" s="350"/>
    </row>
    <row r="459" ht="13.2" spans="1:22">
      <c r="A459" s="7"/>
      <c r="B459" s="7"/>
      <c r="C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U459" s="7"/>
      <c r="V459" s="350"/>
    </row>
    <row r="460" ht="13.2" spans="1:22">
      <c r="A460" s="7"/>
      <c r="B460" s="7"/>
      <c r="C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U460" s="7"/>
      <c r="V460" s="350"/>
    </row>
    <row r="461" ht="13.2" spans="1:22">
      <c r="A461" s="7"/>
      <c r="B461" s="7"/>
      <c r="C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U461" s="7"/>
      <c r="V461" s="350"/>
    </row>
    <row r="462" ht="13.2" spans="1:22">
      <c r="A462" s="7"/>
      <c r="B462" s="7"/>
      <c r="C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U462" s="7"/>
      <c r="V462" s="350"/>
    </row>
    <row r="463" ht="13.2" spans="1:22">
      <c r="A463" s="7"/>
      <c r="B463" s="7"/>
      <c r="C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U463" s="7"/>
      <c r="V463" s="350"/>
    </row>
    <row r="464" ht="13.2" spans="1:22">
      <c r="A464" s="7"/>
      <c r="B464" s="7"/>
      <c r="C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U464" s="7"/>
      <c r="V464" s="350"/>
    </row>
    <row r="465" ht="13.2" spans="1:22">
      <c r="A465" s="7"/>
      <c r="B465" s="7"/>
      <c r="C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U465" s="7"/>
      <c r="V465" s="350"/>
    </row>
    <row r="466" ht="13.2" spans="1:22">
      <c r="A466" s="7"/>
      <c r="B466" s="7"/>
      <c r="C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U466" s="7"/>
      <c r="V466" s="350"/>
    </row>
    <row r="467" ht="13.2" spans="1:22">
      <c r="A467" s="7"/>
      <c r="B467" s="7"/>
      <c r="C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U467" s="7"/>
      <c r="V467" s="350"/>
    </row>
    <row r="468" ht="13.2" spans="1:22">
      <c r="A468" s="7"/>
      <c r="B468" s="7"/>
      <c r="C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U468" s="7"/>
      <c r="V468" s="350"/>
    </row>
    <row r="469" ht="13.2" spans="1:22">
      <c r="A469" s="7"/>
      <c r="B469" s="7"/>
      <c r="C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U469" s="7"/>
      <c r="V469" s="350"/>
    </row>
    <row r="470" ht="13.2" spans="1:22">
      <c r="A470" s="7"/>
      <c r="B470" s="7"/>
      <c r="C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U470" s="7"/>
      <c r="V470" s="350"/>
    </row>
    <row r="471" ht="13.2" spans="1:22">
      <c r="A471" s="7"/>
      <c r="B471" s="7"/>
      <c r="C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U471" s="7"/>
      <c r="V471" s="350"/>
    </row>
    <row r="472" ht="13.2" spans="1:22">
      <c r="A472" s="7"/>
      <c r="B472" s="7"/>
      <c r="C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U472" s="7"/>
      <c r="V472" s="350"/>
    </row>
    <row r="473" ht="13.2" spans="1:22">
      <c r="A473" s="7"/>
      <c r="B473" s="7"/>
      <c r="C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U473" s="7"/>
      <c r="V473" s="350"/>
    </row>
    <row r="474" ht="13.2" spans="1:22">
      <c r="A474" s="7"/>
      <c r="B474" s="7"/>
      <c r="C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U474" s="7"/>
      <c r="V474" s="350"/>
    </row>
    <row r="475" ht="13.2" spans="1:22">
      <c r="A475" s="7"/>
      <c r="B475" s="7"/>
      <c r="C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U475" s="7"/>
      <c r="V475" s="350"/>
    </row>
    <row r="476" ht="13.2" spans="1:22">
      <c r="A476" s="7"/>
      <c r="B476" s="7"/>
      <c r="C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U476" s="7"/>
      <c r="V476" s="350"/>
    </row>
    <row r="477" ht="13.2" spans="1:22">
      <c r="A477" s="7"/>
      <c r="B477" s="7"/>
      <c r="C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U477" s="7"/>
      <c r="V477" s="350"/>
    </row>
    <row r="478" ht="13.2" spans="1:22">
      <c r="A478" s="7"/>
      <c r="B478" s="7"/>
      <c r="C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U478" s="7"/>
      <c r="V478" s="350"/>
    </row>
    <row r="479" ht="13.2" spans="1:22">
      <c r="A479" s="7"/>
      <c r="B479" s="7"/>
      <c r="C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U479" s="7"/>
      <c r="V479" s="350"/>
    </row>
    <row r="480" ht="13.2" spans="1:22">
      <c r="A480" s="7"/>
      <c r="B480" s="7"/>
      <c r="C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U480" s="7"/>
      <c r="V480" s="350"/>
    </row>
    <row r="481" ht="13.2" spans="1:22">
      <c r="A481" s="7"/>
      <c r="B481" s="7"/>
      <c r="C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U481" s="7"/>
      <c r="V481" s="350"/>
    </row>
    <row r="482" ht="13.2" spans="1:22">
      <c r="A482" s="7"/>
      <c r="B482" s="7"/>
      <c r="C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U482" s="7"/>
      <c r="V482" s="350"/>
    </row>
    <row r="483" ht="13.2" spans="1:22">
      <c r="A483" s="7"/>
      <c r="B483" s="7"/>
      <c r="C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U483" s="7"/>
      <c r="V483" s="350"/>
    </row>
    <row r="484" ht="13.2" spans="1:22">
      <c r="A484" s="7"/>
      <c r="B484" s="7"/>
      <c r="C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U484" s="7"/>
      <c r="V484" s="350"/>
    </row>
    <row r="485" ht="13.2" spans="1:22">
      <c r="A485" s="7"/>
      <c r="B485" s="7"/>
      <c r="C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U485" s="7"/>
      <c r="V485" s="350"/>
    </row>
    <row r="486" ht="13.2" spans="1:22">
      <c r="A486" s="7"/>
      <c r="B486" s="7"/>
      <c r="C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U486" s="7"/>
      <c r="V486" s="350"/>
    </row>
    <row r="487" ht="13.2" spans="1:22">
      <c r="A487" s="7"/>
      <c r="B487" s="7"/>
      <c r="C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U487" s="7"/>
      <c r="V487" s="350"/>
    </row>
    <row r="488" ht="13.2" spans="1:22">
      <c r="A488" s="7"/>
      <c r="B488" s="7"/>
      <c r="C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U488" s="7"/>
      <c r="V488" s="350"/>
    </row>
    <row r="489" ht="13.2" spans="1:22">
      <c r="A489" s="7"/>
      <c r="B489" s="7"/>
      <c r="C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U489" s="7"/>
      <c r="V489" s="350"/>
    </row>
    <row r="490" ht="13.2" spans="1:22">
      <c r="A490" s="7"/>
      <c r="B490" s="7"/>
      <c r="C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U490" s="7"/>
      <c r="V490" s="350"/>
    </row>
    <row r="491" ht="13.2" spans="1:22">
      <c r="A491" s="7"/>
      <c r="B491" s="7"/>
      <c r="C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U491" s="7"/>
      <c r="V491" s="350"/>
    </row>
    <row r="492" ht="13.2" spans="1:22">
      <c r="A492" s="7"/>
      <c r="B492" s="7"/>
      <c r="C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U492" s="7"/>
      <c r="V492" s="350"/>
    </row>
    <row r="493" ht="13.2" spans="1:22">
      <c r="A493" s="7"/>
      <c r="B493" s="7"/>
      <c r="C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U493" s="7"/>
      <c r="V493" s="350"/>
    </row>
    <row r="494" ht="13.2" spans="1:22">
      <c r="A494" s="7"/>
      <c r="B494" s="7"/>
      <c r="C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U494" s="7"/>
      <c r="V494" s="350"/>
    </row>
    <row r="495" ht="13.2" spans="1:22">
      <c r="A495" s="7"/>
      <c r="B495" s="7"/>
      <c r="C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U495" s="7"/>
      <c r="V495" s="350"/>
    </row>
    <row r="496" ht="13.2" spans="1:22">
      <c r="A496" s="7"/>
      <c r="B496" s="7"/>
      <c r="C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U496" s="7"/>
      <c r="V496" s="350"/>
    </row>
    <row r="497" ht="13.2" spans="1:22">
      <c r="A497" s="7"/>
      <c r="B497" s="7"/>
      <c r="C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U497" s="7"/>
      <c r="V497" s="350"/>
    </row>
    <row r="498" ht="13.2" spans="1:22">
      <c r="A498" s="7"/>
      <c r="B498" s="7"/>
      <c r="C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U498" s="7"/>
      <c r="V498" s="350"/>
    </row>
    <row r="499" ht="13.2" spans="1:22">
      <c r="A499" s="7"/>
      <c r="B499" s="7"/>
      <c r="C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U499" s="7"/>
      <c r="V499" s="350"/>
    </row>
    <row r="500" ht="13.2" spans="1:22">
      <c r="A500" s="7"/>
      <c r="B500" s="7"/>
      <c r="C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U500" s="7"/>
      <c r="V500" s="350"/>
    </row>
    <row r="501" ht="13.2" spans="1:22">
      <c r="A501" s="7"/>
      <c r="B501" s="7"/>
      <c r="C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U501" s="7"/>
      <c r="V501" s="350"/>
    </row>
    <row r="502" ht="13.2" spans="1:22">
      <c r="A502" s="7"/>
      <c r="B502" s="7"/>
      <c r="C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U502" s="7"/>
      <c r="V502" s="350"/>
    </row>
    <row r="503" ht="13.2" spans="1:22">
      <c r="A503" s="7"/>
      <c r="B503" s="7"/>
      <c r="C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U503" s="7"/>
      <c r="V503" s="350"/>
    </row>
    <row r="504" ht="13.2" spans="1:22">
      <c r="A504" s="7"/>
      <c r="B504" s="7"/>
      <c r="C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U504" s="7"/>
      <c r="V504" s="350"/>
    </row>
    <row r="505" ht="13.2" spans="1:22">
      <c r="A505" s="7"/>
      <c r="B505" s="7"/>
      <c r="C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U505" s="7"/>
      <c r="V505" s="350"/>
    </row>
    <row r="506" ht="13.2" spans="1:22">
      <c r="A506" s="7"/>
      <c r="B506" s="7"/>
      <c r="C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U506" s="7"/>
      <c r="V506" s="350"/>
    </row>
    <row r="507" ht="13.2" spans="1:22">
      <c r="A507" s="7"/>
      <c r="B507" s="7"/>
      <c r="C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U507" s="7"/>
      <c r="V507" s="350"/>
    </row>
    <row r="508" ht="13.2" spans="1:22">
      <c r="A508" s="7"/>
      <c r="B508" s="7"/>
      <c r="C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U508" s="7"/>
      <c r="V508" s="350"/>
    </row>
    <row r="509" ht="13.2" spans="1:22">
      <c r="A509" s="7"/>
      <c r="B509" s="7"/>
      <c r="C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U509" s="7"/>
      <c r="V509" s="350"/>
    </row>
    <row r="510" ht="13.2" spans="1:22">
      <c r="A510" s="7"/>
      <c r="B510" s="7"/>
      <c r="C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U510" s="7"/>
      <c r="V510" s="350"/>
    </row>
    <row r="511" ht="13.2" spans="1:22">
      <c r="A511" s="7"/>
      <c r="B511" s="7"/>
      <c r="C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U511" s="7"/>
      <c r="V511" s="350"/>
    </row>
    <row r="512" ht="13.2" spans="1:22">
      <c r="A512" s="7"/>
      <c r="B512" s="7"/>
      <c r="C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U512" s="7"/>
      <c r="V512" s="350"/>
    </row>
    <row r="513" ht="13.2" spans="1:22">
      <c r="A513" s="7"/>
      <c r="B513" s="7"/>
      <c r="C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U513" s="7"/>
      <c r="V513" s="350"/>
    </row>
    <row r="514" ht="13.2" spans="1:22">
      <c r="A514" s="7"/>
      <c r="B514" s="7"/>
      <c r="C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U514" s="7"/>
      <c r="V514" s="350"/>
    </row>
    <row r="515" ht="13.2" spans="1:22">
      <c r="A515" s="7"/>
      <c r="B515" s="7"/>
      <c r="C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U515" s="7"/>
      <c r="V515" s="350"/>
    </row>
    <row r="516" ht="13.2" spans="1:22">
      <c r="A516" s="7"/>
      <c r="B516" s="7"/>
      <c r="C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U516" s="7"/>
      <c r="V516" s="350"/>
    </row>
    <row r="517" ht="13.2" spans="1:22">
      <c r="A517" s="7"/>
      <c r="B517" s="7"/>
      <c r="C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U517" s="7"/>
      <c r="V517" s="350"/>
    </row>
    <row r="518" ht="13.2" spans="1:22">
      <c r="A518" s="7"/>
      <c r="B518" s="7"/>
      <c r="C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U518" s="7"/>
      <c r="V518" s="350"/>
    </row>
    <row r="519" ht="13.2" spans="1:22">
      <c r="A519" s="7"/>
      <c r="B519" s="7"/>
      <c r="C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U519" s="7"/>
      <c r="V519" s="350"/>
    </row>
    <row r="520" ht="13.2" spans="1:22">
      <c r="A520" s="7"/>
      <c r="B520" s="7"/>
      <c r="C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U520" s="7"/>
      <c r="V520" s="350"/>
    </row>
    <row r="521" ht="13.2" spans="1:22">
      <c r="A521" s="7"/>
      <c r="B521" s="7"/>
      <c r="C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U521" s="7"/>
      <c r="V521" s="350"/>
    </row>
    <row r="522" ht="13.2" spans="1:22">
      <c r="A522" s="7"/>
      <c r="B522" s="7"/>
      <c r="C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U522" s="7"/>
      <c r="V522" s="350"/>
    </row>
    <row r="523" ht="13.2" spans="1:22">
      <c r="A523" s="7"/>
      <c r="B523" s="7"/>
      <c r="C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U523" s="7"/>
      <c r="V523" s="350"/>
    </row>
    <row r="524" ht="13.2" spans="1:22">
      <c r="A524" s="7"/>
      <c r="B524" s="7"/>
      <c r="C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U524" s="7"/>
      <c r="V524" s="350"/>
    </row>
    <row r="525" ht="13.2" spans="1:22">
      <c r="A525" s="7"/>
      <c r="B525" s="7"/>
      <c r="C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U525" s="7"/>
      <c r="V525" s="350"/>
    </row>
    <row r="526" ht="13.2" spans="1:22">
      <c r="A526" s="7"/>
      <c r="B526" s="7"/>
      <c r="C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U526" s="7"/>
      <c r="V526" s="350"/>
    </row>
    <row r="527" ht="13.2" spans="1:22">
      <c r="A527" s="7"/>
      <c r="B527" s="7"/>
      <c r="C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U527" s="7"/>
      <c r="V527" s="350"/>
    </row>
    <row r="528" ht="13.2" spans="1:22">
      <c r="A528" s="7"/>
      <c r="B528" s="7"/>
      <c r="C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U528" s="7"/>
      <c r="V528" s="350"/>
    </row>
    <row r="529" ht="13.2" spans="1:22">
      <c r="A529" s="7"/>
      <c r="B529" s="7"/>
      <c r="C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U529" s="7"/>
      <c r="V529" s="350"/>
    </row>
    <row r="530" ht="13.2" spans="1:22">
      <c r="A530" s="7"/>
      <c r="B530" s="7"/>
      <c r="C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U530" s="7"/>
      <c r="V530" s="350"/>
    </row>
    <row r="531" ht="13.2" spans="1:22">
      <c r="A531" s="7"/>
      <c r="B531" s="7"/>
      <c r="C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U531" s="7"/>
      <c r="V531" s="350"/>
    </row>
    <row r="532" ht="13.2" spans="1:22">
      <c r="A532" s="7"/>
      <c r="B532" s="7"/>
      <c r="C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U532" s="7"/>
      <c r="V532" s="350"/>
    </row>
    <row r="533" ht="13.2" spans="1:22">
      <c r="A533" s="7"/>
      <c r="B533" s="7"/>
      <c r="C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U533" s="7"/>
      <c r="V533" s="350"/>
    </row>
    <row r="534" ht="13.2" spans="1:22">
      <c r="A534" s="7"/>
      <c r="B534" s="7"/>
      <c r="C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U534" s="7"/>
      <c r="V534" s="350"/>
    </row>
    <row r="535" ht="13.2" spans="1:22">
      <c r="A535" s="7"/>
      <c r="B535" s="7"/>
      <c r="C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U535" s="7"/>
      <c r="V535" s="350"/>
    </row>
    <row r="536" ht="13.2" spans="1:22">
      <c r="A536" s="7"/>
      <c r="B536" s="7"/>
      <c r="C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U536" s="7"/>
      <c r="V536" s="350"/>
    </row>
    <row r="537" ht="13.2" spans="1:22">
      <c r="A537" s="7"/>
      <c r="B537" s="7"/>
      <c r="C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U537" s="7"/>
      <c r="V537" s="350"/>
    </row>
    <row r="538" ht="13.2" spans="1:22">
      <c r="A538" s="7"/>
      <c r="B538" s="7"/>
      <c r="C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U538" s="7"/>
      <c r="V538" s="350"/>
    </row>
    <row r="539" ht="13.2" spans="1:22">
      <c r="A539" s="7"/>
      <c r="B539" s="7"/>
      <c r="C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U539" s="7"/>
      <c r="V539" s="350"/>
    </row>
    <row r="540" ht="13.2" spans="1:22">
      <c r="A540" s="7"/>
      <c r="B540" s="7"/>
      <c r="C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U540" s="7"/>
      <c r="V540" s="350"/>
    </row>
    <row r="541" ht="13.2" spans="1:22">
      <c r="A541" s="7"/>
      <c r="B541" s="7"/>
      <c r="C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U541" s="7"/>
      <c r="V541" s="350"/>
    </row>
    <row r="542" ht="13.2" spans="1:22">
      <c r="A542" s="7"/>
      <c r="B542" s="7"/>
      <c r="C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U542" s="7"/>
      <c r="V542" s="350"/>
    </row>
    <row r="543" ht="13.2" spans="1:22">
      <c r="A543" s="7"/>
      <c r="B543" s="7"/>
      <c r="C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U543" s="7"/>
      <c r="V543" s="350"/>
    </row>
    <row r="544" ht="13.2" spans="1:22">
      <c r="A544" s="7"/>
      <c r="B544" s="7"/>
      <c r="C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U544" s="7"/>
      <c r="V544" s="350"/>
    </row>
    <row r="545" ht="13.2" spans="1:22">
      <c r="A545" s="7"/>
      <c r="B545" s="7"/>
      <c r="C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U545" s="7"/>
      <c r="V545" s="350"/>
    </row>
    <row r="546" ht="13.2" spans="1:22">
      <c r="A546" s="7"/>
      <c r="B546" s="7"/>
      <c r="C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U546" s="7"/>
      <c r="V546" s="350"/>
    </row>
    <row r="547" ht="13.2" spans="1:22">
      <c r="A547" s="7"/>
      <c r="B547" s="7"/>
      <c r="C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U547" s="7"/>
      <c r="V547" s="350"/>
    </row>
    <row r="548" ht="13.2" spans="1:22">
      <c r="A548" s="7"/>
      <c r="B548" s="7"/>
      <c r="C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U548" s="7"/>
      <c r="V548" s="350"/>
    </row>
    <row r="549" ht="13.2" spans="1:22">
      <c r="A549" s="7"/>
      <c r="B549" s="7"/>
      <c r="C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U549" s="7"/>
      <c r="V549" s="350"/>
    </row>
    <row r="550" ht="13.2" spans="1:22">
      <c r="A550" s="7"/>
      <c r="B550" s="7"/>
      <c r="C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U550" s="7"/>
      <c r="V550" s="350"/>
    </row>
    <row r="551" ht="13.2" spans="1:22">
      <c r="A551" s="7"/>
      <c r="B551" s="7"/>
      <c r="C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U551" s="7"/>
      <c r="V551" s="350"/>
    </row>
    <row r="552" ht="13.2" spans="1:22">
      <c r="A552" s="7"/>
      <c r="B552" s="7"/>
      <c r="C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U552" s="7"/>
      <c r="V552" s="350"/>
    </row>
    <row r="553" ht="13.2" spans="1:22">
      <c r="A553" s="7"/>
      <c r="B553" s="7"/>
      <c r="C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U553" s="7"/>
      <c r="V553" s="350"/>
    </row>
    <row r="554" ht="13.2" spans="1:22">
      <c r="A554" s="7"/>
      <c r="B554" s="7"/>
      <c r="C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U554" s="7"/>
      <c r="V554" s="350"/>
    </row>
    <row r="555" ht="13.2" spans="1:22">
      <c r="A555" s="7"/>
      <c r="B555" s="7"/>
      <c r="C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U555" s="7"/>
      <c r="V555" s="350"/>
    </row>
    <row r="556" ht="13.2" spans="1:22">
      <c r="A556" s="7"/>
      <c r="B556" s="7"/>
      <c r="C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U556" s="7"/>
      <c r="V556" s="350"/>
    </row>
    <row r="557" ht="13.2" spans="1:22">
      <c r="A557" s="7"/>
      <c r="B557" s="7"/>
      <c r="C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U557" s="7"/>
      <c r="V557" s="350"/>
    </row>
    <row r="558" ht="13.2" spans="1:22">
      <c r="A558" s="7"/>
      <c r="B558" s="7"/>
      <c r="C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U558" s="7"/>
      <c r="V558" s="350"/>
    </row>
    <row r="559" ht="13.2" spans="1:22">
      <c r="A559" s="7"/>
      <c r="B559" s="7"/>
      <c r="C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U559" s="7"/>
      <c r="V559" s="350"/>
    </row>
    <row r="560" ht="13.2" spans="1:22">
      <c r="A560" s="7"/>
      <c r="B560" s="7"/>
      <c r="C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U560" s="7"/>
      <c r="V560" s="350"/>
    </row>
    <row r="561" ht="13.2" spans="1:22">
      <c r="A561" s="7"/>
      <c r="B561" s="7"/>
      <c r="C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U561" s="7"/>
      <c r="V561" s="350"/>
    </row>
    <row r="562" ht="13.2" spans="1:22">
      <c r="A562" s="7"/>
      <c r="B562" s="7"/>
      <c r="C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U562" s="7"/>
      <c r="V562" s="350"/>
    </row>
    <row r="563" ht="13.2" spans="1:22">
      <c r="A563" s="7"/>
      <c r="B563" s="7"/>
      <c r="C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U563" s="7"/>
      <c r="V563" s="350"/>
    </row>
    <row r="564" ht="13.2" spans="1:22">
      <c r="A564" s="7"/>
      <c r="B564" s="7"/>
      <c r="C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U564" s="7"/>
      <c r="V564" s="350"/>
    </row>
    <row r="565" ht="13.2" spans="1:22">
      <c r="A565" s="7"/>
      <c r="B565" s="7"/>
      <c r="C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U565" s="7"/>
      <c r="V565" s="350"/>
    </row>
    <row r="566" ht="13.2" spans="1:22">
      <c r="A566" s="7"/>
      <c r="B566" s="7"/>
      <c r="C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U566" s="7"/>
      <c r="V566" s="350"/>
    </row>
    <row r="567" ht="13.2" spans="1:22">
      <c r="A567" s="7"/>
      <c r="B567" s="7"/>
      <c r="C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U567" s="7"/>
      <c r="V567" s="350"/>
    </row>
    <row r="568" ht="13.2" spans="1:22">
      <c r="A568" s="7"/>
      <c r="B568" s="7"/>
      <c r="C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U568" s="7"/>
      <c r="V568" s="350"/>
    </row>
    <row r="569" ht="13.2" spans="1:22">
      <c r="A569" s="7"/>
      <c r="B569" s="7"/>
      <c r="C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U569" s="7"/>
      <c r="V569" s="350"/>
    </row>
    <row r="570" ht="13.2" spans="1:22">
      <c r="A570" s="7"/>
      <c r="B570" s="7"/>
      <c r="C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U570" s="7"/>
      <c r="V570" s="350"/>
    </row>
    <row r="571" ht="13.2" spans="1:22">
      <c r="A571" s="7"/>
      <c r="B571" s="7"/>
      <c r="C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U571" s="7"/>
      <c r="V571" s="350"/>
    </row>
    <row r="572" ht="13.2" spans="1:22">
      <c r="A572" s="7"/>
      <c r="B572" s="7"/>
      <c r="C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U572" s="7"/>
      <c r="V572" s="350"/>
    </row>
    <row r="573" ht="13.2" spans="1:22">
      <c r="A573" s="7"/>
      <c r="B573" s="7"/>
      <c r="C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U573" s="7"/>
      <c r="V573" s="350"/>
    </row>
    <row r="574" ht="13.2" spans="1:22">
      <c r="A574" s="7"/>
      <c r="B574" s="7"/>
      <c r="C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U574" s="7"/>
      <c r="V574" s="350"/>
    </row>
    <row r="575" ht="13.2" spans="1:22">
      <c r="A575" s="7"/>
      <c r="B575" s="7"/>
      <c r="C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U575" s="7"/>
      <c r="V575" s="350"/>
    </row>
    <row r="576" ht="13.2" spans="1:22">
      <c r="A576" s="7"/>
      <c r="B576" s="7"/>
      <c r="C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U576" s="7"/>
      <c r="V576" s="350"/>
    </row>
    <row r="577" ht="13.2" spans="1:22">
      <c r="A577" s="7"/>
      <c r="B577" s="7"/>
      <c r="C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U577" s="7"/>
      <c r="V577" s="350"/>
    </row>
    <row r="578" ht="13.2" spans="1:22">
      <c r="A578" s="7"/>
      <c r="B578" s="7"/>
      <c r="C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U578" s="7"/>
      <c r="V578" s="350"/>
    </row>
    <row r="579" ht="13.2" spans="1:22">
      <c r="A579" s="7"/>
      <c r="B579" s="7"/>
      <c r="C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U579" s="7"/>
      <c r="V579" s="350"/>
    </row>
    <row r="580" ht="13.2" spans="1:22">
      <c r="A580" s="7"/>
      <c r="B580" s="7"/>
      <c r="C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U580" s="7"/>
      <c r="V580" s="350"/>
    </row>
    <row r="581" ht="13.2" spans="1:22">
      <c r="A581" s="7"/>
      <c r="B581" s="7"/>
      <c r="C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U581" s="7"/>
      <c r="V581" s="350"/>
    </row>
    <row r="582" ht="13.2" spans="1:22">
      <c r="A582" s="7"/>
      <c r="B582" s="7"/>
      <c r="C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U582" s="7"/>
      <c r="V582" s="350"/>
    </row>
    <row r="583" ht="13.2" spans="1:22">
      <c r="A583" s="7"/>
      <c r="B583" s="7"/>
      <c r="C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U583" s="7"/>
      <c r="V583" s="350"/>
    </row>
    <row r="584" ht="13.2" spans="1:22">
      <c r="A584" s="7"/>
      <c r="B584" s="7"/>
      <c r="C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U584" s="7"/>
      <c r="V584" s="350"/>
    </row>
    <row r="585" ht="13.2" spans="1:22">
      <c r="A585" s="7"/>
      <c r="B585" s="7"/>
      <c r="C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U585" s="7"/>
      <c r="V585" s="350"/>
    </row>
    <row r="586" ht="13.2" spans="1:22">
      <c r="A586" s="7"/>
      <c r="B586" s="7"/>
      <c r="C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U586" s="7"/>
      <c r="V586" s="350"/>
    </row>
    <row r="587" ht="13.2" spans="1:22">
      <c r="A587" s="7"/>
      <c r="B587" s="7"/>
      <c r="C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U587" s="7"/>
      <c r="V587" s="350"/>
    </row>
    <row r="588" ht="13.2" spans="1:22">
      <c r="A588" s="7"/>
      <c r="B588" s="7"/>
      <c r="C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U588" s="7"/>
      <c r="V588" s="350"/>
    </row>
    <row r="589" ht="13.2" spans="1:22">
      <c r="A589" s="7"/>
      <c r="B589" s="7"/>
      <c r="C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U589" s="7"/>
      <c r="V589" s="350"/>
    </row>
    <row r="590" ht="13.2" spans="1:22">
      <c r="A590" s="7"/>
      <c r="B590" s="7"/>
      <c r="C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U590" s="7"/>
      <c r="V590" s="350"/>
    </row>
    <row r="591" ht="13.2" spans="1:22">
      <c r="A591" s="7"/>
      <c r="B591" s="7"/>
      <c r="C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U591" s="7"/>
      <c r="V591" s="350"/>
    </row>
    <row r="592" ht="13.2" spans="1:22">
      <c r="A592" s="7"/>
      <c r="B592" s="7"/>
      <c r="C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U592" s="7"/>
      <c r="V592" s="350"/>
    </row>
    <row r="593" ht="13.2" spans="1:22">
      <c r="A593" s="7"/>
      <c r="B593" s="7"/>
      <c r="C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U593" s="7"/>
      <c r="V593" s="350"/>
    </row>
    <row r="594" ht="13.2" spans="1:22">
      <c r="A594" s="7"/>
      <c r="B594" s="7"/>
      <c r="C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U594" s="7"/>
      <c r="V594" s="350"/>
    </row>
    <row r="595" ht="13.2" spans="1:22">
      <c r="A595" s="7"/>
      <c r="B595" s="7"/>
      <c r="C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U595" s="7"/>
      <c r="V595" s="350"/>
    </row>
    <row r="596" ht="13.2" spans="1:22">
      <c r="A596" s="7"/>
      <c r="B596" s="7"/>
      <c r="C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U596" s="7"/>
      <c r="V596" s="350"/>
    </row>
    <row r="597" ht="13.2" spans="1:22">
      <c r="A597" s="7"/>
      <c r="B597" s="7"/>
      <c r="C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U597" s="7"/>
      <c r="V597" s="350"/>
    </row>
    <row r="598" ht="13.2" spans="1:22">
      <c r="A598" s="7"/>
      <c r="B598" s="7"/>
      <c r="C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U598" s="7"/>
      <c r="V598" s="350"/>
    </row>
    <row r="599" ht="13.2" spans="1:22">
      <c r="A599" s="7"/>
      <c r="B599" s="7"/>
      <c r="C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U599" s="7"/>
      <c r="V599" s="350"/>
    </row>
    <row r="600" ht="13.2" spans="1:22">
      <c r="A600" s="7"/>
      <c r="B600" s="7"/>
      <c r="C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U600" s="7"/>
      <c r="V600" s="350"/>
    </row>
    <row r="601" ht="13.2" spans="1:22">
      <c r="A601" s="7"/>
      <c r="B601" s="7"/>
      <c r="C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U601" s="7"/>
      <c r="V601" s="350"/>
    </row>
    <row r="602" ht="13.2" spans="1:22">
      <c r="A602" s="7"/>
      <c r="B602" s="7"/>
      <c r="C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U602" s="7"/>
      <c r="V602" s="350"/>
    </row>
    <row r="603" ht="13.2" spans="1:22">
      <c r="A603" s="7"/>
      <c r="B603" s="7"/>
      <c r="C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U603" s="7"/>
      <c r="V603" s="350"/>
    </row>
    <row r="604" ht="13.2" spans="1:22">
      <c r="A604" s="7"/>
      <c r="B604" s="7"/>
      <c r="C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U604" s="7"/>
      <c r="V604" s="350"/>
    </row>
    <row r="605" ht="13.2" spans="1:22">
      <c r="A605" s="7"/>
      <c r="B605" s="7"/>
      <c r="C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U605" s="7"/>
      <c r="V605" s="350"/>
    </row>
    <row r="606" ht="13.2" spans="1:22">
      <c r="A606" s="7"/>
      <c r="B606" s="7"/>
      <c r="C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U606" s="7"/>
      <c r="V606" s="350"/>
    </row>
    <row r="607" ht="13.2" spans="1:22">
      <c r="A607" s="7"/>
      <c r="B607" s="7"/>
      <c r="C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U607" s="7"/>
      <c r="V607" s="350"/>
    </row>
    <row r="608" ht="13.2" spans="1:22">
      <c r="A608" s="7"/>
      <c r="B608" s="7"/>
      <c r="C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U608" s="7"/>
      <c r="V608" s="350"/>
    </row>
    <row r="609" ht="13.2" spans="1:22">
      <c r="A609" s="7"/>
      <c r="B609" s="7"/>
      <c r="C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U609" s="7"/>
      <c r="V609" s="350"/>
    </row>
    <row r="610" ht="13.2" spans="1:22">
      <c r="A610" s="7"/>
      <c r="B610" s="7"/>
      <c r="C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U610" s="7"/>
      <c r="V610" s="350"/>
    </row>
    <row r="611" ht="13.2" spans="1:22">
      <c r="A611" s="7"/>
      <c r="B611" s="7"/>
      <c r="C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U611" s="7"/>
      <c r="V611" s="350"/>
    </row>
    <row r="612" ht="13.2" spans="1:22">
      <c r="A612" s="7"/>
      <c r="B612" s="7"/>
      <c r="C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U612" s="7"/>
      <c r="V612" s="350"/>
    </row>
    <row r="613" ht="13.2" spans="1:22">
      <c r="A613" s="7"/>
      <c r="B613" s="7"/>
      <c r="C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U613" s="7"/>
      <c r="V613" s="350"/>
    </row>
    <row r="614" ht="13.2" spans="1:22">
      <c r="A614" s="7"/>
      <c r="B614" s="7"/>
      <c r="C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U614" s="7"/>
      <c r="V614" s="350"/>
    </row>
    <row r="615" ht="13.2" spans="1:22">
      <c r="A615" s="7"/>
      <c r="B615" s="7"/>
      <c r="C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U615" s="7"/>
      <c r="V615" s="350"/>
    </row>
    <row r="616" ht="13.2" spans="1:22">
      <c r="A616" s="7"/>
      <c r="B616" s="7"/>
      <c r="C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U616" s="7"/>
      <c r="V616" s="350"/>
    </row>
    <row r="617" ht="13.2" spans="1:22">
      <c r="A617" s="7"/>
      <c r="B617" s="7"/>
      <c r="C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U617" s="7"/>
      <c r="V617" s="350"/>
    </row>
    <row r="618" ht="13.2" spans="1:22">
      <c r="A618" s="7"/>
      <c r="B618" s="7"/>
      <c r="C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U618" s="7"/>
      <c r="V618" s="350"/>
    </row>
    <row r="619" ht="13.2" spans="1:22">
      <c r="A619" s="7"/>
      <c r="B619" s="7"/>
      <c r="C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U619" s="7"/>
      <c r="V619" s="350"/>
    </row>
    <row r="620" ht="13.2" spans="1:22">
      <c r="A620" s="7"/>
      <c r="B620" s="7"/>
      <c r="C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U620" s="7"/>
      <c r="V620" s="350"/>
    </row>
    <row r="621" ht="13.2" spans="1:22">
      <c r="A621" s="7"/>
      <c r="B621" s="7"/>
      <c r="C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U621" s="7"/>
      <c r="V621" s="350"/>
    </row>
    <row r="622" ht="13.2" spans="1:22">
      <c r="A622" s="7"/>
      <c r="B622" s="7"/>
      <c r="C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U622" s="7"/>
      <c r="V622" s="350"/>
    </row>
    <row r="623" ht="13.2" spans="1:22">
      <c r="A623" s="7"/>
      <c r="B623" s="7"/>
      <c r="C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U623" s="7"/>
      <c r="V623" s="350"/>
    </row>
    <row r="624" ht="13.2" spans="1:22">
      <c r="A624" s="7"/>
      <c r="B624" s="7"/>
      <c r="C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U624" s="7"/>
      <c r="V624" s="350"/>
    </row>
    <row r="625" ht="13.2" spans="1:22">
      <c r="A625" s="7"/>
      <c r="B625" s="7"/>
      <c r="C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U625" s="7"/>
      <c r="V625" s="350"/>
    </row>
    <row r="626" ht="13.2" spans="1:22">
      <c r="A626" s="7"/>
      <c r="B626" s="7"/>
      <c r="C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U626" s="7"/>
      <c r="V626" s="350"/>
    </row>
    <row r="627" ht="13.2" spans="1:22">
      <c r="A627" s="7"/>
      <c r="B627" s="7"/>
      <c r="C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U627" s="7"/>
      <c r="V627" s="350"/>
    </row>
    <row r="628" ht="13.2" spans="1:22">
      <c r="A628" s="7"/>
      <c r="B628" s="7"/>
      <c r="C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U628" s="7"/>
      <c r="V628" s="350"/>
    </row>
    <row r="629" ht="13.2" spans="1:22">
      <c r="A629" s="7"/>
      <c r="B629" s="7"/>
      <c r="C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U629" s="7"/>
      <c r="V629" s="350"/>
    </row>
    <row r="630" ht="13.2" spans="1:22">
      <c r="A630" s="7"/>
      <c r="B630" s="7"/>
      <c r="C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U630" s="7"/>
      <c r="V630" s="350"/>
    </row>
    <row r="631" ht="13.2" spans="1:22">
      <c r="A631" s="7"/>
      <c r="B631" s="7"/>
      <c r="C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U631" s="7"/>
      <c r="V631" s="350"/>
    </row>
    <row r="632" ht="13.2" spans="1:22">
      <c r="A632" s="7"/>
      <c r="B632" s="7"/>
      <c r="C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U632" s="7"/>
      <c r="V632" s="350"/>
    </row>
    <row r="633" ht="13.2" spans="1:22">
      <c r="A633" s="7"/>
      <c r="B633" s="7"/>
      <c r="C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U633" s="7"/>
      <c r="V633" s="350"/>
    </row>
    <row r="634" ht="13.2" spans="1:22">
      <c r="A634" s="7"/>
      <c r="B634" s="7"/>
      <c r="C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U634" s="7"/>
      <c r="V634" s="350"/>
    </row>
    <row r="635" ht="13.2" spans="1:22">
      <c r="A635" s="7"/>
      <c r="B635" s="7"/>
      <c r="C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U635" s="7"/>
      <c r="V635" s="350"/>
    </row>
    <row r="636" ht="13.2" spans="1:22">
      <c r="A636" s="7"/>
      <c r="B636" s="7"/>
      <c r="C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U636" s="7"/>
      <c r="V636" s="350"/>
    </row>
    <row r="637" ht="13.2" spans="1:22">
      <c r="A637" s="7"/>
      <c r="B637" s="7"/>
      <c r="C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U637" s="7"/>
      <c r="V637" s="350"/>
    </row>
    <row r="638" ht="13.2" spans="1:22">
      <c r="A638" s="7"/>
      <c r="B638" s="7"/>
      <c r="C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U638" s="7"/>
      <c r="V638" s="350"/>
    </row>
    <row r="639" ht="13.2" spans="1:22">
      <c r="A639" s="7"/>
      <c r="B639" s="7"/>
      <c r="C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U639" s="7"/>
      <c r="V639" s="350"/>
    </row>
    <row r="640" ht="13.2" spans="1:22">
      <c r="A640" s="7"/>
      <c r="B640" s="7"/>
      <c r="C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U640" s="7"/>
      <c r="V640" s="350"/>
    </row>
    <row r="641" ht="13.2" spans="1:22">
      <c r="A641" s="7"/>
      <c r="B641" s="7"/>
      <c r="C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U641" s="7"/>
      <c r="V641" s="350"/>
    </row>
    <row r="642" ht="13.2" spans="1:22">
      <c r="A642" s="7"/>
      <c r="B642" s="7"/>
      <c r="C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U642" s="7"/>
      <c r="V642" s="350"/>
    </row>
    <row r="643" ht="13.2" spans="1:22">
      <c r="A643" s="7"/>
      <c r="B643" s="7"/>
      <c r="C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U643" s="7"/>
      <c r="V643" s="350"/>
    </row>
    <row r="644" ht="13.2" spans="1:22">
      <c r="A644" s="7"/>
      <c r="B644" s="7"/>
      <c r="C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U644" s="7"/>
      <c r="V644" s="350"/>
    </row>
    <row r="645" ht="13.2" spans="1:22">
      <c r="A645" s="7"/>
      <c r="B645" s="7"/>
      <c r="C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U645" s="7"/>
      <c r="V645" s="350"/>
    </row>
    <row r="646" ht="13.2" spans="1:22">
      <c r="A646" s="7"/>
      <c r="B646" s="7"/>
      <c r="C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U646" s="7"/>
      <c r="V646" s="350"/>
    </row>
    <row r="647" ht="13.2" spans="1:22">
      <c r="A647" s="7"/>
      <c r="B647" s="7"/>
      <c r="C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U647" s="7"/>
      <c r="V647" s="350"/>
    </row>
    <row r="648" ht="13.2" spans="1:22">
      <c r="A648" s="7"/>
      <c r="B648" s="7"/>
      <c r="C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U648" s="7"/>
      <c r="V648" s="350"/>
    </row>
    <row r="649" ht="13.2" spans="1:22">
      <c r="A649" s="7"/>
      <c r="B649" s="7"/>
      <c r="C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U649" s="7"/>
      <c r="V649" s="350"/>
    </row>
    <row r="650" ht="13.2" spans="1:22">
      <c r="A650" s="7"/>
      <c r="B650" s="7"/>
      <c r="C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U650" s="7"/>
      <c r="V650" s="350"/>
    </row>
    <row r="651" ht="13.2" spans="1:22">
      <c r="A651" s="7"/>
      <c r="B651" s="7"/>
      <c r="C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U651" s="7"/>
      <c r="V651" s="350"/>
    </row>
    <row r="652" ht="13.2" spans="1:22">
      <c r="A652" s="7"/>
      <c r="B652" s="7"/>
      <c r="C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U652" s="7"/>
      <c r="V652" s="350"/>
    </row>
    <row r="653" ht="13.2" spans="1:22">
      <c r="A653" s="7"/>
      <c r="B653" s="7"/>
      <c r="C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U653" s="7"/>
      <c r="V653" s="350"/>
    </row>
    <row r="654" ht="13.2" spans="1:22">
      <c r="A654" s="7"/>
      <c r="B654" s="7"/>
      <c r="C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U654" s="7"/>
      <c r="V654" s="350"/>
    </row>
    <row r="655" ht="13.2" spans="1:22">
      <c r="A655" s="7"/>
      <c r="B655" s="7"/>
      <c r="C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U655" s="7"/>
      <c r="V655" s="350"/>
    </row>
    <row r="656" ht="13.2" spans="1:22">
      <c r="A656" s="7"/>
      <c r="B656" s="7"/>
      <c r="C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U656" s="7"/>
      <c r="V656" s="350"/>
    </row>
    <row r="657" ht="13.2" spans="1:22">
      <c r="A657" s="7"/>
      <c r="B657" s="7"/>
      <c r="C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U657" s="7"/>
      <c r="V657" s="350"/>
    </row>
    <row r="658" ht="13.2" spans="1:22">
      <c r="A658" s="7"/>
      <c r="B658" s="7"/>
      <c r="C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U658" s="7"/>
      <c r="V658" s="350"/>
    </row>
    <row r="659" ht="13.2" spans="1:22">
      <c r="A659" s="7"/>
      <c r="B659" s="7"/>
      <c r="C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U659" s="7"/>
      <c r="V659" s="350"/>
    </row>
    <row r="660" ht="13.2" spans="1:22">
      <c r="A660" s="7"/>
      <c r="B660" s="7"/>
      <c r="C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U660" s="7"/>
      <c r="V660" s="350"/>
    </row>
    <row r="661" ht="13.2" spans="1:22">
      <c r="A661" s="7"/>
      <c r="B661" s="7"/>
      <c r="C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U661" s="7"/>
      <c r="V661" s="350"/>
    </row>
    <row r="662" ht="13.2" spans="1:22">
      <c r="A662" s="7"/>
      <c r="B662" s="7"/>
      <c r="C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U662" s="7"/>
      <c r="V662" s="350"/>
    </row>
    <row r="663" ht="13.2" spans="1:22">
      <c r="A663" s="7"/>
      <c r="B663" s="7"/>
      <c r="C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U663" s="7"/>
      <c r="V663" s="350"/>
    </row>
    <row r="664" ht="13.2" spans="1:22">
      <c r="A664" s="7"/>
      <c r="B664" s="7"/>
      <c r="C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U664" s="7"/>
      <c r="V664" s="350"/>
    </row>
    <row r="665" ht="13.2" spans="1:22">
      <c r="A665" s="7"/>
      <c r="B665" s="7"/>
      <c r="C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U665" s="7"/>
      <c r="V665" s="350"/>
    </row>
    <row r="666" ht="13.2" spans="1:22">
      <c r="A666" s="7"/>
      <c r="B666" s="7"/>
      <c r="C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U666" s="7"/>
      <c r="V666" s="350"/>
    </row>
    <row r="667" ht="13.2" spans="1:22">
      <c r="A667" s="7"/>
      <c r="B667" s="7"/>
      <c r="C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U667" s="7"/>
      <c r="V667" s="350"/>
    </row>
    <row r="668" ht="13.2" spans="1:22">
      <c r="A668" s="7"/>
      <c r="B668" s="7"/>
      <c r="C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U668" s="7"/>
      <c r="V668" s="350"/>
    </row>
    <row r="669" ht="13.2" spans="1:22">
      <c r="A669" s="7"/>
      <c r="B669" s="7"/>
      <c r="C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U669" s="7"/>
      <c r="V669" s="350"/>
    </row>
    <row r="670" ht="13.2" spans="1:22">
      <c r="A670" s="7"/>
      <c r="B670" s="7"/>
      <c r="C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U670" s="7"/>
      <c r="V670" s="350"/>
    </row>
    <row r="671" ht="13.2" spans="1:22">
      <c r="A671" s="7"/>
      <c r="B671" s="7"/>
      <c r="C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U671" s="7"/>
      <c r="V671" s="350"/>
    </row>
    <row r="672" ht="13.2" spans="1:22">
      <c r="A672" s="7"/>
      <c r="B672" s="7"/>
      <c r="C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U672" s="7"/>
      <c r="V672" s="350"/>
    </row>
    <row r="673" ht="13.2" spans="1:22">
      <c r="A673" s="7"/>
      <c r="B673" s="7"/>
      <c r="C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U673" s="7"/>
      <c r="V673" s="350"/>
    </row>
    <row r="674" ht="13.2" spans="1:22">
      <c r="A674" s="7"/>
      <c r="B674" s="7"/>
      <c r="C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U674" s="7"/>
      <c r="V674" s="350"/>
    </row>
    <row r="675" ht="13.2" spans="1:22">
      <c r="A675" s="7"/>
      <c r="B675" s="7"/>
      <c r="C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U675" s="7"/>
      <c r="V675" s="350"/>
    </row>
    <row r="676" ht="13.2" spans="1:22">
      <c r="A676" s="7"/>
      <c r="B676" s="7"/>
      <c r="C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U676" s="7"/>
      <c r="V676" s="350"/>
    </row>
    <row r="677" ht="13.2" spans="1:22">
      <c r="A677" s="7"/>
      <c r="B677" s="7"/>
      <c r="C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U677" s="7"/>
      <c r="V677" s="350"/>
    </row>
    <row r="678" ht="13.2" spans="1:22">
      <c r="A678" s="7"/>
      <c r="B678" s="7"/>
      <c r="C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U678" s="7"/>
      <c r="V678" s="350"/>
    </row>
    <row r="679" ht="13.2" spans="1:22">
      <c r="A679" s="7"/>
      <c r="B679" s="7"/>
      <c r="C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U679" s="7"/>
      <c r="V679" s="350"/>
    </row>
    <row r="680" ht="13.2" spans="1:22">
      <c r="A680" s="7"/>
      <c r="B680" s="7"/>
      <c r="C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U680" s="7"/>
      <c r="V680" s="350"/>
    </row>
    <row r="681" ht="13.2" spans="1:22">
      <c r="A681" s="7"/>
      <c r="B681" s="7"/>
      <c r="C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U681" s="7"/>
      <c r="V681" s="350"/>
    </row>
    <row r="682" ht="13.2" spans="1:22">
      <c r="A682" s="7"/>
      <c r="B682" s="7"/>
      <c r="C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U682" s="7"/>
      <c r="V682" s="350"/>
    </row>
    <row r="683" ht="13.2" spans="1:22">
      <c r="A683" s="7"/>
      <c r="B683" s="7"/>
      <c r="C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U683" s="7"/>
      <c r="V683" s="350"/>
    </row>
    <row r="684" ht="13.2" spans="1:22">
      <c r="A684" s="7"/>
      <c r="B684" s="7"/>
      <c r="C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U684" s="7"/>
      <c r="V684" s="350"/>
    </row>
    <row r="685" ht="13.2" spans="1:22">
      <c r="A685" s="7"/>
      <c r="B685" s="7"/>
      <c r="C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U685" s="7"/>
      <c r="V685" s="350"/>
    </row>
    <row r="686" ht="13.2" spans="1:22">
      <c r="A686" s="7"/>
      <c r="B686" s="7"/>
      <c r="C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U686" s="7"/>
      <c r="V686" s="350"/>
    </row>
    <row r="687" ht="13.2" spans="1:22">
      <c r="A687" s="7"/>
      <c r="B687" s="7"/>
      <c r="C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U687" s="7"/>
      <c r="V687" s="350"/>
    </row>
    <row r="688" ht="13.2" spans="1:22">
      <c r="A688" s="7"/>
      <c r="B688" s="7"/>
      <c r="C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U688" s="7"/>
      <c r="V688" s="350"/>
    </row>
    <row r="689" ht="13.2" spans="1:22">
      <c r="A689" s="7"/>
      <c r="B689" s="7"/>
      <c r="C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U689" s="7"/>
      <c r="V689" s="350"/>
    </row>
    <row r="690" ht="13.2" spans="1:22">
      <c r="A690" s="7"/>
      <c r="B690" s="7"/>
      <c r="C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U690" s="7"/>
      <c r="V690" s="350"/>
    </row>
    <row r="691" ht="13.2" spans="1:22">
      <c r="A691" s="7"/>
      <c r="B691" s="7"/>
      <c r="C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U691" s="7"/>
      <c r="V691" s="350"/>
    </row>
    <row r="692" ht="13.2" spans="1:22">
      <c r="A692" s="7"/>
      <c r="B692" s="7"/>
      <c r="C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U692" s="7"/>
      <c r="V692" s="350"/>
    </row>
    <row r="693" ht="13.2" spans="1:22">
      <c r="A693" s="7"/>
      <c r="B693" s="7"/>
      <c r="C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U693" s="7"/>
      <c r="V693" s="350"/>
    </row>
    <row r="694" ht="13.2" spans="1:22">
      <c r="A694" s="7"/>
      <c r="B694" s="7"/>
      <c r="C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U694" s="7"/>
      <c r="V694" s="350"/>
    </row>
    <row r="695" ht="13.2" spans="1:22">
      <c r="A695" s="7"/>
      <c r="B695" s="7"/>
      <c r="C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U695" s="7"/>
      <c r="V695" s="350"/>
    </row>
    <row r="696" ht="13.2" spans="1:22">
      <c r="A696" s="7"/>
      <c r="B696" s="7"/>
      <c r="C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U696" s="7"/>
      <c r="V696" s="350"/>
    </row>
    <row r="697" ht="13.2" spans="1:22">
      <c r="A697" s="7"/>
      <c r="B697" s="7"/>
      <c r="C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U697" s="7"/>
      <c r="V697" s="350"/>
    </row>
    <row r="698" ht="13.2" spans="1:22">
      <c r="A698" s="7"/>
      <c r="B698" s="7"/>
      <c r="C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U698" s="7"/>
      <c r="V698" s="350"/>
    </row>
    <row r="699" ht="13.2" spans="1:22">
      <c r="A699" s="7"/>
      <c r="B699" s="7"/>
      <c r="C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U699" s="7"/>
      <c r="V699" s="350"/>
    </row>
    <row r="700" ht="13.2" spans="1:22">
      <c r="A700" s="7"/>
      <c r="B700" s="7"/>
      <c r="C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U700" s="7"/>
      <c r="V700" s="350"/>
    </row>
    <row r="701" ht="13.2" spans="1:22">
      <c r="A701" s="7"/>
      <c r="B701" s="7"/>
      <c r="C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U701" s="7"/>
      <c r="V701" s="350"/>
    </row>
    <row r="702" ht="13.2" spans="1:22">
      <c r="A702" s="7"/>
      <c r="B702" s="7"/>
      <c r="C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U702" s="7"/>
      <c r="V702" s="350"/>
    </row>
    <row r="703" ht="13.2" spans="1:22">
      <c r="A703" s="7"/>
      <c r="B703" s="7"/>
      <c r="C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U703" s="7"/>
      <c r="V703" s="350"/>
    </row>
    <row r="704" ht="13.2" spans="1:22">
      <c r="A704" s="7"/>
      <c r="B704" s="7"/>
      <c r="C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U704" s="7"/>
      <c r="V704" s="350"/>
    </row>
    <row r="705" ht="13.2" spans="1:22">
      <c r="A705" s="7"/>
      <c r="B705" s="7"/>
      <c r="C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U705" s="7"/>
      <c r="V705" s="350"/>
    </row>
    <row r="706" ht="13.2" spans="1:22">
      <c r="A706" s="7"/>
      <c r="B706" s="7"/>
      <c r="C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U706" s="7"/>
      <c r="V706" s="350"/>
    </row>
    <row r="707" ht="13.2" spans="1:22">
      <c r="A707" s="7"/>
      <c r="B707" s="7"/>
      <c r="C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U707" s="7"/>
      <c r="V707" s="350"/>
    </row>
    <row r="708" ht="13.2" spans="1:22">
      <c r="A708" s="7"/>
      <c r="B708" s="7"/>
      <c r="C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U708" s="7"/>
      <c r="V708" s="350"/>
    </row>
    <row r="709" ht="13.2" spans="1:22">
      <c r="A709" s="7"/>
      <c r="B709" s="7"/>
      <c r="C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U709" s="7"/>
      <c r="V709" s="350"/>
    </row>
    <row r="710" ht="13.2" spans="1:22">
      <c r="A710" s="7"/>
      <c r="B710" s="7"/>
      <c r="C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U710" s="7"/>
      <c r="V710" s="350"/>
    </row>
    <row r="711" ht="13.2" spans="1:22">
      <c r="A711" s="7"/>
      <c r="B711" s="7"/>
      <c r="C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U711" s="7"/>
      <c r="V711" s="350"/>
    </row>
    <row r="712" ht="13.2" spans="1:22">
      <c r="A712" s="7"/>
      <c r="B712" s="7"/>
      <c r="C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U712" s="7"/>
      <c r="V712" s="350"/>
    </row>
    <row r="713" ht="13.2" spans="1:22">
      <c r="A713" s="7"/>
      <c r="B713" s="7"/>
      <c r="C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U713" s="7"/>
      <c r="V713" s="350"/>
    </row>
    <row r="714" ht="13.2" spans="1:22">
      <c r="A714" s="7"/>
      <c r="B714" s="7"/>
      <c r="C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U714" s="7"/>
      <c r="V714" s="350"/>
    </row>
    <row r="715" ht="13.2" spans="1:22">
      <c r="A715" s="7"/>
      <c r="B715" s="7"/>
      <c r="C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U715" s="7"/>
      <c r="V715" s="350"/>
    </row>
    <row r="716" ht="13.2" spans="1:22">
      <c r="A716" s="7"/>
      <c r="B716" s="7"/>
      <c r="C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U716" s="7"/>
      <c r="V716" s="350"/>
    </row>
    <row r="717" ht="13.2" spans="1:22">
      <c r="A717" s="7"/>
      <c r="B717" s="7"/>
      <c r="C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U717" s="7"/>
      <c r="V717" s="350"/>
    </row>
    <row r="718" ht="13.2" spans="1:22">
      <c r="A718" s="7"/>
      <c r="B718" s="7"/>
      <c r="C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U718" s="7"/>
      <c r="V718" s="350"/>
    </row>
    <row r="719" ht="13.2" spans="1:22">
      <c r="A719" s="7"/>
      <c r="B719" s="7"/>
      <c r="C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U719" s="7"/>
      <c r="V719" s="350"/>
    </row>
    <row r="720" ht="13.2" spans="1:22">
      <c r="A720" s="7"/>
      <c r="B720" s="7"/>
      <c r="C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U720" s="7"/>
      <c r="V720" s="350"/>
    </row>
    <row r="721" ht="13.2" spans="1:22">
      <c r="A721" s="7"/>
      <c r="B721" s="7"/>
      <c r="C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U721" s="7"/>
      <c r="V721" s="350"/>
    </row>
    <row r="722" ht="13.2" spans="1:22">
      <c r="A722" s="7"/>
      <c r="B722" s="7"/>
      <c r="C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U722" s="7"/>
      <c r="V722" s="350"/>
    </row>
    <row r="723" ht="13.2" spans="1:22">
      <c r="A723" s="7"/>
      <c r="B723" s="7"/>
      <c r="C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U723" s="7"/>
      <c r="V723" s="350"/>
    </row>
    <row r="724" ht="13.2" spans="1:22">
      <c r="A724" s="7"/>
      <c r="B724" s="7"/>
      <c r="C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U724" s="7"/>
      <c r="V724" s="350"/>
    </row>
    <row r="725" ht="13.2" spans="1:22">
      <c r="A725" s="7"/>
      <c r="B725" s="7"/>
      <c r="C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U725" s="7"/>
      <c r="V725" s="350"/>
    </row>
    <row r="726" ht="13.2" spans="1:22">
      <c r="A726" s="7"/>
      <c r="B726" s="7"/>
      <c r="C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U726" s="7"/>
      <c r="V726" s="350"/>
    </row>
    <row r="727" ht="13.2" spans="1:22">
      <c r="A727" s="7"/>
      <c r="B727" s="7"/>
      <c r="C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U727" s="7"/>
      <c r="V727" s="350"/>
    </row>
    <row r="728" ht="13.2" spans="1:22">
      <c r="A728" s="7"/>
      <c r="B728" s="7"/>
      <c r="C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U728" s="7"/>
      <c r="V728" s="350"/>
    </row>
    <row r="729" ht="13.2" spans="1:22">
      <c r="A729" s="7"/>
      <c r="B729" s="7"/>
      <c r="C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U729" s="7"/>
      <c r="V729" s="350"/>
    </row>
    <row r="730" ht="13.2" spans="1:22">
      <c r="A730" s="7"/>
      <c r="B730" s="7"/>
      <c r="C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U730" s="7"/>
      <c r="V730" s="350"/>
    </row>
    <row r="731" ht="13.2" spans="1:22">
      <c r="A731" s="7"/>
      <c r="B731" s="7"/>
      <c r="C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U731" s="7"/>
      <c r="V731" s="350"/>
    </row>
    <row r="732" ht="13.2" spans="1:22">
      <c r="A732" s="7"/>
      <c r="B732" s="7"/>
      <c r="C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U732" s="7"/>
      <c r="V732" s="350"/>
    </row>
    <row r="733" ht="13.2" spans="1:22">
      <c r="A733" s="7"/>
      <c r="B733" s="7"/>
      <c r="C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U733" s="7"/>
      <c r="V733" s="350"/>
    </row>
    <row r="734" ht="13.2" spans="1:22">
      <c r="A734" s="7"/>
      <c r="B734" s="7"/>
      <c r="C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U734" s="7"/>
      <c r="V734" s="350"/>
    </row>
    <row r="735" ht="13.2" spans="1:22">
      <c r="A735" s="7"/>
      <c r="B735" s="7"/>
      <c r="C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U735" s="7"/>
      <c r="V735" s="350"/>
    </row>
    <row r="736" ht="13.2" spans="1:22">
      <c r="A736" s="7"/>
      <c r="B736" s="7"/>
      <c r="C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U736" s="7"/>
      <c r="V736" s="350"/>
    </row>
    <row r="737" ht="13.2" spans="1:22">
      <c r="A737" s="7"/>
      <c r="B737" s="7"/>
      <c r="C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U737" s="7"/>
      <c r="V737" s="350"/>
    </row>
    <row r="738" ht="13.2" spans="1:22">
      <c r="A738" s="7"/>
      <c r="B738" s="7"/>
      <c r="C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U738" s="7"/>
      <c r="V738" s="350"/>
    </row>
    <row r="739" ht="13.2" spans="1:22">
      <c r="A739" s="7"/>
      <c r="B739" s="7"/>
      <c r="C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U739" s="7"/>
      <c r="V739" s="350"/>
    </row>
    <row r="740" ht="13.2" spans="1:22">
      <c r="A740" s="7"/>
      <c r="B740" s="7"/>
      <c r="C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U740" s="7"/>
      <c r="V740" s="350"/>
    </row>
    <row r="741" ht="13.2" spans="1:22">
      <c r="A741" s="7"/>
      <c r="B741" s="7"/>
      <c r="C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U741" s="7"/>
      <c r="V741" s="350"/>
    </row>
    <row r="742" ht="13.2" spans="1:22">
      <c r="A742" s="7"/>
      <c r="B742" s="7"/>
      <c r="C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U742" s="7"/>
      <c r="V742" s="350"/>
    </row>
    <row r="743" ht="13.2" spans="1:22">
      <c r="A743" s="7"/>
      <c r="B743" s="7"/>
      <c r="C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U743" s="7"/>
      <c r="V743" s="350"/>
    </row>
    <row r="744" ht="13.2" spans="1:22">
      <c r="A744" s="7"/>
      <c r="B744" s="7"/>
      <c r="C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U744" s="7"/>
      <c r="V744" s="350"/>
    </row>
    <row r="745" ht="13.2" spans="1:22">
      <c r="A745" s="7"/>
      <c r="B745" s="7"/>
      <c r="C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U745" s="7"/>
      <c r="V745" s="350"/>
    </row>
    <row r="746" ht="13.2" spans="1:22">
      <c r="A746" s="7"/>
      <c r="B746" s="7"/>
      <c r="C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U746" s="7"/>
      <c r="V746" s="350"/>
    </row>
    <row r="747" ht="13.2" spans="1:22">
      <c r="A747" s="7"/>
      <c r="B747" s="7"/>
      <c r="C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U747" s="7"/>
      <c r="V747" s="350"/>
    </row>
    <row r="748" ht="13.2" spans="1:22">
      <c r="A748" s="7"/>
      <c r="B748" s="7"/>
      <c r="C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U748" s="7"/>
      <c r="V748" s="350"/>
    </row>
    <row r="749" ht="13.2" spans="1:22">
      <c r="A749" s="7"/>
      <c r="B749" s="7"/>
      <c r="C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U749" s="7"/>
      <c r="V749" s="350"/>
    </row>
    <row r="750" ht="13.2" spans="1:22">
      <c r="A750" s="7"/>
      <c r="B750" s="7"/>
      <c r="C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U750" s="7"/>
      <c r="V750" s="350"/>
    </row>
    <row r="751" ht="13.2" spans="1:22">
      <c r="A751" s="7"/>
      <c r="B751" s="7"/>
      <c r="C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U751" s="7"/>
      <c r="V751" s="350"/>
    </row>
    <row r="752" ht="13.2" spans="1:22">
      <c r="A752" s="7"/>
      <c r="B752" s="7"/>
      <c r="C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U752" s="7"/>
      <c r="V752" s="350"/>
    </row>
    <row r="753" ht="13.2" spans="1:22">
      <c r="A753" s="7"/>
      <c r="B753" s="7"/>
      <c r="C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U753" s="7"/>
      <c r="V753" s="350"/>
    </row>
    <row r="754" ht="13.2" spans="1:22">
      <c r="A754" s="7"/>
      <c r="B754" s="7"/>
      <c r="C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U754" s="7"/>
      <c r="V754" s="350"/>
    </row>
    <row r="755" ht="13.2" spans="1:22">
      <c r="A755" s="7"/>
      <c r="B755" s="7"/>
      <c r="C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U755" s="7"/>
      <c r="V755" s="350"/>
    </row>
    <row r="756" ht="13.2" spans="1:22">
      <c r="A756" s="7"/>
      <c r="B756" s="7"/>
      <c r="C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U756" s="7"/>
      <c r="V756" s="350"/>
    </row>
    <row r="757" ht="13.2" spans="1:22">
      <c r="A757" s="7"/>
      <c r="B757" s="7"/>
      <c r="C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U757" s="7"/>
      <c r="V757" s="350"/>
    </row>
    <row r="758" ht="13.2" spans="1:22">
      <c r="A758" s="7"/>
      <c r="B758" s="7"/>
      <c r="C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U758" s="7"/>
      <c r="V758" s="350"/>
    </row>
    <row r="759" ht="13.2" spans="1:22">
      <c r="A759" s="7"/>
      <c r="B759" s="7"/>
      <c r="C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U759" s="7"/>
      <c r="V759" s="350"/>
    </row>
    <row r="760" ht="13.2" spans="1:22">
      <c r="A760" s="7"/>
      <c r="B760" s="7"/>
      <c r="C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U760" s="7"/>
      <c r="V760" s="350"/>
    </row>
    <row r="761" ht="13.2" spans="1:22">
      <c r="A761" s="7"/>
      <c r="B761" s="7"/>
      <c r="C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U761" s="7"/>
      <c r="V761" s="350"/>
    </row>
    <row r="762" ht="13.2" spans="1:22">
      <c r="A762" s="7"/>
      <c r="B762" s="7"/>
      <c r="C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U762" s="7"/>
      <c r="V762" s="350"/>
    </row>
    <row r="763" ht="13.2" spans="1:22">
      <c r="A763" s="7"/>
      <c r="B763" s="7"/>
      <c r="C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U763" s="7"/>
      <c r="V763" s="350"/>
    </row>
    <row r="764" ht="13.2" spans="1:22">
      <c r="A764" s="7"/>
      <c r="B764" s="7"/>
      <c r="C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U764" s="7"/>
      <c r="V764" s="350"/>
    </row>
    <row r="765" ht="13.2" spans="1:22">
      <c r="A765" s="7"/>
      <c r="B765" s="7"/>
      <c r="C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U765" s="7"/>
      <c r="V765" s="350"/>
    </row>
    <row r="766" ht="13.2" spans="1:22">
      <c r="A766" s="7"/>
      <c r="B766" s="7"/>
      <c r="C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U766" s="7"/>
      <c r="V766" s="350"/>
    </row>
    <row r="767" ht="13.2" spans="1:22">
      <c r="A767" s="7"/>
      <c r="B767" s="7"/>
      <c r="C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U767" s="7"/>
      <c r="V767" s="350"/>
    </row>
    <row r="768" ht="13.2" spans="1:22">
      <c r="A768" s="7"/>
      <c r="B768" s="7"/>
      <c r="C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U768" s="7"/>
      <c r="V768" s="350"/>
    </row>
    <row r="769" ht="13.2" spans="1:22">
      <c r="A769" s="7"/>
      <c r="B769" s="7"/>
      <c r="C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U769" s="7"/>
      <c r="V769" s="350"/>
    </row>
    <row r="770" ht="13.2" spans="1:22">
      <c r="A770" s="7"/>
      <c r="B770" s="7"/>
      <c r="C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U770" s="7"/>
      <c r="V770" s="350"/>
    </row>
    <row r="771" ht="13.2" spans="1:22">
      <c r="A771" s="7"/>
      <c r="B771" s="7"/>
      <c r="C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U771" s="7"/>
      <c r="V771" s="350"/>
    </row>
    <row r="772" ht="13.2" spans="1:22">
      <c r="A772" s="7"/>
      <c r="B772" s="7"/>
      <c r="C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U772" s="7"/>
      <c r="V772" s="350"/>
    </row>
    <row r="773" ht="13.2" spans="1:22">
      <c r="A773" s="7"/>
      <c r="B773" s="7"/>
      <c r="C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U773" s="7"/>
      <c r="V773" s="350"/>
    </row>
    <row r="774" ht="13.2" spans="1:22">
      <c r="A774" s="7"/>
      <c r="B774" s="7"/>
      <c r="C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U774" s="7"/>
      <c r="V774" s="350"/>
    </row>
    <row r="775" ht="13.2" spans="1:22">
      <c r="A775" s="7"/>
      <c r="B775" s="7"/>
      <c r="C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U775" s="7"/>
      <c r="V775" s="350"/>
    </row>
    <row r="776" ht="13.2" spans="1:22">
      <c r="A776" s="7"/>
      <c r="B776" s="7"/>
      <c r="C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U776" s="7"/>
      <c r="V776" s="350"/>
    </row>
    <row r="777" ht="13.2" spans="1:22">
      <c r="A777" s="7"/>
      <c r="B777" s="7"/>
      <c r="C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U777" s="7"/>
      <c r="V777" s="350"/>
    </row>
    <row r="778" ht="13.2" spans="1:22">
      <c r="A778" s="7"/>
      <c r="B778" s="7"/>
      <c r="C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U778" s="7"/>
      <c r="V778" s="350"/>
    </row>
    <row r="779" ht="13.2" spans="1:22">
      <c r="A779" s="7"/>
      <c r="B779" s="7"/>
      <c r="C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U779" s="7"/>
      <c r="V779" s="350"/>
    </row>
    <row r="780" ht="13.2" spans="1:22">
      <c r="A780" s="7"/>
      <c r="B780" s="7"/>
      <c r="C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U780" s="7"/>
      <c r="V780" s="350"/>
    </row>
    <row r="781" ht="13.2" spans="1:22">
      <c r="A781" s="7"/>
      <c r="B781" s="7"/>
      <c r="C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U781" s="7"/>
      <c r="V781" s="350"/>
    </row>
    <row r="782" ht="13.2" spans="1:22">
      <c r="A782" s="7"/>
      <c r="B782" s="7"/>
      <c r="C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U782" s="7"/>
      <c r="V782" s="350"/>
    </row>
    <row r="783" ht="13.2" spans="1:22">
      <c r="A783" s="7"/>
      <c r="B783" s="7"/>
      <c r="C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U783" s="7"/>
      <c r="V783" s="350"/>
    </row>
    <row r="784" ht="13.2" spans="1:22">
      <c r="A784" s="7"/>
      <c r="B784" s="7"/>
      <c r="C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U784" s="7"/>
      <c r="V784" s="350"/>
    </row>
    <row r="785" ht="13.2" spans="1:22">
      <c r="A785" s="7"/>
      <c r="B785" s="7"/>
      <c r="C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U785" s="7"/>
      <c r="V785" s="350"/>
    </row>
    <row r="786" ht="13.2" spans="1:22">
      <c r="A786" s="7"/>
      <c r="B786" s="7"/>
      <c r="C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U786" s="7"/>
      <c r="V786" s="350"/>
    </row>
    <row r="787" ht="13.2" spans="1:22">
      <c r="A787" s="7"/>
      <c r="B787" s="7"/>
      <c r="C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U787" s="7"/>
      <c r="V787" s="350"/>
    </row>
    <row r="788" ht="13.2" spans="1:22">
      <c r="A788" s="7"/>
      <c r="B788" s="7"/>
      <c r="C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U788" s="7"/>
      <c r="V788" s="350"/>
    </row>
    <row r="789" ht="13.2" spans="1:22">
      <c r="A789" s="7"/>
      <c r="B789" s="7"/>
      <c r="C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U789" s="7"/>
      <c r="V789" s="350"/>
    </row>
    <row r="790" ht="13.2" spans="1:22">
      <c r="A790" s="7"/>
      <c r="B790" s="7"/>
      <c r="C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U790" s="7"/>
      <c r="V790" s="350"/>
    </row>
    <row r="791" ht="13.2" spans="1:22">
      <c r="A791" s="7"/>
      <c r="B791" s="7"/>
      <c r="C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U791" s="7"/>
      <c r="V791" s="350"/>
    </row>
    <row r="792" ht="13.2" spans="1:22">
      <c r="A792" s="7"/>
      <c r="B792" s="7"/>
      <c r="C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U792" s="7"/>
      <c r="V792" s="350"/>
    </row>
    <row r="793" ht="13.2" spans="1:22">
      <c r="A793" s="7"/>
      <c r="B793" s="7"/>
      <c r="C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U793" s="7"/>
      <c r="V793" s="350"/>
    </row>
    <row r="794" ht="13.2" spans="1:22">
      <c r="A794" s="7"/>
      <c r="B794" s="7"/>
      <c r="C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U794" s="7"/>
      <c r="V794" s="350"/>
    </row>
    <row r="795" ht="13.2" spans="1:22">
      <c r="A795" s="7"/>
      <c r="B795" s="7"/>
      <c r="C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U795" s="7"/>
      <c r="V795" s="350"/>
    </row>
    <row r="796" ht="13.2" spans="1:22">
      <c r="A796" s="7"/>
      <c r="B796" s="7"/>
      <c r="C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U796" s="7"/>
      <c r="V796" s="350"/>
    </row>
    <row r="797" ht="13.2" spans="1:22">
      <c r="A797" s="7"/>
      <c r="B797" s="7"/>
      <c r="C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U797" s="7"/>
      <c r="V797" s="350"/>
    </row>
    <row r="798" ht="13.2" spans="1:22">
      <c r="A798" s="7"/>
      <c r="B798" s="7"/>
      <c r="C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U798" s="7"/>
      <c r="V798" s="350"/>
    </row>
    <row r="799" ht="13.2" spans="1:22">
      <c r="A799" s="7"/>
      <c r="B799" s="7"/>
      <c r="C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U799" s="7"/>
      <c r="V799" s="350"/>
    </row>
    <row r="800" ht="13.2" spans="1:22">
      <c r="A800" s="7"/>
      <c r="B800" s="7"/>
      <c r="C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U800" s="7"/>
      <c r="V800" s="350"/>
    </row>
    <row r="801" ht="13.2" spans="1:22">
      <c r="A801" s="7"/>
      <c r="B801" s="7"/>
      <c r="C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U801" s="7"/>
      <c r="V801" s="350"/>
    </row>
    <row r="802" ht="13.2" spans="1:22">
      <c r="A802" s="7"/>
      <c r="B802" s="7"/>
      <c r="C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U802" s="7"/>
      <c r="V802" s="350"/>
    </row>
    <row r="803" ht="13.2" spans="1:22">
      <c r="A803" s="7"/>
      <c r="B803" s="7"/>
      <c r="C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U803" s="7"/>
      <c r="V803" s="350"/>
    </row>
    <row r="804" ht="13.2" spans="1:22">
      <c r="A804" s="7"/>
      <c r="B804" s="7"/>
      <c r="C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U804" s="7"/>
      <c r="V804" s="350"/>
    </row>
    <row r="805" ht="13.2" spans="1:22">
      <c r="A805" s="7"/>
      <c r="B805" s="7"/>
      <c r="C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U805" s="7"/>
      <c r="V805" s="350"/>
    </row>
    <row r="806" ht="13.2" spans="1:22">
      <c r="A806" s="7"/>
      <c r="B806" s="7"/>
      <c r="C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U806" s="7"/>
      <c r="V806" s="350"/>
    </row>
    <row r="807" ht="13.2" spans="1:22">
      <c r="A807" s="7"/>
      <c r="B807" s="7"/>
      <c r="C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U807" s="7"/>
      <c r="V807" s="350"/>
    </row>
    <row r="808" ht="13.2" spans="1:22">
      <c r="A808" s="7"/>
      <c r="B808" s="7"/>
      <c r="C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U808" s="7"/>
      <c r="V808" s="350"/>
    </row>
    <row r="809" ht="13.2" spans="1:22">
      <c r="A809" s="7"/>
      <c r="B809" s="7"/>
      <c r="C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U809" s="7"/>
      <c r="V809" s="350"/>
    </row>
    <row r="810" ht="13.2" spans="1:22">
      <c r="A810" s="7"/>
      <c r="B810" s="7"/>
      <c r="C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U810" s="7"/>
      <c r="V810" s="350"/>
    </row>
    <row r="811" ht="13.2" spans="1:22">
      <c r="A811" s="7"/>
      <c r="B811" s="7"/>
      <c r="C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U811" s="7"/>
      <c r="V811" s="350"/>
    </row>
    <row r="812" ht="13.2" spans="1:22">
      <c r="A812" s="7"/>
      <c r="B812" s="7"/>
      <c r="C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U812" s="7"/>
      <c r="V812" s="350"/>
    </row>
    <row r="813" ht="13.2" spans="1:22">
      <c r="A813" s="7"/>
      <c r="B813" s="7"/>
      <c r="C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U813" s="7"/>
      <c r="V813" s="350"/>
    </row>
    <row r="814" ht="13.2" spans="1:22">
      <c r="A814" s="7"/>
      <c r="B814" s="7"/>
      <c r="C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U814" s="7"/>
      <c r="V814" s="350"/>
    </row>
    <row r="815" ht="13.2" spans="1:22">
      <c r="A815" s="7"/>
      <c r="B815" s="7"/>
      <c r="C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U815" s="7"/>
      <c r="V815" s="350"/>
    </row>
    <row r="816" ht="13.2" spans="1:22">
      <c r="A816" s="7"/>
      <c r="B816" s="7"/>
      <c r="C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U816" s="7"/>
      <c r="V816" s="350"/>
    </row>
    <row r="817" ht="13.2" spans="1:22">
      <c r="A817" s="7"/>
      <c r="B817" s="7"/>
      <c r="C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U817" s="7"/>
      <c r="V817" s="350"/>
    </row>
    <row r="818" ht="13.2" spans="1:22">
      <c r="A818" s="7"/>
      <c r="B818" s="7"/>
      <c r="C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U818" s="7"/>
      <c r="V818" s="350"/>
    </row>
    <row r="819" ht="13.2" spans="1:22">
      <c r="A819" s="7"/>
      <c r="B819" s="7"/>
      <c r="C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U819" s="7"/>
      <c r="V819" s="350"/>
    </row>
    <row r="820" ht="13.2" spans="1:22">
      <c r="A820" s="7"/>
      <c r="B820" s="7"/>
      <c r="C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U820" s="7"/>
      <c r="V820" s="350"/>
    </row>
    <row r="821" ht="13.2" spans="1:22">
      <c r="A821" s="7"/>
      <c r="B821" s="7"/>
      <c r="C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U821" s="7"/>
      <c r="V821" s="350"/>
    </row>
    <row r="822" ht="13.2" spans="1:22">
      <c r="A822" s="7"/>
      <c r="B822" s="7"/>
      <c r="C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U822" s="7"/>
      <c r="V822" s="350"/>
    </row>
    <row r="823" ht="13.2" spans="1:22">
      <c r="A823" s="7"/>
      <c r="B823" s="7"/>
      <c r="C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U823" s="7"/>
      <c r="V823" s="350"/>
    </row>
    <row r="824" ht="13.2" spans="1:22">
      <c r="A824" s="7"/>
      <c r="B824" s="7"/>
      <c r="C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U824" s="7"/>
      <c r="V824" s="350"/>
    </row>
    <row r="825" ht="13.2" spans="1:22">
      <c r="A825" s="7"/>
      <c r="B825" s="7"/>
      <c r="C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U825" s="7"/>
      <c r="V825" s="350"/>
    </row>
    <row r="826" ht="13.2" spans="1:22">
      <c r="A826" s="7"/>
      <c r="B826" s="7"/>
      <c r="C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U826" s="7"/>
      <c r="V826" s="350"/>
    </row>
    <row r="827" ht="13.2" spans="1:22">
      <c r="A827" s="7"/>
      <c r="B827" s="7"/>
      <c r="C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U827" s="7"/>
      <c r="V827" s="350"/>
    </row>
    <row r="828" ht="13.2" spans="1:22">
      <c r="A828" s="7"/>
      <c r="B828" s="7"/>
      <c r="C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U828" s="7"/>
      <c r="V828" s="350"/>
    </row>
    <row r="829" ht="13.2" spans="1:22">
      <c r="A829" s="7"/>
      <c r="B829" s="7"/>
      <c r="C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U829" s="7"/>
      <c r="V829" s="350"/>
    </row>
    <row r="830" ht="13.2" spans="1:22">
      <c r="A830" s="7"/>
      <c r="B830" s="7"/>
      <c r="C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U830" s="7"/>
      <c r="V830" s="350"/>
    </row>
    <row r="831" ht="13.2" spans="1:22">
      <c r="A831" s="7"/>
      <c r="B831" s="7"/>
      <c r="C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U831" s="7"/>
      <c r="V831" s="350"/>
    </row>
    <row r="832" ht="13.2" spans="1:22">
      <c r="A832" s="7"/>
      <c r="B832" s="7"/>
      <c r="C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U832" s="7"/>
      <c r="V832" s="350"/>
    </row>
    <row r="833" ht="13.2" spans="1:22">
      <c r="A833" s="7"/>
      <c r="B833" s="7"/>
      <c r="C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U833" s="7"/>
      <c r="V833" s="350"/>
    </row>
    <row r="834" ht="13.2" spans="1:22">
      <c r="A834" s="7"/>
      <c r="B834" s="7"/>
      <c r="C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U834" s="7"/>
      <c r="V834" s="350"/>
    </row>
    <row r="835" ht="13.2" spans="1:22">
      <c r="A835" s="7"/>
      <c r="B835" s="7"/>
      <c r="C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U835" s="7"/>
      <c r="V835" s="350"/>
    </row>
    <row r="836" ht="13.2" spans="1:22">
      <c r="A836" s="7"/>
      <c r="B836" s="7"/>
      <c r="C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U836" s="7"/>
      <c r="V836" s="350"/>
    </row>
    <row r="837" ht="13.2" spans="1:22">
      <c r="A837" s="7"/>
      <c r="B837" s="7"/>
      <c r="C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U837" s="7"/>
      <c r="V837" s="350"/>
    </row>
    <row r="838" ht="13.2" spans="1:22">
      <c r="A838" s="7"/>
      <c r="B838" s="7"/>
      <c r="C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U838" s="7"/>
      <c r="V838" s="350"/>
    </row>
    <row r="839" ht="13.2" spans="1:22">
      <c r="A839" s="7"/>
      <c r="B839" s="7"/>
      <c r="C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U839" s="7"/>
      <c r="V839" s="350"/>
    </row>
    <row r="840" ht="13.2" spans="1:22">
      <c r="A840" s="7"/>
      <c r="B840" s="7"/>
      <c r="C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U840" s="7"/>
      <c r="V840" s="350"/>
    </row>
    <row r="841" ht="13.2" spans="1:22">
      <c r="A841" s="7"/>
      <c r="B841" s="7"/>
      <c r="C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U841" s="7"/>
      <c r="V841" s="350"/>
    </row>
    <row r="842" ht="13.2" spans="1:22">
      <c r="A842" s="7"/>
      <c r="B842" s="7"/>
      <c r="C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U842" s="7"/>
      <c r="V842" s="350"/>
    </row>
    <row r="843" ht="13.2" spans="1:22">
      <c r="A843" s="7"/>
      <c r="B843" s="7"/>
      <c r="C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U843" s="7"/>
      <c r="V843" s="350"/>
    </row>
    <row r="844" ht="13.2" spans="1:22">
      <c r="A844" s="7"/>
      <c r="B844" s="7"/>
      <c r="C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U844" s="7"/>
      <c r="V844" s="350"/>
    </row>
    <row r="845" ht="13.2" spans="1:22">
      <c r="A845" s="7"/>
      <c r="B845" s="7"/>
      <c r="C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U845" s="7"/>
      <c r="V845" s="350"/>
    </row>
    <row r="846" ht="13.2" spans="1:22">
      <c r="A846" s="7"/>
      <c r="B846" s="7"/>
      <c r="C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U846" s="7"/>
      <c r="V846" s="350"/>
    </row>
    <row r="847" ht="13.2" spans="1:22">
      <c r="A847" s="7"/>
      <c r="B847" s="7"/>
      <c r="C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U847" s="7"/>
      <c r="V847" s="350"/>
    </row>
    <row r="848" ht="13.2" spans="1:22">
      <c r="A848" s="7"/>
      <c r="B848" s="7"/>
      <c r="C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U848" s="7"/>
      <c r="V848" s="350"/>
    </row>
    <row r="849" ht="13.2" spans="1:22">
      <c r="A849" s="7"/>
      <c r="B849" s="7"/>
      <c r="C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U849" s="7"/>
      <c r="V849" s="350"/>
    </row>
    <row r="850" ht="13.2" spans="1:22">
      <c r="A850" s="7"/>
      <c r="B850" s="7"/>
      <c r="C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U850" s="7"/>
      <c r="V850" s="350"/>
    </row>
    <row r="851" ht="13.2" spans="1:22">
      <c r="A851" s="7"/>
      <c r="B851" s="7"/>
      <c r="C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U851" s="7"/>
      <c r="V851" s="350"/>
    </row>
    <row r="852" ht="13.2" spans="1:22">
      <c r="A852" s="7"/>
      <c r="B852" s="7"/>
      <c r="C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U852" s="7"/>
      <c r="V852" s="350"/>
    </row>
    <row r="853" ht="13.2" spans="1:22">
      <c r="A853" s="7"/>
      <c r="B853" s="7"/>
      <c r="C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U853" s="7"/>
      <c r="V853" s="350"/>
    </row>
    <row r="854" ht="13.2" spans="1:22">
      <c r="A854" s="7"/>
      <c r="B854" s="7"/>
      <c r="C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U854" s="7"/>
      <c r="V854" s="350"/>
    </row>
    <row r="855" ht="13.2" spans="1:22">
      <c r="A855" s="7"/>
      <c r="B855" s="7"/>
      <c r="C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U855" s="7"/>
      <c r="V855" s="350"/>
    </row>
    <row r="856" ht="13.2" spans="1:22">
      <c r="A856" s="7"/>
      <c r="B856" s="7"/>
      <c r="C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U856" s="7"/>
      <c r="V856" s="350"/>
    </row>
    <row r="857" ht="13.2" spans="1:22">
      <c r="A857" s="7"/>
      <c r="B857" s="7"/>
      <c r="C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U857" s="7"/>
      <c r="V857" s="350"/>
    </row>
    <row r="858" ht="13.2" spans="1:22">
      <c r="A858" s="7"/>
      <c r="B858" s="7"/>
      <c r="C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U858" s="7"/>
      <c r="V858" s="350"/>
    </row>
    <row r="859" ht="13.2" spans="1:22">
      <c r="A859" s="7"/>
      <c r="B859" s="7"/>
      <c r="C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U859" s="7"/>
      <c r="V859" s="350"/>
    </row>
    <row r="860" ht="13.2" spans="1:22">
      <c r="A860" s="7"/>
      <c r="B860" s="7"/>
      <c r="C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U860" s="7"/>
      <c r="V860" s="350"/>
    </row>
    <row r="861" ht="13.2" spans="1:22">
      <c r="A861" s="7"/>
      <c r="B861" s="7"/>
      <c r="C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U861" s="7"/>
      <c r="V861" s="350"/>
    </row>
    <row r="862" ht="13.2" spans="1:22">
      <c r="A862" s="7"/>
      <c r="B862" s="7"/>
      <c r="C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U862" s="7"/>
      <c r="V862" s="350"/>
    </row>
    <row r="863" ht="13.2" spans="1:22">
      <c r="A863" s="7"/>
      <c r="B863" s="7"/>
      <c r="C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U863" s="7"/>
      <c r="V863" s="350"/>
    </row>
    <row r="864" ht="13.2" spans="1:22">
      <c r="A864" s="7"/>
      <c r="B864" s="7"/>
      <c r="C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U864" s="7"/>
      <c r="V864" s="350"/>
    </row>
    <row r="865" ht="13.2" spans="1:22">
      <c r="A865" s="7"/>
      <c r="B865" s="7"/>
      <c r="C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U865" s="7"/>
      <c r="V865" s="350"/>
    </row>
    <row r="866" ht="13.2" spans="1:22">
      <c r="A866" s="7"/>
      <c r="B866" s="7"/>
      <c r="C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U866" s="7"/>
      <c r="V866" s="350"/>
    </row>
    <row r="867" ht="13.2" spans="1:22">
      <c r="A867" s="7"/>
      <c r="B867" s="7"/>
      <c r="C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U867" s="7"/>
      <c r="V867" s="350"/>
    </row>
    <row r="868" ht="13.2" spans="1:22">
      <c r="A868" s="7"/>
      <c r="B868" s="7"/>
      <c r="C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U868" s="7"/>
      <c r="V868" s="350"/>
    </row>
    <row r="869" ht="13.2" spans="1:22">
      <c r="A869" s="7"/>
      <c r="B869" s="7"/>
      <c r="C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U869" s="7"/>
      <c r="V869" s="350"/>
    </row>
    <row r="870" ht="13.2" spans="1:22">
      <c r="A870" s="7"/>
      <c r="B870" s="7"/>
      <c r="C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U870" s="7"/>
      <c r="V870" s="350"/>
    </row>
    <row r="871" ht="13.2" spans="1:22">
      <c r="A871" s="7"/>
      <c r="B871" s="7"/>
      <c r="C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U871" s="7"/>
      <c r="V871" s="350"/>
    </row>
    <row r="872" ht="13.2" spans="1:22">
      <c r="A872" s="7"/>
      <c r="B872" s="7"/>
      <c r="C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U872" s="7"/>
      <c r="V872" s="350"/>
    </row>
    <row r="873" ht="13.2" spans="1:22">
      <c r="A873" s="7"/>
      <c r="B873" s="7"/>
      <c r="C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U873" s="7"/>
      <c r="V873" s="350"/>
    </row>
    <row r="874" ht="13.2" spans="1:22">
      <c r="A874" s="7"/>
      <c r="B874" s="7"/>
      <c r="C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U874" s="7"/>
      <c r="V874" s="350"/>
    </row>
    <row r="875" ht="13.2" spans="1:22">
      <c r="A875" s="7"/>
      <c r="B875" s="7"/>
      <c r="C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U875" s="7"/>
      <c r="V875" s="350"/>
    </row>
    <row r="876" ht="13.2" spans="1:22">
      <c r="A876" s="7"/>
      <c r="B876" s="7"/>
      <c r="C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U876" s="7"/>
      <c r="V876" s="350"/>
    </row>
    <row r="877" ht="13.2" spans="1:22">
      <c r="A877" s="7"/>
      <c r="B877" s="7"/>
      <c r="C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U877" s="7"/>
      <c r="V877" s="350"/>
    </row>
    <row r="878" ht="13.2" spans="1:22">
      <c r="A878" s="7"/>
      <c r="B878" s="7"/>
      <c r="C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U878" s="7"/>
      <c r="V878" s="350"/>
    </row>
    <row r="879" ht="13.2" spans="1:22">
      <c r="A879" s="7"/>
      <c r="B879" s="7"/>
      <c r="C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U879" s="7"/>
      <c r="V879" s="350"/>
    </row>
    <row r="880" ht="13.2" spans="1:22">
      <c r="A880" s="7"/>
      <c r="B880" s="7"/>
      <c r="C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U880" s="7"/>
      <c r="V880" s="350"/>
    </row>
    <row r="881" ht="13.2" spans="1:22">
      <c r="A881" s="7"/>
      <c r="B881" s="7"/>
      <c r="C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U881" s="7"/>
      <c r="V881" s="350"/>
    </row>
    <row r="882" ht="13.2" spans="1:22">
      <c r="A882" s="7"/>
      <c r="B882" s="7"/>
      <c r="C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U882" s="7"/>
      <c r="V882" s="350"/>
    </row>
    <row r="883" ht="13.2" spans="1:22">
      <c r="A883" s="7"/>
      <c r="B883" s="7"/>
      <c r="C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U883" s="7"/>
      <c r="V883" s="350"/>
    </row>
    <row r="884" ht="13.2" spans="1:22">
      <c r="A884" s="7"/>
      <c r="B884" s="7"/>
      <c r="C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U884" s="7"/>
      <c r="V884" s="350"/>
    </row>
    <row r="885" ht="13.2" spans="1:22">
      <c r="A885" s="7"/>
      <c r="B885" s="7"/>
      <c r="C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U885" s="7"/>
      <c r="V885" s="350"/>
    </row>
    <row r="886" ht="13.2" spans="1:22">
      <c r="A886" s="7"/>
      <c r="B886" s="7"/>
      <c r="C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U886" s="7"/>
      <c r="V886" s="350"/>
    </row>
    <row r="887" ht="13.2" spans="1:22">
      <c r="A887" s="7"/>
      <c r="B887" s="7"/>
      <c r="C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U887" s="7"/>
      <c r="V887" s="350"/>
    </row>
    <row r="888" ht="13.2" spans="1:22">
      <c r="A888" s="7"/>
      <c r="B888" s="7"/>
      <c r="C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U888" s="7"/>
      <c r="V888" s="350"/>
    </row>
    <row r="889" ht="13.2" spans="1:22">
      <c r="A889" s="7"/>
      <c r="B889" s="7"/>
      <c r="C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U889" s="7"/>
      <c r="V889" s="350"/>
    </row>
    <row r="890" ht="13.2" spans="1:22">
      <c r="A890" s="7"/>
      <c r="B890" s="7"/>
      <c r="C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U890" s="7"/>
      <c r="V890" s="350"/>
    </row>
    <row r="891" ht="13.2" spans="1:22">
      <c r="A891" s="7"/>
      <c r="B891" s="7"/>
      <c r="C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U891" s="7"/>
      <c r="V891" s="350"/>
    </row>
    <row r="892" ht="13.2" spans="1:22">
      <c r="A892" s="7"/>
      <c r="B892" s="7"/>
      <c r="C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U892" s="7"/>
      <c r="V892" s="350"/>
    </row>
    <row r="893" ht="13.2" spans="1:22">
      <c r="A893" s="7"/>
      <c r="B893" s="7"/>
      <c r="C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U893" s="7"/>
      <c r="V893" s="350"/>
    </row>
    <row r="894" ht="13.2" spans="1:22">
      <c r="A894" s="7"/>
      <c r="B894" s="7"/>
      <c r="C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U894" s="7"/>
      <c r="V894" s="350"/>
    </row>
    <row r="895" ht="13.2" spans="1:22">
      <c r="A895" s="7"/>
      <c r="B895" s="7"/>
      <c r="C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U895" s="7"/>
      <c r="V895" s="350"/>
    </row>
    <row r="896" ht="13.2" spans="1:22">
      <c r="A896" s="7"/>
      <c r="B896" s="7"/>
      <c r="C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U896" s="7"/>
      <c r="V896" s="350"/>
    </row>
    <row r="897" ht="13.2" spans="1:22">
      <c r="A897" s="7"/>
      <c r="B897" s="7"/>
      <c r="C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U897" s="7"/>
      <c r="V897" s="350"/>
    </row>
    <row r="898" ht="13.2" spans="1:22">
      <c r="A898" s="7"/>
      <c r="B898" s="7"/>
      <c r="C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U898" s="7"/>
      <c r="V898" s="350"/>
    </row>
    <row r="899" ht="13.2" spans="1:22">
      <c r="A899" s="7"/>
      <c r="B899" s="7"/>
      <c r="C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U899" s="7"/>
      <c r="V899" s="350"/>
    </row>
    <row r="900" ht="13.2" spans="1:22">
      <c r="A900" s="7"/>
      <c r="B900" s="7"/>
      <c r="C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U900" s="7"/>
      <c r="V900" s="350"/>
    </row>
    <row r="901" ht="13.2" spans="1:22">
      <c r="A901" s="7"/>
      <c r="B901" s="7"/>
      <c r="C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U901" s="7"/>
      <c r="V901" s="350"/>
    </row>
    <row r="902" ht="13.2" spans="1:22">
      <c r="A902" s="7"/>
      <c r="B902" s="7"/>
      <c r="C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U902" s="7"/>
      <c r="V902" s="350"/>
    </row>
    <row r="903" ht="13.2" spans="1:22">
      <c r="A903" s="7"/>
      <c r="B903" s="7"/>
      <c r="C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U903" s="7"/>
      <c r="V903" s="350"/>
    </row>
    <row r="904" ht="13.2" spans="1:22">
      <c r="A904" s="7"/>
      <c r="B904" s="7"/>
      <c r="C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U904" s="7"/>
      <c r="V904" s="350"/>
    </row>
    <row r="905" ht="13.2" spans="1:22">
      <c r="A905" s="7"/>
      <c r="B905" s="7"/>
      <c r="C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U905" s="7"/>
      <c r="V905" s="350"/>
    </row>
    <row r="906" ht="13.2" spans="1:22">
      <c r="A906" s="7"/>
      <c r="B906" s="7"/>
      <c r="C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U906" s="7"/>
      <c r="V906" s="350"/>
    </row>
    <row r="907" ht="13.2" spans="1:22">
      <c r="A907" s="7"/>
      <c r="B907" s="7"/>
      <c r="C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U907" s="7"/>
      <c r="V907" s="350"/>
    </row>
    <row r="908" ht="13.2" spans="1:22">
      <c r="A908" s="7"/>
      <c r="B908" s="7"/>
      <c r="C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U908" s="7"/>
      <c r="V908" s="350"/>
    </row>
    <row r="909" ht="13.2" spans="1:22">
      <c r="A909" s="7"/>
      <c r="B909" s="7"/>
      <c r="C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U909" s="7"/>
      <c r="V909" s="350"/>
    </row>
    <row r="910" ht="13.2" spans="1:22">
      <c r="A910" s="7"/>
      <c r="B910" s="7"/>
      <c r="C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U910" s="7"/>
      <c r="V910" s="350"/>
    </row>
    <row r="911" ht="13.2" spans="1:22">
      <c r="A911" s="7"/>
      <c r="B911" s="7"/>
      <c r="C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U911" s="7"/>
      <c r="V911" s="350"/>
    </row>
    <row r="912" ht="13.2" spans="1:22">
      <c r="A912" s="7"/>
      <c r="B912" s="7"/>
      <c r="C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U912" s="7"/>
      <c r="V912" s="350"/>
    </row>
    <row r="913" ht="13.2" spans="1:22">
      <c r="A913" s="7"/>
      <c r="B913" s="7"/>
      <c r="C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U913" s="7"/>
      <c r="V913" s="350"/>
    </row>
    <row r="914" ht="13.2" spans="1:22">
      <c r="A914" s="7"/>
      <c r="B914" s="7"/>
      <c r="C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U914" s="7"/>
      <c r="V914" s="350"/>
    </row>
    <row r="915" ht="13.2" spans="1:22">
      <c r="A915" s="7"/>
      <c r="B915" s="7"/>
      <c r="C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U915" s="7"/>
      <c r="V915" s="350"/>
    </row>
    <row r="916" ht="13.2" spans="1:22">
      <c r="A916" s="7"/>
      <c r="B916" s="7"/>
      <c r="C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U916" s="7"/>
      <c r="V916" s="350"/>
    </row>
    <row r="917" ht="13.2" spans="1:22">
      <c r="A917" s="7"/>
      <c r="B917" s="7"/>
      <c r="C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U917" s="7"/>
      <c r="V917" s="350"/>
    </row>
    <row r="918" ht="13.2" spans="1:22">
      <c r="A918" s="7"/>
      <c r="B918" s="7"/>
      <c r="C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U918" s="7"/>
      <c r="V918" s="350"/>
    </row>
    <row r="919" ht="13.2" spans="1:22">
      <c r="A919" s="7"/>
      <c r="B919" s="7"/>
      <c r="C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U919" s="7"/>
      <c r="V919" s="350"/>
    </row>
    <row r="920" ht="13.2" spans="1:22">
      <c r="A920" s="7"/>
      <c r="B920" s="7"/>
      <c r="C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U920" s="7"/>
      <c r="V920" s="350"/>
    </row>
    <row r="921" ht="13.2" spans="1:22">
      <c r="A921" s="7"/>
      <c r="B921" s="7"/>
      <c r="C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U921" s="7"/>
      <c r="V921" s="350"/>
    </row>
    <row r="922" ht="13.2" spans="1:22">
      <c r="A922" s="7"/>
      <c r="B922" s="7"/>
      <c r="C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U922" s="7"/>
      <c r="V922" s="350"/>
    </row>
    <row r="923" ht="13.2" spans="1:22">
      <c r="A923" s="7"/>
      <c r="B923" s="7"/>
      <c r="C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U923" s="7"/>
      <c r="V923" s="350"/>
    </row>
    <row r="924" ht="13.2" spans="1:22">
      <c r="A924" s="7"/>
      <c r="B924" s="7"/>
      <c r="C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U924" s="7"/>
      <c r="V924" s="350"/>
    </row>
    <row r="925" ht="13.2" spans="1:22">
      <c r="A925" s="7"/>
      <c r="B925" s="7"/>
      <c r="C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U925" s="7"/>
      <c r="V925" s="350"/>
    </row>
    <row r="926" ht="13.2" spans="1:22">
      <c r="A926" s="7"/>
      <c r="B926" s="7"/>
      <c r="C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U926" s="7"/>
      <c r="V926" s="350"/>
    </row>
    <row r="927" ht="13.2" spans="1:22">
      <c r="A927" s="7"/>
      <c r="B927" s="7"/>
      <c r="C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U927" s="7"/>
      <c r="V927" s="350"/>
    </row>
    <row r="928" ht="13.2" spans="1:22">
      <c r="A928" s="7"/>
      <c r="B928" s="7"/>
      <c r="C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U928" s="7"/>
      <c r="V928" s="350"/>
    </row>
    <row r="929" ht="13.2" spans="1:22">
      <c r="A929" s="7"/>
      <c r="B929" s="7"/>
      <c r="C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U929" s="7"/>
      <c r="V929" s="350"/>
    </row>
    <row r="930" ht="13.2" spans="1:22">
      <c r="A930" s="7"/>
      <c r="B930" s="7"/>
      <c r="C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U930" s="7"/>
      <c r="V930" s="350"/>
    </row>
    <row r="931" ht="13.2" spans="1:22">
      <c r="A931" s="7"/>
      <c r="B931" s="7"/>
      <c r="C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U931" s="7"/>
      <c r="V931" s="350"/>
    </row>
    <row r="932" ht="13.2" spans="1:22">
      <c r="A932" s="7"/>
      <c r="B932" s="7"/>
      <c r="C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U932" s="7"/>
      <c r="V932" s="350"/>
    </row>
    <row r="933" ht="13.2" spans="1:22">
      <c r="A933" s="7"/>
      <c r="B933" s="7"/>
      <c r="C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U933" s="7"/>
      <c r="V933" s="350"/>
    </row>
    <row r="934" ht="13.2" spans="1:22">
      <c r="A934" s="7"/>
      <c r="B934" s="7"/>
      <c r="C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U934" s="7"/>
      <c r="V934" s="350"/>
    </row>
    <row r="935" ht="13.2" spans="1:22">
      <c r="A935" s="7"/>
      <c r="B935" s="7"/>
      <c r="C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U935" s="7"/>
      <c r="V935" s="350"/>
    </row>
    <row r="936" ht="13.2" spans="1:22">
      <c r="A936" s="7"/>
      <c r="B936" s="7"/>
      <c r="C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U936" s="7"/>
      <c r="V936" s="350"/>
    </row>
    <row r="937" ht="13.2" spans="1:22">
      <c r="A937" s="7"/>
      <c r="B937" s="7"/>
      <c r="C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U937" s="7"/>
      <c r="V937" s="350"/>
    </row>
    <row r="938" ht="13.2" spans="1:22">
      <c r="A938" s="7"/>
      <c r="B938" s="7"/>
      <c r="C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U938" s="7"/>
      <c r="V938" s="350"/>
    </row>
    <row r="939" ht="13.2" spans="1:22">
      <c r="A939" s="7"/>
      <c r="B939" s="7"/>
      <c r="C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U939" s="7"/>
      <c r="V939" s="350"/>
    </row>
    <row r="940" ht="13.2" spans="1:22">
      <c r="A940" s="7"/>
      <c r="B940" s="7"/>
      <c r="C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U940" s="7"/>
      <c r="V940" s="350"/>
    </row>
    <row r="941" ht="13.2" spans="1:22">
      <c r="A941" s="7"/>
      <c r="B941" s="7"/>
      <c r="C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U941" s="7"/>
      <c r="V941" s="350"/>
    </row>
    <row r="942" ht="13.2" spans="1:22">
      <c r="A942" s="7"/>
      <c r="B942" s="7"/>
      <c r="C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U942" s="7"/>
      <c r="V942" s="350"/>
    </row>
    <row r="943" ht="13.2" spans="1:22">
      <c r="A943" s="7"/>
      <c r="B943" s="7"/>
      <c r="C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U943" s="7"/>
      <c r="V943" s="350"/>
    </row>
    <row r="944" ht="13.2" spans="1:22">
      <c r="A944" s="7"/>
      <c r="B944" s="7"/>
      <c r="C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U944" s="7"/>
      <c r="V944" s="350"/>
    </row>
    <row r="945" ht="13.2" spans="1:22">
      <c r="A945" s="7"/>
      <c r="B945" s="7"/>
      <c r="C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U945" s="7"/>
      <c r="V945" s="350"/>
    </row>
    <row r="946" ht="13.2" spans="1:22">
      <c r="A946" s="7"/>
      <c r="B946" s="7"/>
      <c r="C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U946" s="7"/>
      <c r="V946" s="350"/>
    </row>
    <row r="947" ht="13.2" spans="1:22">
      <c r="A947" s="7"/>
      <c r="B947" s="7"/>
      <c r="C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U947" s="7"/>
      <c r="V947" s="350"/>
    </row>
    <row r="948" ht="13.2" spans="1:22">
      <c r="A948" s="7"/>
      <c r="B948" s="7"/>
      <c r="C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U948" s="7"/>
      <c r="V948" s="350"/>
    </row>
    <row r="949" ht="13.2" spans="1:22">
      <c r="A949" s="7"/>
      <c r="B949" s="7"/>
      <c r="C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U949" s="7"/>
      <c r="V949" s="350"/>
    </row>
    <row r="950" ht="13.2" spans="1:22">
      <c r="A950" s="7"/>
      <c r="B950" s="7"/>
      <c r="C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U950" s="7"/>
      <c r="V950" s="350"/>
    </row>
    <row r="951" ht="13.2" spans="1:22">
      <c r="A951" s="7"/>
      <c r="B951" s="7"/>
      <c r="C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U951" s="7"/>
      <c r="V951" s="350"/>
    </row>
    <row r="952" ht="13.2" spans="1:22">
      <c r="A952" s="7"/>
      <c r="B952" s="7"/>
      <c r="C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U952" s="7"/>
      <c r="V952" s="350"/>
    </row>
    <row r="953" ht="13.2" spans="1:22">
      <c r="A953" s="7"/>
      <c r="B953" s="7"/>
      <c r="C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U953" s="7"/>
      <c r="V953" s="350"/>
    </row>
    <row r="954" ht="13.2" spans="1:22">
      <c r="A954" s="7"/>
      <c r="B954" s="7"/>
      <c r="C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U954" s="7"/>
      <c r="V954" s="350"/>
    </row>
    <row r="955" ht="13.2" spans="1:22">
      <c r="A955" s="7"/>
      <c r="B955" s="7"/>
      <c r="C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U955" s="7"/>
      <c r="V955" s="350"/>
    </row>
    <row r="956" ht="13.2" spans="1:22">
      <c r="A956" s="7"/>
      <c r="B956" s="7"/>
      <c r="C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U956" s="7"/>
      <c r="V956" s="350"/>
    </row>
    <row r="957" ht="13.2" spans="1:22">
      <c r="A957" s="7"/>
      <c r="B957" s="7"/>
      <c r="C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U957" s="7"/>
      <c r="V957" s="350"/>
    </row>
    <row r="958" ht="13.2" spans="1:22">
      <c r="A958" s="7"/>
      <c r="B958" s="7"/>
      <c r="C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U958" s="7"/>
      <c r="V958" s="350"/>
    </row>
    <row r="959" ht="13.2" spans="1:22">
      <c r="A959" s="7"/>
      <c r="B959" s="7"/>
      <c r="C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U959" s="7"/>
      <c r="V959" s="350"/>
    </row>
    <row r="960" ht="13.2" spans="1:22">
      <c r="A960" s="7"/>
      <c r="B960" s="7"/>
      <c r="C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U960" s="7"/>
      <c r="V960" s="350"/>
    </row>
    <row r="961" ht="13.2" spans="1:22">
      <c r="A961" s="7"/>
      <c r="B961" s="7"/>
      <c r="C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U961" s="7"/>
      <c r="V961" s="350"/>
    </row>
    <row r="962" ht="13.2" spans="1:22">
      <c r="A962" s="7"/>
      <c r="B962" s="7"/>
      <c r="C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U962" s="7"/>
      <c r="V962" s="350"/>
    </row>
    <row r="963" ht="13.2" spans="1:22">
      <c r="A963" s="7"/>
      <c r="B963" s="7"/>
      <c r="C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U963" s="7"/>
      <c r="V963" s="350"/>
    </row>
    <row r="964" ht="13.2" spans="1:22">
      <c r="A964" s="7"/>
      <c r="B964" s="7"/>
      <c r="C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U964" s="7"/>
      <c r="V964" s="350"/>
    </row>
    <row r="965" ht="13.2" spans="1:22">
      <c r="A965" s="7"/>
      <c r="B965" s="7"/>
      <c r="C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U965" s="7"/>
      <c r="V965" s="350"/>
    </row>
    <row r="966" ht="13.2" spans="1:22">
      <c r="A966" s="7"/>
      <c r="B966" s="7"/>
      <c r="C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U966" s="7"/>
      <c r="V966" s="350"/>
    </row>
    <row r="967" ht="13.2" spans="1:22">
      <c r="A967" s="7"/>
      <c r="B967" s="7"/>
      <c r="C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U967" s="7"/>
      <c r="V967" s="350"/>
    </row>
    <row r="968" ht="13.2" spans="1:22">
      <c r="A968" s="7"/>
      <c r="B968" s="7"/>
      <c r="C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U968" s="7"/>
      <c r="V968" s="350"/>
    </row>
    <row r="969" ht="13.2" spans="1:22">
      <c r="A969" s="7"/>
      <c r="B969" s="7"/>
      <c r="C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U969" s="7"/>
      <c r="V969" s="350"/>
    </row>
    <row r="970" ht="13.2" spans="1:22">
      <c r="A970" s="7"/>
      <c r="B970" s="7"/>
      <c r="C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U970" s="7"/>
      <c r="V970" s="350"/>
    </row>
    <row r="971" ht="13.2" spans="1:22">
      <c r="A971" s="7"/>
      <c r="B971" s="7"/>
      <c r="C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U971" s="7"/>
      <c r="V971" s="350"/>
    </row>
    <row r="972" ht="13.2" spans="1:22">
      <c r="A972" s="7"/>
      <c r="B972" s="7"/>
      <c r="C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U972" s="7"/>
      <c r="V972" s="350"/>
    </row>
    <row r="973" ht="13.2" spans="1:22">
      <c r="A973" s="7"/>
      <c r="B973" s="7"/>
      <c r="C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U973" s="7"/>
      <c r="V973" s="350"/>
    </row>
    <row r="974" ht="13.2" spans="1:22">
      <c r="A974" s="7"/>
      <c r="B974" s="7"/>
      <c r="C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U974" s="7"/>
      <c r="V974" s="350"/>
    </row>
    <row r="975" ht="13.2" spans="1:22">
      <c r="A975" s="7"/>
      <c r="B975" s="7"/>
      <c r="C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U975" s="7"/>
      <c r="V975" s="350"/>
    </row>
    <row r="976" ht="13.2" spans="1:22">
      <c r="A976" s="7"/>
      <c r="B976" s="7"/>
      <c r="C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U976" s="7"/>
      <c r="V976" s="350"/>
    </row>
    <row r="977" ht="13.2" spans="1:22">
      <c r="A977" s="7"/>
      <c r="B977" s="7"/>
      <c r="C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U977" s="7"/>
      <c r="V977" s="350"/>
    </row>
    <row r="978" ht="13.2" spans="1:22">
      <c r="A978" s="7"/>
      <c r="B978" s="7"/>
      <c r="C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U978" s="7"/>
      <c r="V978" s="350"/>
    </row>
    <row r="979" ht="13.2" spans="1:22">
      <c r="A979" s="7"/>
      <c r="B979" s="7"/>
      <c r="C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U979" s="7"/>
      <c r="V979" s="350"/>
    </row>
    <row r="980" ht="13.2" spans="1:22">
      <c r="A980" s="7"/>
      <c r="B980" s="7"/>
      <c r="C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U980" s="7"/>
      <c r="V980" s="350"/>
    </row>
    <row r="981" ht="13.2" spans="1:22">
      <c r="A981" s="7"/>
      <c r="B981" s="7"/>
      <c r="C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U981" s="7"/>
      <c r="V981" s="350"/>
    </row>
    <row r="982" ht="13.2" spans="1:22">
      <c r="A982" s="7"/>
      <c r="B982" s="7"/>
      <c r="C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U982" s="7"/>
      <c r="V982" s="350"/>
    </row>
    <row r="983" ht="13.2" spans="1:22">
      <c r="A983" s="7"/>
      <c r="B983" s="7"/>
      <c r="C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U983" s="7"/>
      <c r="V983" s="350"/>
    </row>
    <row r="984" ht="13.2" spans="1:22">
      <c r="A984" s="7"/>
      <c r="B984" s="7"/>
      <c r="C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U984" s="7"/>
      <c r="V984" s="350"/>
    </row>
    <row r="985" ht="13.2" spans="1:22">
      <c r="A985" s="7"/>
      <c r="B985" s="7"/>
      <c r="C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U985" s="7"/>
      <c r="V985" s="350"/>
    </row>
    <row r="986" ht="13.2" spans="1:22">
      <c r="A986" s="7"/>
      <c r="B986" s="7"/>
      <c r="C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U986" s="7"/>
      <c r="V986" s="350"/>
    </row>
    <row r="987" ht="13.2" spans="1:22">
      <c r="A987" s="7"/>
      <c r="B987" s="7"/>
      <c r="C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U987" s="7"/>
      <c r="V987" s="350"/>
    </row>
    <row r="988" ht="13.2" spans="1:22">
      <c r="A988" s="7"/>
      <c r="B988" s="7"/>
      <c r="C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U988" s="7"/>
      <c r="V988" s="350"/>
    </row>
    <row r="989" ht="13.2" spans="1:22">
      <c r="A989" s="7"/>
      <c r="B989" s="7"/>
      <c r="C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U989" s="7"/>
      <c r="V989" s="350"/>
    </row>
    <row r="990" ht="13.2" spans="1:22">
      <c r="A990" s="7"/>
      <c r="B990" s="7"/>
      <c r="C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U990" s="7"/>
      <c r="V990" s="350"/>
    </row>
    <row r="991" ht="13.2" spans="1:22">
      <c r="A991" s="7"/>
      <c r="B991" s="7"/>
      <c r="C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U991" s="7"/>
      <c r="V991" s="350"/>
    </row>
    <row r="992" ht="13.2" spans="1:22">
      <c r="A992" s="7"/>
      <c r="B992" s="7"/>
      <c r="C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U992" s="7"/>
      <c r="V992" s="350"/>
    </row>
    <row r="993" ht="13.2" spans="1:22">
      <c r="A993" s="7"/>
      <c r="B993" s="7"/>
      <c r="C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U993" s="7"/>
      <c r="V993" s="350"/>
    </row>
    <row r="994" ht="13.2" spans="1:22">
      <c r="A994" s="7"/>
      <c r="B994" s="7"/>
      <c r="C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U994" s="7"/>
      <c r="V994" s="350"/>
    </row>
    <row r="995" ht="13.2" spans="1:22">
      <c r="V995" s="350"/>
    </row>
    <row r="996" ht="13.2" spans="1:22">
      <c r="V996" s="350"/>
    </row>
    <row r="997" ht="13.2" spans="1:22">
      <c r="V997" s="350"/>
    </row>
    <row r="998" ht="13.2" spans="1:22">
      <c r="V998" s="350"/>
    </row>
    <row r="999" ht="13.2" spans="1:22">
      <c r="V999" s="350"/>
    </row>
    <row r="1000" ht="13.2" spans="1:22">
      <c r="V1000" s="350"/>
    </row>
    <row r="1001" ht="13.2" spans="1:22">
      <c r="V1001" s="350"/>
    </row>
  </sheetData>
  <conditionalFormatting sqref="AI2:AI161;AL2:AL161">
    <cfRule type="cellIs" dxfId="0" priority="1" stopIfTrue="1" operator="equal">
      <formula>"JEP"</formula>
    </cfRule>
    <cfRule type="cellIs" dxfId="1" priority="2" stopIfTrue="1" operator="equal">
      <formula>"Pichincha"</formula>
    </cfRule>
    <cfRule type="cellIs" dxfId="2" priority="3" stopIfTrue="1" operator="equal">
      <formula>"Efectivo"</formula>
    </cfRule>
    <cfRule type="cellIs" dxfId="2" priority="4" stopIfTrue="1" operator="equal">
      <formula>"Extra Efectivo"</formula>
    </cfRule>
    <cfRule type="cellIs" dxfId="0" priority="5" stopIfTrue="1" operator="equal">
      <formula>"Extra JEP"</formula>
    </cfRule>
    <cfRule type="cellIs" dxfId="1" priority="6" stopIfTrue="1" operator="equal">
      <formula>"Extra Pichincha"</formula>
    </cfRule>
    <cfRule type="cellIs" dxfId="1" priority="7" stopIfTrue="1" operator="equal">
      <formula>"Reserva Pichincha"</formula>
    </cfRule>
    <cfRule type="cellIs" dxfId="2" priority="8" stopIfTrue="1" operator="equal">
      <formula>"Reserva Efectivo"</formula>
    </cfRule>
    <cfRule type="cellIs" dxfId="3" priority="9" stopIfTrue="1" operator="equal">
      <formula>"JOHN"</formula>
    </cfRule>
    <cfRule type="cellIs" dxfId="4" priority="10" stopIfTrue="1" operator="equal">
      <formula>"SOLANO"</formula>
    </cfRule>
    <cfRule type="cellIs" dxfId="5" priority="11" stopIfTrue="1" operator="equal">
      <formula>"PATRICIO"</formula>
    </cfRule>
    <cfRule type="cellIs" dxfId="6" priority="12" stopIfTrue="1" operator="equal">
      <formula>"SOPORTE"</formula>
    </cfRule>
  </conditionalFormatting>
  <conditionalFormatting sqref="AT2:AT169;AW2:AW169">
    <cfRule type="cellIs" dxfId="0" priority="13" stopIfTrue="1" operator="equal">
      <formula>"JEP"</formula>
    </cfRule>
    <cfRule type="cellIs" dxfId="1" priority="14" stopIfTrue="1" operator="equal">
      <formula>"Pichincha"</formula>
    </cfRule>
    <cfRule type="cellIs" dxfId="2" priority="15" stopIfTrue="1" operator="equal">
      <formula>"Efectivo"</formula>
    </cfRule>
    <cfRule type="cellIs" dxfId="2" priority="16" stopIfTrue="1" operator="equal">
      <formula>"Extra Efectivo"</formula>
    </cfRule>
    <cfRule type="cellIs" dxfId="0" priority="17" stopIfTrue="1" operator="equal">
      <formula>"Extra JEP"</formula>
    </cfRule>
    <cfRule type="cellIs" dxfId="1" priority="18" stopIfTrue="1" operator="equal">
      <formula>"Extra Pichincha"</formula>
    </cfRule>
    <cfRule type="cellIs" dxfId="1" priority="19" stopIfTrue="1" operator="equal">
      <formula>"Reserva Pichincha"</formula>
    </cfRule>
    <cfRule type="cellIs" dxfId="2" priority="20" stopIfTrue="1" operator="equal">
      <formula>"Reserva Efectivo"</formula>
    </cfRule>
    <cfRule type="cellIs" dxfId="3" priority="21" stopIfTrue="1" operator="equal">
      <formula>"JOHN"</formula>
    </cfRule>
    <cfRule type="cellIs" dxfId="4" priority="22" stopIfTrue="1" operator="equal">
      <formula>"SOLANO"</formula>
    </cfRule>
    <cfRule type="cellIs" dxfId="5" priority="23" stopIfTrue="1" operator="equal">
      <formula>"PATRICIO"</formula>
    </cfRule>
    <cfRule type="cellIs" dxfId="6" priority="24" stopIfTrue="1" operator="equal">
      <formula>"SOPORTE"</formula>
    </cfRule>
  </conditionalFormatting>
  <conditionalFormatting sqref="BE2:BE175;BH2:BH174">
    <cfRule type="cellIs" dxfId="0" priority="25" stopIfTrue="1" operator="equal">
      <formula>"JEP"</formula>
    </cfRule>
    <cfRule type="cellIs" dxfId="1" priority="26" stopIfTrue="1" operator="equal">
      <formula>"Pichincha"</formula>
    </cfRule>
    <cfRule type="cellIs" dxfId="2" priority="27" stopIfTrue="1" operator="equal">
      <formula>"Efectivo"</formula>
    </cfRule>
    <cfRule type="cellIs" dxfId="2" priority="28" stopIfTrue="1" operator="equal">
      <formula>"Extra Efectivo"</formula>
    </cfRule>
    <cfRule type="cellIs" dxfId="0" priority="29" stopIfTrue="1" operator="equal">
      <formula>"Extra JEP"</formula>
    </cfRule>
    <cfRule type="cellIs" dxfId="1" priority="30" stopIfTrue="1" operator="equal">
      <formula>"Extra Pichincha"</formula>
    </cfRule>
    <cfRule type="cellIs" dxfId="1" priority="31" stopIfTrue="1" operator="equal">
      <formula>"Reserva Pichincha"</formula>
    </cfRule>
    <cfRule type="cellIs" dxfId="2" priority="32" stopIfTrue="1" operator="equal">
      <formula>"Reserva Efectivo"</formula>
    </cfRule>
    <cfRule type="cellIs" dxfId="3" priority="33" stopIfTrue="1" operator="equal">
      <formula>"JOHN"</formula>
    </cfRule>
    <cfRule type="cellIs" dxfId="4" priority="34" stopIfTrue="1" operator="equal">
      <formula>"SOLANO"</formula>
    </cfRule>
    <cfRule type="cellIs" dxfId="5" priority="35" stopIfTrue="1" operator="equal">
      <formula>"PATRICIO"</formula>
    </cfRule>
    <cfRule type="cellIs" dxfId="6" priority="36" stopIfTrue="1" operator="equal">
      <formula>"SOPORTE"</formula>
    </cfRule>
  </conditionalFormatting>
  <conditionalFormatting sqref="BP2:BP175;BS2:BS175">
    <cfRule type="cellIs" dxfId="0" priority="37" stopIfTrue="1" operator="equal">
      <formula>"JEP"</formula>
    </cfRule>
    <cfRule type="cellIs" dxfId="1" priority="38" stopIfTrue="1" operator="equal">
      <formula>"Pichincha"</formula>
    </cfRule>
    <cfRule type="cellIs" dxfId="2" priority="39" stopIfTrue="1" operator="equal">
      <formula>"Efectivo"</formula>
    </cfRule>
    <cfRule type="cellIs" dxfId="2" priority="40" stopIfTrue="1" operator="equal">
      <formula>"Extra Efectivo"</formula>
    </cfRule>
    <cfRule type="cellIs" dxfId="0" priority="41" stopIfTrue="1" operator="equal">
      <formula>"Extra JEP"</formula>
    </cfRule>
    <cfRule type="cellIs" dxfId="1" priority="42" stopIfTrue="1" operator="equal">
      <formula>"Extra Pichincha"</formula>
    </cfRule>
    <cfRule type="cellIs" dxfId="1" priority="43" stopIfTrue="1" operator="equal">
      <formula>"Reserva Pichincha"</formula>
    </cfRule>
    <cfRule type="cellIs" dxfId="2" priority="44" stopIfTrue="1" operator="equal">
      <formula>"Reserva Efectivo"</formula>
    </cfRule>
    <cfRule type="cellIs" dxfId="3" priority="45" stopIfTrue="1" operator="equal">
      <formula>"JOHN"</formula>
    </cfRule>
    <cfRule type="cellIs" dxfId="4" priority="46" stopIfTrue="1" operator="equal">
      <formula>"SOLANO"</formula>
    </cfRule>
    <cfRule type="cellIs" dxfId="5" priority="47" stopIfTrue="1" operator="equal">
      <formula>"PATRICIO"</formula>
    </cfRule>
    <cfRule type="cellIs" dxfId="6" priority="48" stopIfTrue="1" operator="equal">
      <formula>"SOPORTE"</formula>
    </cfRule>
  </conditionalFormatting>
  <dataValidations count="1">
    <dataValidation type="list" allowBlank="1" showErrorMessage="1" sqref="X2:X150 AA2:AA150 AI2:AI161 AL2:AL161 AT2:AT169 AW2:AW169 BE2:BE175 BH2:BH174 BP2:BP175 BS2:BS175">
      <formula1>"JEP,Pichincha,Efectivo,Extra Efectivo,Extra JEP,Extra Pichincha,Reserva Pichincha,Reserva Efectivo,JOHN,SOLANO,PATRICIO,SOPORTE"</formula1>
    </dataValidation>
  </dataValidations>
  <hyperlinks>
    <hyperlink ref="M18" r:id="rId3" display="28safannyb"/>
    <hyperlink ref="M74" r:id="rId4" display="100sayajuant"/>
    <hyperlink ref="M78" r:id="rId5" display="104sayadaryanaa"/>
    <hyperlink ref="M79" r:id="rId6" display="105sayapablob"/>
    <hyperlink ref="M80" r:id="rId7" display="106sayarubeniam"/>
    <hyperlink ref="M82" r:id="rId8" display="108sayaluiss"/>
    <hyperlink ref="M86" r:id="rId9" display="112sayamariaq"/>
    <hyperlink ref="M95" r:id="rId10" display="121sayaruthg"/>
    <hyperlink ref="M96" r:id="rId11" display="122sayahomerog"/>
    <hyperlink ref="M97" r:id="rId12" display="123sajessicac"/>
    <hyperlink ref="M98" r:id="rId13" display="124sayaalexandrat"/>
    <hyperlink ref="M101" r:id="rId14" display="126sayasegundoe"/>
    <hyperlink ref="M102" r:id="rId15" display="128sayamariaq"/>
    <hyperlink ref="M108" r:id="rId16" display="134sayajohnr"/>
    <hyperlink ref="K148" r:id="rId17" display="www.freddyg@hotmail.com"/>
    <hyperlink ref="K149" r:id="rId17" display="www.freddyg@hotmail.com"/>
  </hyperlinks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Z1001"/>
  <sheetViews>
    <sheetView workbookViewId="0">
      <pane xSplit="2" topLeftCell="C1" activePane="topRight" state="frozen"/>
      <selection/>
      <selection pane="topRight" activeCell="D2" sqref="D2"/>
    </sheetView>
  </sheetViews>
  <sheetFormatPr defaultColWidth="12.6296296296296" defaultRowHeight="15.75" customHeight="1"/>
  <cols>
    <col min="2" max="2" width="30.6296296296296" customWidth="1"/>
    <col min="18" max="18" width="13.8796296296296" customWidth="1"/>
    <col min="26" max="26" width="13.8796296296296" customWidth="1"/>
    <col min="34" max="34" width="13.3796296296296" customWidth="1"/>
    <col min="42" max="42" width="13.75" customWidth="1"/>
    <col min="50" max="50" width="13.25" customWidth="1"/>
  </cols>
  <sheetData>
    <row r="1" customHeight="1" spans="1:52">
      <c r="A1" s="266" t="s">
        <v>195</v>
      </c>
      <c r="B1" s="266" t="s">
        <v>3888</v>
      </c>
      <c r="C1" s="267" t="s">
        <v>3889</v>
      </c>
      <c r="D1" s="267" t="s">
        <v>3890</v>
      </c>
      <c r="E1" s="267" t="s">
        <v>3891</v>
      </c>
      <c r="F1" s="267" t="s">
        <v>3892</v>
      </c>
      <c r="G1" s="267" t="s">
        <v>3893</v>
      </c>
      <c r="H1" s="268" t="s">
        <v>3894</v>
      </c>
      <c r="I1" s="134" t="s">
        <v>3895</v>
      </c>
      <c r="J1" s="269" t="s">
        <v>176</v>
      </c>
      <c r="K1" s="268" t="s">
        <v>15</v>
      </c>
      <c r="L1" s="267" t="s">
        <v>3896</v>
      </c>
      <c r="M1" s="270" t="s">
        <v>3897</v>
      </c>
      <c r="N1" s="134" t="s">
        <v>3898</v>
      </c>
      <c r="O1" s="267" t="s">
        <v>3899</v>
      </c>
      <c r="P1" s="271" t="s">
        <v>13</v>
      </c>
      <c r="Q1" s="272" t="s">
        <v>3900</v>
      </c>
      <c r="R1" s="273" t="s">
        <v>3901</v>
      </c>
      <c r="S1" s="134" t="s">
        <v>195</v>
      </c>
      <c r="T1" s="274" t="s">
        <v>189</v>
      </c>
      <c r="U1" s="270" t="s">
        <v>3902</v>
      </c>
      <c r="V1" s="134" t="s">
        <v>3898</v>
      </c>
      <c r="W1" s="267" t="s">
        <v>3899</v>
      </c>
      <c r="X1" s="271" t="s">
        <v>13</v>
      </c>
      <c r="Y1" s="272" t="s">
        <v>3900</v>
      </c>
      <c r="Z1" s="273" t="s">
        <v>3901</v>
      </c>
      <c r="AA1" s="134" t="s">
        <v>195</v>
      </c>
      <c r="AB1" s="274" t="s">
        <v>189</v>
      </c>
      <c r="AC1" s="270" t="s">
        <v>3903</v>
      </c>
      <c r="AD1" s="134" t="s">
        <v>3898</v>
      </c>
      <c r="AE1" s="267" t="s">
        <v>3899</v>
      </c>
      <c r="AF1" s="271" t="s">
        <v>13</v>
      </c>
      <c r="AG1" s="272" t="s">
        <v>3900</v>
      </c>
      <c r="AH1" s="273" t="s">
        <v>3901</v>
      </c>
      <c r="AI1" s="134" t="s">
        <v>195</v>
      </c>
      <c r="AJ1" s="272" t="s">
        <v>189</v>
      </c>
      <c r="AK1" s="270" t="s">
        <v>3904</v>
      </c>
      <c r="AL1" s="134" t="s">
        <v>3898</v>
      </c>
      <c r="AM1" s="267" t="s">
        <v>3899</v>
      </c>
      <c r="AN1" s="271" t="s">
        <v>13</v>
      </c>
      <c r="AO1" s="272" t="s">
        <v>3900</v>
      </c>
      <c r="AP1" s="273" t="s">
        <v>3901</v>
      </c>
      <c r="AQ1" s="134" t="s">
        <v>195</v>
      </c>
      <c r="AR1" s="272" t="s">
        <v>189</v>
      </c>
      <c r="AS1" s="270" t="s">
        <v>3905</v>
      </c>
      <c r="AT1" s="134" t="s">
        <v>3898</v>
      </c>
      <c r="AU1" s="267" t="s">
        <v>3899</v>
      </c>
      <c r="AV1" s="271" t="s">
        <v>13</v>
      </c>
      <c r="AW1" s="272" t="s">
        <v>3900</v>
      </c>
      <c r="AX1" s="273" t="s">
        <v>3901</v>
      </c>
      <c r="AY1" s="134" t="s">
        <v>195</v>
      </c>
      <c r="AZ1" s="272" t="s">
        <v>189</v>
      </c>
    </row>
    <row r="2" customHeight="1" spans="1:52">
      <c r="A2" s="234" t="s">
        <v>111</v>
      </c>
      <c r="B2" s="234" t="s">
        <v>3906</v>
      </c>
      <c r="C2" s="728" t="s">
        <v>3907</v>
      </c>
      <c r="D2" s="275" t="s">
        <v>8</v>
      </c>
      <c r="E2" s="275" t="s">
        <v>3908</v>
      </c>
      <c r="F2" s="275" t="s">
        <v>3909</v>
      </c>
      <c r="G2" s="275">
        <v>2</v>
      </c>
      <c r="H2" s="91"/>
      <c r="I2" s="7" t="s">
        <v>3910</v>
      </c>
      <c r="J2" s="276" t="s">
        <v>3911</v>
      </c>
      <c r="K2" s="72" t="s">
        <v>242</v>
      </c>
      <c r="L2" s="275" t="s">
        <v>220</v>
      </c>
      <c r="M2" s="72">
        <v>0</v>
      </c>
      <c r="O2" s="277"/>
      <c r="P2" s="277"/>
      <c r="Q2" s="72">
        <v>0</v>
      </c>
      <c r="R2" s="278"/>
      <c r="T2" s="257">
        <f t="shared" ref="T2:T17" si="0">M2-Q2</f>
        <v>0</v>
      </c>
      <c r="U2" s="72">
        <v>0</v>
      </c>
      <c r="W2" s="277"/>
      <c r="X2" s="277"/>
      <c r="Y2" s="72"/>
      <c r="Z2" s="278"/>
      <c r="AB2" s="257">
        <f t="shared" ref="AB2:AB9" si="1">U2-Y2</f>
        <v>0</v>
      </c>
      <c r="AC2" s="257"/>
      <c r="AG2" s="257"/>
      <c r="AH2" s="278"/>
      <c r="AK2" s="279"/>
      <c r="AO2" s="257"/>
      <c r="AP2" s="278"/>
      <c r="AS2" s="280"/>
      <c r="AX2" s="278"/>
    </row>
    <row r="3" customHeight="1" spans="1:52">
      <c r="A3" s="234" t="s">
        <v>3912</v>
      </c>
      <c r="B3" s="234" t="s">
        <v>3913</v>
      </c>
      <c r="C3" s="728" t="s">
        <v>3914</v>
      </c>
      <c r="D3" s="275" t="s">
        <v>8</v>
      </c>
      <c r="E3" s="275" t="s">
        <v>3915</v>
      </c>
      <c r="F3" s="275" t="s">
        <v>3909</v>
      </c>
      <c r="G3" s="275">
        <v>1</v>
      </c>
      <c r="H3" s="91"/>
      <c r="I3" s="7" t="s">
        <v>3916</v>
      </c>
      <c r="J3" s="276" t="s">
        <v>3911</v>
      </c>
      <c r="K3" s="72" t="s">
        <v>242</v>
      </c>
      <c r="L3" s="275" t="s">
        <v>220</v>
      </c>
      <c r="M3" s="72">
        <v>0</v>
      </c>
      <c r="O3" s="277"/>
      <c r="P3" s="277"/>
      <c r="Q3" s="72">
        <v>0</v>
      </c>
      <c r="R3" s="278"/>
      <c r="T3" s="257">
        <f t="shared" si="0"/>
        <v>0</v>
      </c>
      <c r="U3" s="72">
        <v>0</v>
      </c>
      <c r="W3" s="277"/>
      <c r="X3" s="277"/>
      <c r="Y3" s="72"/>
      <c r="Z3" s="278"/>
      <c r="AB3" s="257">
        <f t="shared" si="1"/>
        <v>0</v>
      </c>
      <c r="AC3" s="257"/>
      <c r="AG3" s="257"/>
      <c r="AH3" s="278"/>
      <c r="AK3" s="279"/>
      <c r="AO3" s="257"/>
      <c r="AP3" s="278"/>
      <c r="AS3" s="280"/>
      <c r="AX3" s="278"/>
    </row>
    <row r="4" customHeight="1" spans="1:52">
      <c r="A4" s="234" t="s">
        <v>3917</v>
      </c>
      <c r="B4" s="234" t="s">
        <v>3918</v>
      </c>
      <c r="C4" s="275" t="s">
        <v>3919</v>
      </c>
      <c r="D4" s="275" t="s">
        <v>8</v>
      </c>
      <c r="E4" s="275" t="s">
        <v>3920</v>
      </c>
      <c r="F4" s="275" t="s">
        <v>3909</v>
      </c>
      <c r="G4" s="275">
        <v>1</v>
      </c>
      <c r="H4" s="91"/>
      <c r="I4" s="7" t="s">
        <v>3921</v>
      </c>
      <c r="J4" s="276" t="s">
        <v>3922</v>
      </c>
      <c r="K4" s="72">
        <v>6</v>
      </c>
      <c r="L4" s="275" t="s">
        <v>220</v>
      </c>
      <c r="M4" s="72">
        <v>6</v>
      </c>
      <c r="O4" s="277"/>
      <c r="P4" s="281">
        <v>46038</v>
      </c>
      <c r="Q4" s="72">
        <v>6</v>
      </c>
      <c r="R4" s="278" t="s">
        <v>23</v>
      </c>
      <c r="T4" s="257">
        <f t="shared" si="0"/>
        <v>0</v>
      </c>
      <c r="U4" s="72">
        <v>6</v>
      </c>
      <c r="W4" s="277"/>
      <c r="X4" s="281">
        <v>46071</v>
      </c>
      <c r="Y4" s="72">
        <v>6</v>
      </c>
      <c r="Z4" s="278" t="s">
        <v>23</v>
      </c>
      <c r="AB4" s="257">
        <f t="shared" si="1"/>
        <v>0</v>
      </c>
      <c r="AC4" s="282">
        <v>6</v>
      </c>
      <c r="AE4" s="251">
        <v>46091</v>
      </c>
      <c r="AF4" s="251">
        <v>46084</v>
      </c>
      <c r="AG4" s="282">
        <v>6</v>
      </c>
      <c r="AH4" s="278" t="s">
        <v>23</v>
      </c>
      <c r="AK4" s="283">
        <v>6</v>
      </c>
      <c r="AM4" s="251">
        <v>46132</v>
      </c>
      <c r="AN4" s="251">
        <v>46132</v>
      </c>
      <c r="AO4" s="282">
        <v>6</v>
      </c>
      <c r="AP4" s="278" t="s">
        <v>23</v>
      </c>
      <c r="AS4" s="280"/>
      <c r="AX4" s="278"/>
    </row>
    <row r="5" customHeight="1" spans="1:52">
      <c r="A5" s="234" t="s">
        <v>3923</v>
      </c>
      <c r="B5" s="234" t="s">
        <v>3924</v>
      </c>
      <c r="C5" s="728" t="s">
        <v>3925</v>
      </c>
      <c r="D5" s="275" t="s">
        <v>8</v>
      </c>
      <c r="E5" s="284" t="s">
        <v>3926</v>
      </c>
      <c r="F5" s="7" t="s">
        <v>3927</v>
      </c>
      <c r="G5" s="275">
        <v>2</v>
      </c>
      <c r="H5" s="91"/>
      <c r="I5" s="7" t="s">
        <v>3928</v>
      </c>
      <c r="J5" s="276" t="s">
        <v>3922</v>
      </c>
      <c r="K5" s="72">
        <v>16</v>
      </c>
      <c r="L5" s="275" t="s">
        <v>220</v>
      </c>
      <c r="M5" s="72">
        <v>16</v>
      </c>
      <c r="O5" s="277"/>
      <c r="P5" s="281">
        <v>46027</v>
      </c>
      <c r="Q5" s="72">
        <v>16</v>
      </c>
      <c r="R5" s="278" t="s">
        <v>23</v>
      </c>
      <c r="T5" s="257">
        <f t="shared" si="0"/>
        <v>0</v>
      </c>
      <c r="U5" s="72">
        <v>16</v>
      </c>
      <c r="W5" s="277"/>
      <c r="X5" s="281">
        <v>46056</v>
      </c>
      <c r="Y5" s="72">
        <v>16</v>
      </c>
      <c r="Z5" s="278" t="s">
        <v>23</v>
      </c>
      <c r="AB5" s="257">
        <f t="shared" si="1"/>
        <v>0</v>
      </c>
      <c r="AC5" s="257"/>
      <c r="AG5" s="257"/>
      <c r="AH5" s="278"/>
      <c r="AK5" s="279"/>
      <c r="AO5" s="257"/>
      <c r="AP5" s="278"/>
      <c r="AS5" s="280"/>
      <c r="AX5" s="278"/>
    </row>
    <row r="6" customHeight="1" spans="1:52">
      <c r="A6" s="234" t="s">
        <v>3929</v>
      </c>
      <c r="B6" s="234" t="s">
        <v>3930</v>
      </c>
      <c r="C6" s="728" t="s">
        <v>3931</v>
      </c>
      <c r="D6" s="275" t="s">
        <v>8</v>
      </c>
      <c r="E6" s="285" t="s">
        <v>3932</v>
      </c>
      <c r="F6" s="275" t="s">
        <v>3909</v>
      </c>
      <c r="G6" s="275">
        <v>1</v>
      </c>
      <c r="H6" s="91"/>
      <c r="I6" s="7"/>
      <c r="J6" s="276" t="s">
        <v>3922</v>
      </c>
      <c r="K6" s="72">
        <v>6</v>
      </c>
      <c r="L6" s="275" t="s">
        <v>220</v>
      </c>
      <c r="M6" s="72">
        <v>16</v>
      </c>
      <c r="O6" s="277"/>
      <c r="P6" s="281">
        <v>46028</v>
      </c>
      <c r="Q6" s="72">
        <v>16</v>
      </c>
      <c r="R6" s="278" t="s">
        <v>23</v>
      </c>
      <c r="T6" s="257">
        <f t="shared" si="0"/>
        <v>0</v>
      </c>
      <c r="U6" s="72">
        <v>6</v>
      </c>
      <c r="W6" s="277"/>
      <c r="X6" s="281"/>
      <c r="Y6" s="72"/>
      <c r="Z6" s="278"/>
      <c r="AB6" s="257">
        <f t="shared" si="1"/>
        <v>6</v>
      </c>
      <c r="AC6" s="257"/>
      <c r="AG6" s="257"/>
      <c r="AH6" s="278"/>
      <c r="AK6" s="279"/>
      <c r="AO6" s="257"/>
      <c r="AP6" s="278"/>
      <c r="AS6" s="280"/>
      <c r="AX6" s="278"/>
    </row>
    <row r="7" customHeight="1" spans="1:52">
      <c r="A7" s="234" t="s">
        <v>3933</v>
      </c>
      <c r="B7" s="234" t="s">
        <v>3934</v>
      </c>
      <c r="C7" s="728" t="s">
        <v>3935</v>
      </c>
      <c r="D7" s="275" t="s">
        <v>8</v>
      </c>
      <c r="E7" s="275" t="s">
        <v>3936</v>
      </c>
      <c r="F7" s="275" t="s">
        <v>3909</v>
      </c>
      <c r="G7" s="275">
        <v>3</v>
      </c>
      <c r="H7" s="91"/>
      <c r="I7" s="7"/>
      <c r="J7" s="276" t="s">
        <v>3922</v>
      </c>
      <c r="K7" s="72">
        <v>10</v>
      </c>
      <c r="L7" s="275" t="s">
        <v>220</v>
      </c>
      <c r="M7" s="72">
        <v>10</v>
      </c>
      <c r="O7" s="277"/>
      <c r="P7" s="286">
        <v>46174</v>
      </c>
      <c r="Q7" s="72">
        <v>10</v>
      </c>
      <c r="R7" s="278" t="s">
        <v>23</v>
      </c>
      <c r="T7" s="257">
        <f t="shared" si="0"/>
        <v>0</v>
      </c>
      <c r="U7" s="72">
        <v>10</v>
      </c>
      <c r="W7" s="277"/>
      <c r="X7" s="286">
        <v>46055</v>
      </c>
      <c r="Y7" s="72">
        <v>10</v>
      </c>
      <c r="Z7" s="278" t="s">
        <v>23</v>
      </c>
      <c r="AB7" s="257">
        <f t="shared" si="1"/>
        <v>0</v>
      </c>
      <c r="AC7" s="282">
        <v>10</v>
      </c>
      <c r="AE7" s="251">
        <v>46091</v>
      </c>
      <c r="AF7" s="251">
        <v>46083</v>
      </c>
      <c r="AG7" s="282">
        <v>10</v>
      </c>
      <c r="AH7" s="278" t="s">
        <v>23</v>
      </c>
      <c r="AK7" s="283">
        <v>10</v>
      </c>
      <c r="AM7" s="251">
        <v>46122</v>
      </c>
      <c r="AN7" s="251">
        <v>46113</v>
      </c>
      <c r="AO7" s="282">
        <v>10</v>
      </c>
      <c r="AP7" s="278" t="s">
        <v>23</v>
      </c>
      <c r="AS7" s="287">
        <v>10</v>
      </c>
      <c r="AU7" s="251">
        <v>46152</v>
      </c>
      <c r="AV7" s="251">
        <v>46146</v>
      </c>
      <c r="AW7" s="250">
        <v>10</v>
      </c>
      <c r="AX7" s="278" t="s">
        <v>23</v>
      </c>
      <c r="AZ7" s="254">
        <f>10-AW7</f>
        <v>0</v>
      </c>
    </row>
    <row r="8" customHeight="1" spans="1:52">
      <c r="A8" s="234"/>
      <c r="B8" s="288" t="s">
        <v>3937</v>
      </c>
      <c r="C8" s="275" t="s">
        <v>3938</v>
      </c>
      <c r="D8" s="275" t="s">
        <v>8</v>
      </c>
      <c r="E8" s="275"/>
      <c r="F8" s="275"/>
      <c r="G8" s="275">
        <v>12</v>
      </c>
      <c r="H8" s="91"/>
      <c r="I8" s="7"/>
      <c r="J8" s="276" t="s">
        <v>3922</v>
      </c>
      <c r="K8" s="72">
        <v>26.91</v>
      </c>
      <c r="L8" s="275" t="s">
        <v>220</v>
      </c>
      <c r="M8" s="72">
        <v>26.91</v>
      </c>
      <c r="N8" s="250" t="s">
        <v>3939</v>
      </c>
      <c r="O8" s="277"/>
      <c r="P8" s="277" t="s">
        <v>2673</v>
      </c>
      <c r="Q8" s="72">
        <v>26.91</v>
      </c>
      <c r="R8" s="278" t="s">
        <v>35</v>
      </c>
      <c r="T8" s="257">
        <f t="shared" si="0"/>
        <v>0</v>
      </c>
      <c r="U8" s="72">
        <v>26.91</v>
      </c>
      <c r="V8" s="250" t="s">
        <v>3940</v>
      </c>
      <c r="W8" s="277"/>
      <c r="X8" s="281">
        <v>46077</v>
      </c>
      <c r="Y8" s="72">
        <v>26.91</v>
      </c>
      <c r="Z8" s="278" t="s">
        <v>35</v>
      </c>
      <c r="AB8" s="257">
        <f t="shared" si="1"/>
        <v>0</v>
      </c>
      <c r="AC8" s="282">
        <v>31.395</v>
      </c>
      <c r="AD8" s="250" t="s">
        <v>3941</v>
      </c>
      <c r="AE8" s="251">
        <v>46091</v>
      </c>
      <c r="AF8" s="251">
        <v>46091</v>
      </c>
      <c r="AG8" s="282">
        <v>26.91</v>
      </c>
      <c r="AH8" s="278" t="s">
        <v>35</v>
      </c>
      <c r="AK8" s="283">
        <v>31.4</v>
      </c>
      <c r="AM8" s="251">
        <v>46122</v>
      </c>
      <c r="AN8" s="251">
        <v>46132</v>
      </c>
      <c r="AO8" s="282">
        <v>31.4</v>
      </c>
      <c r="AP8" s="278" t="s">
        <v>23</v>
      </c>
      <c r="AS8" s="280"/>
      <c r="AX8" s="278"/>
    </row>
    <row r="9" customHeight="1" spans="1:52">
      <c r="A9" s="234" t="s">
        <v>3942</v>
      </c>
      <c r="B9" s="288" t="s">
        <v>3943</v>
      </c>
      <c r="C9" s="275" t="s">
        <v>3944</v>
      </c>
      <c r="D9" s="275" t="s">
        <v>8</v>
      </c>
      <c r="E9" s="275" t="s">
        <v>3945</v>
      </c>
      <c r="F9" s="275" t="s">
        <v>3909</v>
      </c>
      <c r="G9" s="275">
        <v>10</v>
      </c>
      <c r="H9" s="91"/>
      <c r="I9" s="7" t="s">
        <v>3946</v>
      </c>
      <c r="J9" s="276" t="s">
        <v>3922</v>
      </c>
      <c r="K9" s="72">
        <v>37.95</v>
      </c>
      <c r="L9" s="275" t="s">
        <v>220</v>
      </c>
      <c r="M9" s="72">
        <v>37.95</v>
      </c>
      <c r="N9" s="250" t="s">
        <v>3947</v>
      </c>
      <c r="O9" s="277"/>
      <c r="P9" s="281">
        <v>46045</v>
      </c>
      <c r="Q9" s="72">
        <v>37.95</v>
      </c>
      <c r="R9" s="278" t="s">
        <v>23</v>
      </c>
      <c r="T9" s="257">
        <f t="shared" si="0"/>
        <v>0</v>
      </c>
      <c r="U9" s="72">
        <v>37.95</v>
      </c>
      <c r="V9" s="250" t="s">
        <v>3948</v>
      </c>
      <c r="W9" s="277"/>
      <c r="X9" s="281">
        <v>46073</v>
      </c>
      <c r="Y9" s="72">
        <v>37.95</v>
      </c>
      <c r="Z9" s="278" t="s">
        <v>23</v>
      </c>
      <c r="AB9" s="257">
        <f t="shared" si="1"/>
        <v>0</v>
      </c>
      <c r="AC9" s="282">
        <v>37.95</v>
      </c>
      <c r="AD9" s="250" t="s">
        <v>3949</v>
      </c>
      <c r="AG9" s="257"/>
      <c r="AH9" s="278"/>
      <c r="AK9" s="279"/>
      <c r="AO9" s="257"/>
      <c r="AP9" s="278"/>
      <c r="AS9" s="280"/>
      <c r="AX9" s="278"/>
    </row>
    <row r="10" customHeight="1" spans="1:52">
      <c r="A10" s="234" t="s">
        <v>3950</v>
      </c>
      <c r="B10" s="234" t="s">
        <v>3951</v>
      </c>
      <c r="C10" s="275">
        <f>593997191340</f>
        <v>593997191340</v>
      </c>
      <c r="D10" s="275" t="s">
        <v>8</v>
      </c>
      <c r="E10" s="275" t="s">
        <v>3952</v>
      </c>
      <c r="F10" s="275" t="s">
        <v>3927</v>
      </c>
      <c r="G10" s="275">
        <v>1</v>
      </c>
      <c r="H10" s="91"/>
      <c r="I10" s="7"/>
      <c r="J10" s="276" t="s">
        <v>3922</v>
      </c>
      <c r="K10" s="72">
        <v>4</v>
      </c>
      <c r="L10" s="275" t="s">
        <v>220</v>
      </c>
      <c r="M10" s="72">
        <v>7</v>
      </c>
      <c r="O10" s="277"/>
      <c r="P10" s="277"/>
      <c r="Q10" s="72"/>
      <c r="R10" s="278"/>
      <c r="T10" s="257">
        <f t="shared" si="0"/>
        <v>7</v>
      </c>
      <c r="U10" s="72">
        <v>4</v>
      </c>
      <c r="W10" s="277"/>
      <c r="X10" s="281">
        <v>46055</v>
      </c>
      <c r="Y10" s="72">
        <v>20</v>
      </c>
      <c r="Z10" s="278" t="s">
        <v>35</v>
      </c>
      <c r="AB10" s="257">
        <f>T10+U10-Y10</f>
        <v>-9</v>
      </c>
      <c r="AC10" s="257"/>
      <c r="AE10" s="251">
        <v>46122</v>
      </c>
      <c r="AG10" s="282">
        <v>4</v>
      </c>
      <c r="AH10" s="278"/>
      <c r="AK10" s="279"/>
      <c r="AM10" s="251">
        <v>46122</v>
      </c>
      <c r="AO10" s="282">
        <v>4</v>
      </c>
      <c r="AP10" s="278"/>
      <c r="AS10" s="280"/>
      <c r="AX10" s="278"/>
    </row>
    <row r="11" customHeight="1" spans="1:52">
      <c r="A11" s="234" t="s">
        <v>3953</v>
      </c>
      <c r="B11" s="234" t="s">
        <v>3954</v>
      </c>
      <c r="C11" s="728" t="s">
        <v>3955</v>
      </c>
      <c r="D11" s="275" t="s">
        <v>8</v>
      </c>
      <c r="E11" s="275" t="s">
        <v>3956</v>
      </c>
      <c r="F11" s="275" t="s">
        <v>3909</v>
      </c>
      <c r="G11" s="275">
        <v>1</v>
      </c>
      <c r="H11" s="91"/>
      <c r="I11" s="7"/>
      <c r="J11" s="276" t="s">
        <v>3922</v>
      </c>
      <c r="K11" s="72">
        <v>6</v>
      </c>
      <c r="L11" s="275" t="s">
        <v>220</v>
      </c>
      <c r="M11" s="72">
        <v>6</v>
      </c>
      <c r="O11" s="277"/>
      <c r="P11" s="281">
        <v>46038</v>
      </c>
      <c r="Q11" s="72">
        <v>6</v>
      </c>
      <c r="R11" s="278" t="s">
        <v>23</v>
      </c>
      <c r="T11" s="257">
        <f t="shared" si="0"/>
        <v>0</v>
      </c>
      <c r="U11" s="72">
        <v>6</v>
      </c>
      <c r="W11" s="277"/>
      <c r="X11" s="281">
        <v>46071</v>
      </c>
      <c r="Y11" s="72">
        <v>6</v>
      </c>
      <c r="Z11" s="278" t="s">
        <v>23</v>
      </c>
      <c r="AB11" s="257">
        <f t="shared" ref="AB11:AB40" si="2">U11-Y11</f>
        <v>0</v>
      </c>
      <c r="AC11" s="282">
        <v>6</v>
      </c>
      <c r="AE11" s="251">
        <v>46091</v>
      </c>
      <c r="AF11" s="251">
        <v>46084</v>
      </c>
      <c r="AG11" s="282">
        <v>6</v>
      </c>
      <c r="AH11" s="278" t="s">
        <v>23</v>
      </c>
      <c r="AK11" s="283">
        <v>6</v>
      </c>
      <c r="AM11" s="251">
        <v>46132</v>
      </c>
      <c r="AN11" s="251">
        <v>46132</v>
      </c>
      <c r="AO11" s="282">
        <v>6</v>
      </c>
      <c r="AP11" s="278" t="s">
        <v>23</v>
      </c>
      <c r="AS11" s="280"/>
      <c r="AX11" s="278"/>
    </row>
    <row r="12" customHeight="1" spans="1:52">
      <c r="A12" s="234" t="s">
        <v>3957</v>
      </c>
      <c r="B12" s="234" t="s">
        <v>3958</v>
      </c>
      <c r="C12" s="728" t="s">
        <v>3959</v>
      </c>
      <c r="D12" s="275" t="s">
        <v>8</v>
      </c>
      <c r="E12" s="275" t="s">
        <v>3960</v>
      </c>
      <c r="F12" s="275" t="s">
        <v>3909</v>
      </c>
      <c r="G12" s="275">
        <v>1</v>
      </c>
      <c r="H12" s="91"/>
      <c r="I12" s="7"/>
      <c r="J12" s="276" t="s">
        <v>3922</v>
      </c>
      <c r="K12" s="72">
        <v>4</v>
      </c>
      <c r="L12" s="275" t="s">
        <v>220</v>
      </c>
      <c r="M12" s="72">
        <v>4</v>
      </c>
      <c r="O12" s="277"/>
      <c r="P12" s="286">
        <v>46204</v>
      </c>
      <c r="Q12" s="72">
        <v>4</v>
      </c>
      <c r="R12" s="278" t="s">
        <v>35</v>
      </c>
      <c r="T12" s="257">
        <f t="shared" si="0"/>
        <v>0</v>
      </c>
      <c r="U12" s="72">
        <v>4</v>
      </c>
      <c r="W12" s="277"/>
      <c r="X12" s="286">
        <v>46063</v>
      </c>
      <c r="Y12" s="72">
        <v>4</v>
      </c>
      <c r="Z12" s="278" t="s">
        <v>35</v>
      </c>
      <c r="AB12" s="257">
        <f t="shared" si="2"/>
        <v>0</v>
      </c>
      <c r="AC12" s="282">
        <v>4</v>
      </c>
      <c r="AE12" s="251">
        <v>46091</v>
      </c>
      <c r="AF12" s="251">
        <v>46083</v>
      </c>
      <c r="AG12" s="282">
        <v>4</v>
      </c>
      <c r="AH12" s="278" t="s">
        <v>35</v>
      </c>
      <c r="AK12" s="283">
        <v>4</v>
      </c>
      <c r="AM12" s="251">
        <v>46122</v>
      </c>
      <c r="AN12" s="251">
        <v>46116</v>
      </c>
      <c r="AO12" s="282">
        <v>4</v>
      </c>
      <c r="AP12" s="278" t="s">
        <v>35</v>
      </c>
      <c r="AS12" s="287">
        <v>4</v>
      </c>
      <c r="AU12" s="251">
        <v>46152</v>
      </c>
      <c r="AV12" s="251">
        <v>46147</v>
      </c>
      <c r="AW12" s="250">
        <v>4</v>
      </c>
      <c r="AX12" s="278" t="s">
        <v>35</v>
      </c>
      <c r="AZ12" s="250">
        <v>0</v>
      </c>
    </row>
    <row r="13" customHeight="1" spans="1:52">
      <c r="A13" s="234" t="s">
        <v>3961</v>
      </c>
      <c r="B13" s="234" t="s">
        <v>3962</v>
      </c>
      <c r="C13" s="728" t="s">
        <v>3963</v>
      </c>
      <c r="D13" s="275" t="s">
        <v>8</v>
      </c>
      <c r="E13" s="275" t="s">
        <v>3964</v>
      </c>
      <c r="F13" s="275" t="s">
        <v>3909</v>
      </c>
      <c r="G13" s="275">
        <v>3</v>
      </c>
      <c r="H13" s="91"/>
      <c r="I13" s="7"/>
      <c r="J13" s="276" t="s">
        <v>3922</v>
      </c>
      <c r="K13" s="72">
        <v>18</v>
      </c>
      <c r="L13" s="275" t="s">
        <v>220</v>
      </c>
      <c r="M13" s="72"/>
      <c r="O13" s="277"/>
      <c r="P13" s="277"/>
      <c r="Q13" s="72"/>
      <c r="R13" s="278"/>
      <c r="T13" s="257">
        <f t="shared" si="0"/>
        <v>0</v>
      </c>
      <c r="U13" s="72"/>
      <c r="W13" s="277"/>
      <c r="X13" s="277"/>
      <c r="Y13" s="72"/>
      <c r="Z13" s="278"/>
      <c r="AB13" s="257">
        <f t="shared" si="2"/>
        <v>0</v>
      </c>
      <c r="AC13" s="282">
        <v>6</v>
      </c>
      <c r="AE13" s="251">
        <v>46091</v>
      </c>
      <c r="AF13" s="251">
        <v>46093</v>
      </c>
      <c r="AG13" s="282">
        <v>6</v>
      </c>
      <c r="AH13" s="278" t="s">
        <v>23</v>
      </c>
      <c r="AK13" s="279"/>
      <c r="AO13" s="257"/>
      <c r="AP13" s="278"/>
      <c r="AS13" s="280"/>
      <c r="AX13" s="278"/>
    </row>
    <row r="14" customHeight="1" spans="1:52">
      <c r="A14" s="234" t="s">
        <v>3965</v>
      </c>
      <c r="B14" s="234" t="s">
        <v>3966</v>
      </c>
      <c r="C14" s="728" t="s">
        <v>3967</v>
      </c>
      <c r="D14" s="275" t="s">
        <v>8</v>
      </c>
      <c r="E14" s="289" t="s">
        <v>3968</v>
      </c>
      <c r="F14" s="275" t="s">
        <v>3909</v>
      </c>
      <c r="G14" s="275">
        <v>1</v>
      </c>
      <c r="H14" s="91"/>
      <c r="I14" s="7" t="s">
        <v>3969</v>
      </c>
      <c r="J14" s="276" t="s">
        <v>3970</v>
      </c>
      <c r="K14" s="72">
        <v>4</v>
      </c>
      <c r="L14" s="275" t="s">
        <v>220</v>
      </c>
      <c r="M14" s="72"/>
      <c r="O14" s="277"/>
      <c r="P14" s="277"/>
      <c r="Q14" s="72"/>
      <c r="R14" s="278"/>
      <c r="T14" s="257">
        <f t="shared" si="0"/>
        <v>0</v>
      </c>
      <c r="U14" s="72"/>
      <c r="W14" s="277"/>
      <c r="X14" s="277"/>
      <c r="Y14" s="72"/>
      <c r="Z14" s="278"/>
      <c r="AB14" s="257">
        <f t="shared" si="2"/>
        <v>0</v>
      </c>
      <c r="AC14" s="257"/>
      <c r="AG14" s="257"/>
      <c r="AH14" s="278"/>
      <c r="AK14" s="279"/>
      <c r="AO14" s="257"/>
      <c r="AP14" s="278"/>
      <c r="AS14" s="280"/>
      <c r="AX14" s="278"/>
    </row>
    <row r="15" customHeight="1" spans="1:52">
      <c r="A15" s="234" t="s">
        <v>3971</v>
      </c>
      <c r="B15" s="234" t="s">
        <v>3972</v>
      </c>
      <c r="C15" s="728" t="s">
        <v>3973</v>
      </c>
      <c r="D15" s="275" t="s">
        <v>8</v>
      </c>
      <c r="E15" s="289" t="s">
        <v>3974</v>
      </c>
      <c r="F15" s="275" t="s">
        <v>3909</v>
      </c>
      <c r="G15" s="275">
        <v>2</v>
      </c>
      <c r="H15" s="91"/>
      <c r="I15" s="7" t="s">
        <v>3975</v>
      </c>
      <c r="J15" s="276" t="s">
        <v>3976</v>
      </c>
      <c r="K15" s="72">
        <v>6</v>
      </c>
      <c r="L15" s="275" t="s">
        <v>206</v>
      </c>
      <c r="M15" s="72"/>
      <c r="O15" s="277"/>
      <c r="P15" s="277"/>
      <c r="Q15" s="72"/>
      <c r="R15" s="278"/>
      <c r="T15" s="257">
        <f t="shared" si="0"/>
        <v>0</v>
      </c>
      <c r="U15" s="72"/>
      <c r="W15" s="277"/>
      <c r="X15" s="277"/>
      <c r="Y15" s="72"/>
      <c r="Z15" s="278"/>
      <c r="AB15" s="257">
        <f t="shared" si="2"/>
        <v>0</v>
      </c>
      <c r="AC15" s="257"/>
      <c r="AG15" s="257"/>
      <c r="AH15" s="278"/>
      <c r="AK15" s="279"/>
      <c r="AO15" s="257"/>
      <c r="AP15" s="278"/>
      <c r="AS15" s="280"/>
      <c r="AX15" s="278"/>
    </row>
    <row r="16" customHeight="1" spans="1:52">
      <c r="A16" s="234" t="s">
        <v>3977</v>
      </c>
      <c r="B16" s="234" t="s">
        <v>3978</v>
      </c>
      <c r="C16" s="728" t="s">
        <v>3979</v>
      </c>
      <c r="D16" s="275" t="s">
        <v>8</v>
      </c>
      <c r="E16" s="289" t="s">
        <v>3980</v>
      </c>
      <c r="F16" s="275" t="s">
        <v>3909</v>
      </c>
      <c r="G16" s="275">
        <v>1</v>
      </c>
      <c r="H16" s="91"/>
      <c r="I16" s="7" t="s">
        <v>3975</v>
      </c>
      <c r="J16" s="276" t="s">
        <v>3970</v>
      </c>
      <c r="K16" s="72">
        <v>4</v>
      </c>
      <c r="L16" s="275" t="s">
        <v>206</v>
      </c>
      <c r="M16" s="72"/>
      <c r="O16" s="277"/>
      <c r="P16" s="277"/>
      <c r="Q16" s="72"/>
      <c r="R16" s="278"/>
      <c r="T16" s="257">
        <f t="shared" si="0"/>
        <v>0</v>
      </c>
      <c r="U16" s="72"/>
      <c r="W16" s="277"/>
      <c r="X16" s="277"/>
      <c r="Y16" s="72"/>
      <c r="Z16" s="278"/>
      <c r="AB16" s="257">
        <f t="shared" si="2"/>
        <v>0</v>
      </c>
      <c r="AC16" s="257"/>
      <c r="AG16" s="257"/>
      <c r="AH16" s="278"/>
      <c r="AK16" s="279"/>
      <c r="AO16" s="257"/>
      <c r="AP16" s="278"/>
      <c r="AS16" s="280"/>
      <c r="AX16" s="278"/>
    </row>
    <row r="17" customHeight="1" spans="1:50">
      <c r="A17" s="234" t="s">
        <v>3981</v>
      </c>
      <c r="B17" s="234" t="s">
        <v>3982</v>
      </c>
      <c r="C17" s="728" t="s">
        <v>3983</v>
      </c>
      <c r="D17" s="275" t="s">
        <v>8</v>
      </c>
      <c r="E17" s="289" t="s">
        <v>3984</v>
      </c>
      <c r="F17" s="275" t="s">
        <v>3927</v>
      </c>
      <c r="G17" s="275">
        <v>2</v>
      </c>
      <c r="H17" s="91"/>
      <c r="I17" s="7" t="s">
        <v>3985</v>
      </c>
      <c r="J17" s="276" t="s">
        <v>3922</v>
      </c>
      <c r="K17" s="72">
        <v>6</v>
      </c>
      <c r="L17" s="275" t="s">
        <v>220</v>
      </c>
      <c r="M17" s="72"/>
      <c r="O17" s="277"/>
      <c r="P17" s="277"/>
      <c r="Q17" s="72"/>
      <c r="R17" s="278"/>
      <c r="T17" s="257">
        <f t="shared" si="0"/>
        <v>0</v>
      </c>
      <c r="U17" s="72"/>
      <c r="W17" s="277"/>
      <c r="X17" s="277"/>
      <c r="Y17" s="72"/>
      <c r="Z17" s="278"/>
      <c r="AB17" s="257">
        <f t="shared" si="2"/>
        <v>0</v>
      </c>
      <c r="AC17" s="257"/>
      <c r="AG17" s="257"/>
      <c r="AH17" s="278"/>
      <c r="AK17" s="279"/>
      <c r="AO17" s="257"/>
      <c r="AP17" s="278"/>
      <c r="AS17" s="280"/>
      <c r="AX17" s="278"/>
    </row>
    <row r="18" customHeight="1" spans="1:50">
      <c r="A18" s="234" t="s">
        <v>3986</v>
      </c>
      <c r="B18" s="234" t="s">
        <v>3987</v>
      </c>
      <c r="C18" s="728" t="s">
        <v>3988</v>
      </c>
      <c r="D18" s="275" t="s">
        <v>8</v>
      </c>
      <c r="E18" s="275" t="s">
        <v>3989</v>
      </c>
      <c r="F18" s="275" t="s">
        <v>3927</v>
      </c>
      <c r="G18" s="275">
        <v>1</v>
      </c>
      <c r="H18" s="91"/>
      <c r="I18" s="7"/>
      <c r="J18" s="276" t="s">
        <v>3922</v>
      </c>
      <c r="K18" s="72">
        <v>4</v>
      </c>
      <c r="L18" s="275" t="s">
        <v>220</v>
      </c>
      <c r="M18" s="72">
        <v>-8</v>
      </c>
      <c r="O18" s="277"/>
      <c r="P18" s="277"/>
      <c r="Q18" s="72">
        <v>4</v>
      </c>
      <c r="R18" s="278"/>
      <c r="T18" s="250">
        <v>-4</v>
      </c>
      <c r="U18" s="72">
        <v>4</v>
      </c>
      <c r="W18" s="277"/>
      <c r="X18" s="277"/>
      <c r="Y18" s="72">
        <v>4</v>
      </c>
      <c r="Z18" s="278"/>
      <c r="AB18" s="257">
        <f t="shared" si="2"/>
        <v>0</v>
      </c>
      <c r="AC18" s="282">
        <v>4</v>
      </c>
      <c r="AG18" s="282">
        <v>20</v>
      </c>
      <c r="AH18" s="278" t="s">
        <v>35</v>
      </c>
      <c r="AJ18" s="257">
        <f t="shared" ref="AJ18:AJ21" si="3">AC18-AG18</f>
        <v>-16</v>
      </c>
      <c r="AK18" s="279"/>
      <c r="AO18" s="257"/>
      <c r="AP18" s="278"/>
      <c r="AS18" s="280"/>
      <c r="AX18" s="278"/>
    </row>
    <row r="19" customHeight="1" spans="1:50">
      <c r="A19" s="234" t="s">
        <v>3990</v>
      </c>
      <c r="B19" s="234" t="s">
        <v>3991</v>
      </c>
      <c r="C19" s="728" t="s">
        <v>3992</v>
      </c>
      <c r="D19" s="275" t="s">
        <v>8</v>
      </c>
      <c r="E19" s="275" t="s">
        <v>3993</v>
      </c>
      <c r="F19" s="275" t="s">
        <v>3927</v>
      </c>
      <c r="G19" s="275">
        <v>1</v>
      </c>
      <c r="H19" s="91"/>
      <c r="I19" s="7" t="s">
        <v>3994</v>
      </c>
      <c r="J19" s="276" t="s">
        <v>3922</v>
      </c>
      <c r="K19" s="72">
        <v>4</v>
      </c>
      <c r="L19" s="275" t="s">
        <v>220</v>
      </c>
      <c r="M19" s="72">
        <v>6</v>
      </c>
      <c r="O19" s="277"/>
      <c r="P19" s="286">
        <v>46204</v>
      </c>
      <c r="Q19" s="72">
        <v>6</v>
      </c>
      <c r="R19" s="278" t="s">
        <v>23</v>
      </c>
      <c r="T19" s="257">
        <f t="shared" ref="T19:T51" si="4">M19-Q19</f>
        <v>0</v>
      </c>
      <c r="U19" s="72">
        <v>6</v>
      </c>
      <c r="W19" s="277"/>
      <c r="X19" s="286">
        <v>46064</v>
      </c>
      <c r="Y19" s="72">
        <f>6+5</f>
        <v>11</v>
      </c>
      <c r="Z19" s="278" t="s">
        <v>23</v>
      </c>
      <c r="AB19" s="257">
        <f t="shared" si="2"/>
        <v>-5</v>
      </c>
      <c r="AC19" s="282">
        <v>6</v>
      </c>
      <c r="AE19" s="251">
        <v>46091</v>
      </c>
      <c r="AF19" s="251">
        <v>46091</v>
      </c>
      <c r="AG19" s="282">
        <v>6</v>
      </c>
      <c r="AH19" s="278" t="s">
        <v>23</v>
      </c>
      <c r="AJ19" s="257">
        <f t="shared" si="3"/>
        <v>0</v>
      </c>
      <c r="AK19" s="283">
        <v>6</v>
      </c>
      <c r="AM19" s="251">
        <v>46122</v>
      </c>
      <c r="AN19" s="251">
        <v>46128</v>
      </c>
      <c r="AO19" s="282">
        <v>6</v>
      </c>
      <c r="AP19" s="278" t="s">
        <v>23</v>
      </c>
      <c r="AS19" s="280"/>
      <c r="AX19" s="278"/>
    </row>
    <row r="20" customHeight="1" spans="1:50">
      <c r="A20" s="234"/>
      <c r="B20" s="234" t="s">
        <v>3995</v>
      </c>
      <c r="C20" s="7"/>
      <c r="D20" s="275" t="s">
        <v>3996</v>
      </c>
      <c r="E20" s="275" t="s">
        <v>3997</v>
      </c>
      <c r="F20" s="275" t="s">
        <v>3927</v>
      </c>
      <c r="G20" s="275">
        <v>1</v>
      </c>
      <c r="H20" s="91"/>
      <c r="I20" s="7" t="s">
        <v>3998</v>
      </c>
      <c r="J20" s="276" t="s">
        <v>3999</v>
      </c>
      <c r="K20" s="72">
        <v>51</v>
      </c>
      <c r="L20" s="7"/>
      <c r="M20" s="72"/>
      <c r="O20" s="277"/>
      <c r="P20" s="277"/>
      <c r="Q20" s="72"/>
      <c r="R20" s="278"/>
      <c r="T20" s="257">
        <f t="shared" si="4"/>
        <v>0</v>
      </c>
      <c r="U20" s="72"/>
      <c r="W20" s="277"/>
      <c r="X20" s="277"/>
      <c r="Y20" s="72"/>
      <c r="Z20" s="278"/>
      <c r="AB20" s="257">
        <f t="shared" si="2"/>
        <v>0</v>
      </c>
      <c r="AC20" s="257"/>
      <c r="AG20" s="257"/>
      <c r="AH20" s="278"/>
      <c r="AJ20" s="257">
        <f t="shared" si="3"/>
        <v>0</v>
      </c>
      <c r="AK20" s="279"/>
      <c r="AO20" s="257"/>
      <c r="AP20" s="278"/>
      <c r="AS20" s="280"/>
      <c r="AX20" s="278"/>
    </row>
    <row r="21" customHeight="1" spans="1:50">
      <c r="A21" s="234" t="s">
        <v>4000</v>
      </c>
      <c r="B21" s="288" t="s">
        <v>4001</v>
      </c>
      <c r="C21" s="728" t="s">
        <v>4002</v>
      </c>
      <c r="D21" s="275" t="s">
        <v>8</v>
      </c>
      <c r="E21" s="275" t="s">
        <v>4003</v>
      </c>
      <c r="F21" s="275" t="s">
        <v>3927</v>
      </c>
      <c r="G21" s="275">
        <v>1</v>
      </c>
      <c r="H21" s="91"/>
      <c r="I21" s="7" t="s">
        <v>4004</v>
      </c>
      <c r="J21" s="276" t="s">
        <v>3922</v>
      </c>
      <c r="K21" s="72">
        <v>4</v>
      </c>
      <c r="L21" s="275" t="s">
        <v>220</v>
      </c>
      <c r="M21" s="72">
        <v>4</v>
      </c>
      <c r="O21" s="277"/>
      <c r="P21" s="281">
        <v>46053</v>
      </c>
      <c r="Q21" s="72">
        <v>4</v>
      </c>
      <c r="R21" s="278" t="s">
        <v>23</v>
      </c>
      <c r="T21" s="257">
        <f t="shared" si="4"/>
        <v>0</v>
      </c>
      <c r="U21" s="72">
        <v>4</v>
      </c>
      <c r="W21" s="277"/>
      <c r="X21" s="281"/>
      <c r="Y21" s="72"/>
      <c r="Z21" s="278"/>
      <c r="AB21" s="257">
        <f t="shared" si="2"/>
        <v>4</v>
      </c>
      <c r="AC21" s="282">
        <v>4</v>
      </c>
      <c r="AE21" s="251">
        <v>46091</v>
      </c>
      <c r="AF21" s="251">
        <v>46094</v>
      </c>
      <c r="AG21" s="282">
        <v>4</v>
      </c>
      <c r="AH21" s="278" t="s">
        <v>23</v>
      </c>
      <c r="AJ21" s="257">
        <f t="shared" si="3"/>
        <v>0</v>
      </c>
      <c r="AK21" s="279"/>
      <c r="AO21" s="257"/>
      <c r="AP21" s="278"/>
      <c r="AS21" s="280"/>
      <c r="AX21" s="278"/>
    </row>
    <row r="22" customHeight="1" spans="1:50">
      <c r="A22" s="234" t="s">
        <v>4005</v>
      </c>
      <c r="B22" s="234" t="s">
        <v>4006</v>
      </c>
      <c r="C22" s="728" t="s">
        <v>4007</v>
      </c>
      <c r="D22" s="275" t="s">
        <v>8</v>
      </c>
      <c r="E22" s="289" t="s">
        <v>4008</v>
      </c>
      <c r="F22" s="275" t="s">
        <v>3927</v>
      </c>
      <c r="G22" s="275">
        <v>1</v>
      </c>
      <c r="H22" s="91"/>
      <c r="I22" s="7"/>
      <c r="J22" s="276" t="s">
        <v>3976</v>
      </c>
      <c r="K22" s="72">
        <v>4</v>
      </c>
      <c r="L22" s="275" t="s">
        <v>220</v>
      </c>
      <c r="M22" s="72">
        <v>4</v>
      </c>
      <c r="O22" s="281">
        <v>46046</v>
      </c>
      <c r="P22" s="277"/>
      <c r="Q22" s="72"/>
      <c r="R22" s="278"/>
      <c r="T22" s="257">
        <f t="shared" si="4"/>
        <v>4</v>
      </c>
      <c r="U22" s="72">
        <v>4</v>
      </c>
      <c r="W22" s="281"/>
      <c r="X22" s="277"/>
      <c r="Y22" s="72"/>
      <c r="Z22" s="278"/>
      <c r="AB22" s="257">
        <f t="shared" si="2"/>
        <v>4</v>
      </c>
      <c r="AC22" s="257"/>
      <c r="AG22" s="257"/>
      <c r="AH22" s="278"/>
      <c r="AK22" s="279"/>
      <c r="AO22" s="257"/>
      <c r="AP22" s="278"/>
      <c r="AS22" s="280"/>
      <c r="AX22" s="278"/>
    </row>
    <row r="23" customHeight="1" spans="1:50">
      <c r="A23" s="234" t="s">
        <v>4009</v>
      </c>
      <c r="B23" s="234" t="s">
        <v>4010</v>
      </c>
      <c r="C23" s="728" t="s">
        <v>4011</v>
      </c>
      <c r="D23" s="275" t="s">
        <v>8</v>
      </c>
      <c r="E23" s="275" t="s">
        <v>4012</v>
      </c>
      <c r="F23" s="275" t="s">
        <v>3909</v>
      </c>
      <c r="G23" s="275">
        <v>1</v>
      </c>
      <c r="H23" s="91"/>
      <c r="I23" s="7"/>
      <c r="J23" s="276" t="s">
        <v>3922</v>
      </c>
      <c r="K23" s="72">
        <v>6</v>
      </c>
      <c r="L23" s="275" t="s">
        <v>220</v>
      </c>
      <c r="M23" s="72">
        <v>6</v>
      </c>
      <c r="O23" s="277"/>
      <c r="P23" s="277" t="s">
        <v>385</v>
      </c>
      <c r="Q23" s="72">
        <v>6</v>
      </c>
      <c r="R23" s="278" t="s">
        <v>23</v>
      </c>
      <c r="T23" s="257">
        <f t="shared" si="4"/>
        <v>0</v>
      </c>
      <c r="U23" s="72">
        <v>6</v>
      </c>
      <c r="W23" s="277"/>
      <c r="X23" s="277"/>
      <c r="Y23" s="72"/>
      <c r="Z23" s="278"/>
      <c r="AB23" s="257">
        <f t="shared" si="2"/>
        <v>6</v>
      </c>
      <c r="AC23" s="257"/>
      <c r="AG23" s="257"/>
      <c r="AH23" s="278"/>
      <c r="AK23" s="279"/>
      <c r="AO23" s="257"/>
      <c r="AP23" s="278"/>
      <c r="AS23" s="280"/>
      <c r="AX23" s="278"/>
    </row>
    <row r="24" customHeight="1" spans="1:50">
      <c r="A24" s="234" t="s">
        <v>4013</v>
      </c>
      <c r="B24" s="234" t="s">
        <v>4014</v>
      </c>
      <c r="C24" s="275">
        <v>968422984</v>
      </c>
      <c r="D24" s="275" t="s">
        <v>8</v>
      </c>
      <c r="E24" s="289" t="s">
        <v>4015</v>
      </c>
      <c r="F24" s="275" t="s">
        <v>3927</v>
      </c>
      <c r="G24" s="275">
        <v>1</v>
      </c>
      <c r="H24" s="91"/>
      <c r="I24" s="7"/>
      <c r="J24" s="276" t="s">
        <v>3976</v>
      </c>
      <c r="K24" s="72">
        <v>4</v>
      </c>
      <c r="L24" s="275" t="s">
        <v>220</v>
      </c>
      <c r="M24" s="72"/>
      <c r="O24" s="277"/>
      <c r="P24" s="277"/>
      <c r="Q24" s="72"/>
      <c r="R24" s="278"/>
      <c r="T24" s="257">
        <f t="shared" si="4"/>
        <v>0</v>
      </c>
      <c r="U24" s="72"/>
      <c r="W24" s="277"/>
      <c r="X24" s="277"/>
      <c r="Y24" s="72"/>
      <c r="Z24" s="278"/>
      <c r="AB24" s="257">
        <f t="shared" si="2"/>
        <v>0</v>
      </c>
      <c r="AC24" s="257"/>
      <c r="AG24" s="257"/>
      <c r="AH24" s="278"/>
      <c r="AK24" s="279"/>
      <c r="AO24" s="257"/>
      <c r="AP24" s="278"/>
      <c r="AS24" s="280"/>
      <c r="AX24" s="278"/>
    </row>
    <row r="25" customHeight="1" spans="1:50">
      <c r="A25" s="234" t="s">
        <v>4016</v>
      </c>
      <c r="B25" s="234" t="s">
        <v>4017</v>
      </c>
      <c r="C25" s="275">
        <v>960587655</v>
      </c>
      <c r="D25" s="275" t="s">
        <v>8</v>
      </c>
      <c r="E25" s="7" t="s">
        <v>1116</v>
      </c>
      <c r="F25" s="7"/>
      <c r="G25" s="7"/>
      <c r="H25" s="91"/>
      <c r="I25" s="7"/>
      <c r="J25" s="276" t="s">
        <v>3922</v>
      </c>
      <c r="K25" s="72">
        <v>4</v>
      </c>
      <c r="L25" s="275" t="s">
        <v>220</v>
      </c>
      <c r="M25" s="72">
        <v>6</v>
      </c>
      <c r="O25" s="277"/>
      <c r="P25" s="281">
        <v>46030</v>
      </c>
      <c r="Q25" s="72">
        <v>6</v>
      </c>
      <c r="R25" s="278" t="s">
        <v>56</v>
      </c>
      <c r="T25" s="257">
        <f t="shared" si="4"/>
        <v>0</v>
      </c>
      <c r="U25" s="72">
        <v>6</v>
      </c>
      <c r="W25" s="277"/>
      <c r="X25" s="281"/>
      <c r="Y25" s="72"/>
      <c r="Z25" s="278"/>
      <c r="AB25" s="257">
        <f t="shared" si="2"/>
        <v>6</v>
      </c>
      <c r="AC25" s="257"/>
      <c r="AG25" s="257"/>
      <c r="AH25" s="278"/>
      <c r="AK25" s="279"/>
      <c r="AO25" s="257"/>
      <c r="AP25" s="278"/>
      <c r="AS25" s="280"/>
      <c r="AX25" s="278"/>
    </row>
    <row r="26" customHeight="1" spans="1:50">
      <c r="A26" s="234" t="s">
        <v>4018</v>
      </c>
      <c r="B26" s="234" t="s">
        <v>4019</v>
      </c>
      <c r="C26" s="7" t="s">
        <v>4020</v>
      </c>
      <c r="D26" s="275" t="s">
        <v>8</v>
      </c>
      <c r="E26" s="290" t="s">
        <v>4021</v>
      </c>
      <c r="F26" s="291" t="s">
        <v>3909</v>
      </c>
      <c r="G26" s="275">
        <v>2</v>
      </c>
      <c r="H26" s="91"/>
      <c r="I26" s="7"/>
      <c r="J26" s="276"/>
      <c r="K26" s="72">
        <v>6</v>
      </c>
      <c r="L26" s="275" t="s">
        <v>220</v>
      </c>
      <c r="M26" s="72">
        <f>6+4</f>
        <v>10</v>
      </c>
      <c r="O26" s="277"/>
      <c r="P26" s="286">
        <v>46174</v>
      </c>
      <c r="Q26" s="72">
        <v>10</v>
      </c>
      <c r="R26" s="278" t="s">
        <v>23</v>
      </c>
      <c r="T26" s="257">
        <f t="shared" si="4"/>
        <v>0</v>
      </c>
      <c r="U26" s="72">
        <v>6</v>
      </c>
      <c r="W26" s="277"/>
      <c r="X26" s="286">
        <v>46081</v>
      </c>
      <c r="Y26" s="72">
        <v>6</v>
      </c>
      <c r="Z26" s="278" t="s">
        <v>23</v>
      </c>
      <c r="AB26" s="257">
        <f t="shared" si="2"/>
        <v>0</v>
      </c>
      <c r="AC26" s="257"/>
      <c r="AG26" s="257"/>
      <c r="AH26" s="278"/>
      <c r="AK26" s="279"/>
      <c r="AO26" s="257"/>
      <c r="AP26" s="278"/>
      <c r="AS26" s="280"/>
      <c r="AX26" s="278"/>
    </row>
    <row r="27" customHeight="1" spans="1:50">
      <c r="A27" s="234" t="s">
        <v>4022</v>
      </c>
      <c r="B27" s="288" t="s">
        <v>114</v>
      </c>
      <c r="C27" s="7" t="s">
        <v>4023</v>
      </c>
      <c r="D27" s="275" t="s">
        <v>8</v>
      </c>
      <c r="E27" s="7"/>
      <c r="F27" s="7"/>
      <c r="G27" s="275" t="s">
        <v>4024</v>
      </c>
      <c r="H27" s="91"/>
      <c r="I27" s="7"/>
      <c r="J27" s="276" t="s">
        <v>3922</v>
      </c>
      <c r="K27" s="72">
        <v>498</v>
      </c>
      <c r="L27" s="275" t="s">
        <v>220</v>
      </c>
      <c r="M27" s="72">
        <v>498</v>
      </c>
      <c r="O27" s="277"/>
      <c r="P27" s="277" t="s">
        <v>385</v>
      </c>
      <c r="Q27" s="72">
        <v>498</v>
      </c>
      <c r="R27" s="278" t="s">
        <v>23</v>
      </c>
      <c r="T27" s="257">
        <f t="shared" si="4"/>
        <v>0</v>
      </c>
      <c r="U27" s="72">
        <v>498</v>
      </c>
      <c r="W27" s="277"/>
      <c r="X27" s="281">
        <v>46077</v>
      </c>
      <c r="Y27" s="72">
        <v>498</v>
      </c>
      <c r="Z27" s="278" t="s">
        <v>23</v>
      </c>
      <c r="AB27" s="257">
        <f t="shared" si="2"/>
        <v>0</v>
      </c>
      <c r="AC27" s="282">
        <v>377</v>
      </c>
      <c r="AE27" s="251">
        <v>46091</v>
      </c>
      <c r="AF27" s="251">
        <v>46090</v>
      </c>
      <c r="AG27" s="282">
        <v>377</v>
      </c>
      <c r="AH27" s="278" t="s">
        <v>23</v>
      </c>
      <c r="AK27" s="279"/>
      <c r="AO27" s="257"/>
      <c r="AP27" s="278"/>
      <c r="AS27" s="280"/>
      <c r="AX27" s="278"/>
    </row>
    <row r="28" customHeight="1" spans="1:50">
      <c r="A28" s="234"/>
      <c r="B28" s="234" t="s">
        <v>4025</v>
      </c>
      <c r="C28" s="7"/>
      <c r="D28" s="275" t="s">
        <v>3996</v>
      </c>
      <c r="E28" s="7" t="s">
        <v>4026</v>
      </c>
      <c r="F28" s="275" t="s">
        <v>3927</v>
      </c>
      <c r="G28" s="275">
        <v>1</v>
      </c>
      <c r="H28" s="91"/>
      <c r="I28" s="7"/>
      <c r="J28" s="276" t="s">
        <v>3922</v>
      </c>
      <c r="K28" s="72">
        <v>4</v>
      </c>
      <c r="L28" s="275" t="s">
        <v>220</v>
      </c>
      <c r="M28" s="72"/>
      <c r="O28" s="277"/>
      <c r="P28" s="277"/>
      <c r="Q28" s="72"/>
      <c r="R28" s="278"/>
      <c r="T28" s="257">
        <f t="shared" si="4"/>
        <v>0</v>
      </c>
      <c r="U28" s="72"/>
      <c r="W28" s="277"/>
      <c r="X28" s="277"/>
      <c r="Y28" s="72"/>
      <c r="Z28" s="278"/>
      <c r="AB28" s="257">
        <f t="shared" si="2"/>
        <v>0</v>
      </c>
      <c r="AC28" s="257"/>
      <c r="AG28" s="257"/>
      <c r="AH28" s="278"/>
      <c r="AK28" s="279"/>
      <c r="AO28" s="257"/>
      <c r="AP28" s="278"/>
      <c r="AS28" s="280"/>
      <c r="AX28" s="278"/>
    </row>
    <row r="29" customHeight="1" spans="1:50">
      <c r="A29" s="292"/>
      <c r="B29" s="293" t="s">
        <v>4027</v>
      </c>
      <c r="C29" s="292"/>
      <c r="D29" s="292" t="s">
        <v>4028</v>
      </c>
      <c r="E29" s="294" t="s">
        <v>4029</v>
      </c>
      <c r="F29" s="292" t="s">
        <v>3927</v>
      </c>
      <c r="G29" s="295">
        <v>1</v>
      </c>
      <c r="H29" s="296"/>
      <c r="I29" s="292"/>
      <c r="J29" s="297" t="s">
        <v>4030</v>
      </c>
      <c r="K29" s="296"/>
      <c r="L29" s="292"/>
      <c r="M29" s="72"/>
      <c r="O29" s="277"/>
      <c r="P29" s="277"/>
      <c r="Q29" s="72"/>
      <c r="R29" s="278"/>
      <c r="T29" s="257">
        <f t="shared" si="4"/>
        <v>0</v>
      </c>
      <c r="U29" s="72">
        <v>4</v>
      </c>
      <c r="W29" s="277"/>
      <c r="X29" s="277"/>
      <c r="Y29" s="72"/>
      <c r="Z29" s="278"/>
      <c r="AB29" s="257">
        <f t="shared" si="2"/>
        <v>4</v>
      </c>
      <c r="AC29" s="257"/>
      <c r="AG29" s="257"/>
      <c r="AH29" s="278"/>
      <c r="AK29" s="279"/>
      <c r="AO29" s="257"/>
      <c r="AP29" s="278"/>
      <c r="AS29" s="280"/>
      <c r="AX29" s="278"/>
    </row>
    <row r="30" customHeight="1" spans="1:50">
      <c r="A30" s="3"/>
      <c r="B30" s="234" t="s">
        <v>4031</v>
      </c>
      <c r="C30" s="7"/>
      <c r="D30" s="7" t="s">
        <v>4028</v>
      </c>
      <c r="E30" s="298" t="s">
        <v>4032</v>
      </c>
      <c r="F30" s="7" t="s">
        <v>3927</v>
      </c>
      <c r="G30" s="275">
        <v>1</v>
      </c>
      <c r="H30" s="91"/>
      <c r="I30" s="7"/>
      <c r="J30" s="276" t="s">
        <v>3922</v>
      </c>
      <c r="K30" s="91"/>
      <c r="L30" s="7"/>
      <c r="M30" s="72"/>
      <c r="O30" s="277"/>
      <c r="P30" s="277"/>
      <c r="Q30" s="72"/>
      <c r="R30" s="278"/>
      <c r="T30" s="257">
        <f t="shared" si="4"/>
        <v>0</v>
      </c>
      <c r="U30" s="72"/>
      <c r="W30" s="277"/>
      <c r="X30" s="277"/>
      <c r="Y30" s="72"/>
      <c r="Z30" s="278"/>
      <c r="AB30" s="257">
        <f t="shared" si="2"/>
        <v>0</v>
      </c>
      <c r="AC30" s="257"/>
      <c r="AG30" s="257"/>
      <c r="AH30" s="278"/>
      <c r="AK30" s="279"/>
      <c r="AO30" s="257"/>
      <c r="AP30" s="278"/>
      <c r="AS30" s="280"/>
      <c r="AX30" s="278"/>
    </row>
    <row r="31" customHeight="1" spans="1:50">
      <c r="A31" s="234" t="s">
        <v>4033</v>
      </c>
      <c r="B31" s="234" t="s">
        <v>4034</v>
      </c>
      <c r="C31" s="7"/>
      <c r="D31" s="7" t="s">
        <v>8</v>
      </c>
      <c r="E31" s="7" t="s">
        <v>4035</v>
      </c>
      <c r="F31" s="7" t="s">
        <v>4036</v>
      </c>
      <c r="G31" s="275">
        <v>1</v>
      </c>
      <c r="H31" s="91"/>
      <c r="I31" s="7"/>
      <c r="J31" s="276" t="s">
        <v>3922</v>
      </c>
      <c r="K31" s="91"/>
      <c r="L31" s="7"/>
      <c r="M31" s="72">
        <v>4</v>
      </c>
      <c r="O31" s="277"/>
      <c r="P31" s="281">
        <v>46041</v>
      </c>
      <c r="Q31" s="72">
        <v>4</v>
      </c>
      <c r="R31" s="278" t="s">
        <v>56</v>
      </c>
      <c r="T31" s="257">
        <f t="shared" si="4"/>
        <v>0</v>
      </c>
      <c r="U31" s="72">
        <v>4</v>
      </c>
      <c r="W31" s="277"/>
      <c r="X31" s="281">
        <v>46078</v>
      </c>
      <c r="Y31" s="72">
        <v>4</v>
      </c>
      <c r="Z31" s="278" t="s">
        <v>56</v>
      </c>
      <c r="AB31" s="257">
        <f t="shared" si="2"/>
        <v>0</v>
      </c>
      <c r="AC31" s="282">
        <f>4+5</f>
        <v>9</v>
      </c>
      <c r="AG31" s="282">
        <v>5</v>
      </c>
      <c r="AH31" s="278" t="s">
        <v>56</v>
      </c>
      <c r="AK31" s="279"/>
      <c r="AO31" s="257"/>
      <c r="AP31" s="278"/>
      <c r="AS31" s="280"/>
      <c r="AX31" s="278"/>
    </row>
    <row r="32" customHeight="1" spans="1:50">
      <c r="A32" s="234"/>
      <c r="B32" s="234" t="s">
        <v>4037</v>
      </c>
      <c r="C32" s="7"/>
      <c r="D32" s="7" t="s">
        <v>8</v>
      </c>
      <c r="E32" s="284" t="s">
        <v>4038</v>
      </c>
      <c r="F32" s="291" t="s">
        <v>4036</v>
      </c>
      <c r="G32" s="275">
        <v>1</v>
      </c>
      <c r="H32" s="91"/>
      <c r="I32" s="7"/>
      <c r="J32" s="276" t="s">
        <v>3922</v>
      </c>
      <c r="K32" s="91"/>
      <c r="L32" s="7"/>
      <c r="M32" s="72"/>
      <c r="O32" s="277"/>
      <c r="P32" s="277"/>
      <c r="Q32" s="72"/>
      <c r="R32" s="278"/>
      <c r="T32" s="257">
        <f t="shared" si="4"/>
        <v>0</v>
      </c>
      <c r="U32" s="72"/>
      <c r="W32" s="277"/>
      <c r="X32" s="277"/>
      <c r="Y32" s="72"/>
      <c r="Z32" s="278"/>
      <c r="AB32" s="257">
        <f t="shared" si="2"/>
        <v>0</v>
      </c>
      <c r="AC32" s="257"/>
      <c r="AG32" s="257"/>
      <c r="AH32" s="278"/>
      <c r="AK32" s="279"/>
      <c r="AO32" s="257"/>
      <c r="AP32" s="278"/>
      <c r="AS32" s="280"/>
      <c r="AX32" s="278"/>
    </row>
    <row r="33" customHeight="1" spans="1:52">
      <c r="A33" s="234"/>
      <c r="B33" s="234" t="s">
        <v>4039</v>
      </c>
      <c r="C33" s="7"/>
      <c r="D33" s="7" t="s">
        <v>8</v>
      </c>
      <c r="E33" s="7" t="s">
        <v>4040</v>
      </c>
      <c r="F33" s="7" t="s">
        <v>4036</v>
      </c>
      <c r="G33" s="275">
        <v>1</v>
      </c>
      <c r="H33" s="91"/>
      <c r="I33" s="7"/>
      <c r="J33" s="276" t="s">
        <v>3922</v>
      </c>
      <c r="K33" s="91">
        <v>6</v>
      </c>
      <c r="L33" s="7"/>
      <c r="M33" s="72"/>
      <c r="O33" s="277"/>
      <c r="P33" s="277"/>
      <c r="Q33" s="72"/>
      <c r="R33" s="278"/>
      <c r="T33" s="257">
        <f t="shared" si="4"/>
        <v>0</v>
      </c>
      <c r="U33" s="72">
        <v>6</v>
      </c>
      <c r="W33" s="277"/>
      <c r="X33" s="281">
        <v>46081</v>
      </c>
      <c r="Y33" s="72">
        <v>6</v>
      </c>
      <c r="Z33" s="278" t="s">
        <v>23</v>
      </c>
      <c r="AB33" s="257">
        <f t="shared" si="2"/>
        <v>0</v>
      </c>
      <c r="AC33" s="282">
        <v>6</v>
      </c>
      <c r="AE33" s="251">
        <v>46091</v>
      </c>
      <c r="AF33" s="251">
        <v>46113</v>
      </c>
      <c r="AG33" s="282">
        <v>12</v>
      </c>
      <c r="AH33" s="278" t="s">
        <v>23</v>
      </c>
      <c r="AK33" s="283">
        <v>6</v>
      </c>
      <c r="AM33" s="251">
        <v>46122</v>
      </c>
      <c r="AN33" s="251">
        <v>46113</v>
      </c>
      <c r="AO33" s="257"/>
      <c r="AP33" s="278"/>
      <c r="AR33" s="250">
        <v>0</v>
      </c>
      <c r="AS33" s="287"/>
      <c r="AT33" s="250"/>
      <c r="AU33" s="250"/>
      <c r="AV33" s="250"/>
      <c r="AW33" s="250"/>
      <c r="AX33" s="278"/>
      <c r="AY33" s="250"/>
      <c r="AZ33" s="250"/>
    </row>
    <row r="34" customHeight="1" spans="1:52">
      <c r="A34" s="234"/>
      <c r="B34" s="234"/>
      <c r="C34" s="7"/>
      <c r="D34" s="7" t="s">
        <v>4041</v>
      </c>
      <c r="E34" s="7" t="s">
        <v>4042</v>
      </c>
      <c r="F34" s="7" t="s">
        <v>3927</v>
      </c>
      <c r="G34" s="7"/>
      <c r="H34" s="91"/>
      <c r="I34" s="7"/>
      <c r="J34" s="276"/>
      <c r="K34" s="91"/>
      <c r="L34" s="7"/>
      <c r="M34" s="72"/>
      <c r="O34" s="277"/>
      <c r="P34" s="277"/>
      <c r="Q34" s="72"/>
      <c r="R34" s="278"/>
      <c r="T34" s="257">
        <f t="shared" si="4"/>
        <v>0</v>
      </c>
      <c r="U34" s="72"/>
      <c r="W34" s="277"/>
      <c r="X34" s="277"/>
      <c r="Y34" s="72"/>
      <c r="Z34" s="278"/>
      <c r="AB34" s="257">
        <f t="shared" si="2"/>
        <v>0</v>
      </c>
      <c r="AC34" s="257"/>
      <c r="AG34" s="257"/>
      <c r="AH34" s="278"/>
      <c r="AK34" s="279"/>
      <c r="AO34" s="257"/>
      <c r="AP34" s="278"/>
      <c r="AS34" s="280"/>
      <c r="AX34" s="278"/>
    </row>
    <row r="35" customHeight="1" spans="1:52">
      <c r="A35" s="234" t="s">
        <v>4043</v>
      </c>
      <c r="B35" s="299" t="s">
        <v>4044</v>
      </c>
      <c r="C35" s="7"/>
      <c r="D35" s="7" t="s">
        <v>4045</v>
      </c>
      <c r="E35" s="7" t="s">
        <v>4029</v>
      </c>
      <c r="F35" s="7" t="s">
        <v>3927</v>
      </c>
      <c r="G35" s="275">
        <v>1</v>
      </c>
      <c r="H35" s="91"/>
      <c r="I35" s="7"/>
      <c r="J35" s="276"/>
      <c r="K35" s="91"/>
      <c r="L35" s="7"/>
      <c r="M35" s="72"/>
      <c r="O35" s="277"/>
      <c r="P35" s="277"/>
      <c r="Q35" s="72"/>
      <c r="R35" s="278"/>
      <c r="T35" s="257">
        <f t="shared" si="4"/>
        <v>0</v>
      </c>
      <c r="U35" s="72"/>
      <c r="W35" s="277"/>
      <c r="X35" s="277"/>
      <c r="Y35" s="72"/>
      <c r="Z35" s="278"/>
      <c r="AB35" s="257">
        <f t="shared" si="2"/>
        <v>0</v>
      </c>
      <c r="AC35" s="257"/>
      <c r="AG35" s="257"/>
      <c r="AH35" s="278"/>
      <c r="AK35" s="279"/>
      <c r="AO35" s="257"/>
      <c r="AP35" s="278"/>
      <c r="AS35" s="280"/>
      <c r="AX35" s="278"/>
    </row>
    <row r="36" customHeight="1" spans="1:52">
      <c r="A36" s="234"/>
      <c r="B36" s="234" t="s">
        <v>4046</v>
      </c>
      <c r="C36" s="7"/>
      <c r="D36" s="7"/>
      <c r="E36" s="7" t="s">
        <v>4047</v>
      </c>
      <c r="F36" s="7" t="s">
        <v>3927</v>
      </c>
      <c r="G36" s="7"/>
      <c r="H36" s="91"/>
      <c r="I36" s="7"/>
      <c r="J36" s="276"/>
      <c r="K36" s="91"/>
      <c r="L36" s="7"/>
      <c r="M36" s="72"/>
      <c r="O36" s="277"/>
      <c r="P36" s="277"/>
      <c r="Q36" s="72"/>
      <c r="R36" s="278"/>
      <c r="T36" s="257">
        <f t="shared" si="4"/>
        <v>0</v>
      </c>
      <c r="U36" s="72"/>
      <c r="W36" s="277"/>
      <c r="X36" s="277"/>
      <c r="Y36" s="72"/>
      <c r="Z36" s="278"/>
      <c r="AB36" s="257">
        <f t="shared" si="2"/>
        <v>0</v>
      </c>
      <c r="AC36" s="257"/>
      <c r="AG36" s="257"/>
      <c r="AH36" s="278"/>
      <c r="AK36" s="279"/>
      <c r="AO36" s="257"/>
      <c r="AP36" s="278"/>
      <c r="AS36" s="280"/>
      <c r="AX36" s="278"/>
    </row>
    <row r="37" customHeight="1" spans="1:52">
      <c r="A37" s="234" t="s">
        <v>4048</v>
      </c>
      <c r="B37" s="234" t="s">
        <v>4049</v>
      </c>
      <c r="C37" s="727" t="s">
        <v>4050</v>
      </c>
      <c r="D37" s="7" t="s">
        <v>8</v>
      </c>
      <c r="E37" s="298" t="s">
        <v>4051</v>
      </c>
      <c r="F37" s="7" t="s">
        <v>4036</v>
      </c>
      <c r="G37" s="275">
        <v>1</v>
      </c>
      <c r="H37" s="91"/>
      <c r="I37" s="7"/>
      <c r="J37" s="276" t="s">
        <v>4052</v>
      </c>
      <c r="K37" s="91"/>
      <c r="L37" s="7"/>
      <c r="M37" s="72"/>
      <c r="O37" s="277"/>
      <c r="P37" s="277"/>
      <c r="Q37" s="72"/>
      <c r="R37" s="278"/>
      <c r="T37" s="257">
        <f t="shared" si="4"/>
        <v>0</v>
      </c>
      <c r="U37" s="72"/>
      <c r="W37" s="277"/>
      <c r="X37" s="277"/>
      <c r="Y37" s="72"/>
      <c r="Z37" s="278"/>
      <c r="AB37" s="257">
        <f t="shared" si="2"/>
        <v>0</v>
      </c>
      <c r="AC37" s="257"/>
      <c r="AG37" s="257"/>
      <c r="AH37" s="278"/>
      <c r="AK37" s="279"/>
      <c r="AO37" s="257"/>
      <c r="AP37" s="278"/>
      <c r="AS37" s="280"/>
      <c r="AX37" s="278"/>
    </row>
    <row r="38" customHeight="1" spans="1:52">
      <c r="A38" s="234" t="s">
        <v>4053</v>
      </c>
      <c r="B38" s="234" t="s">
        <v>4054</v>
      </c>
      <c r="C38" s="727" t="s">
        <v>4055</v>
      </c>
      <c r="D38" s="7" t="s">
        <v>8</v>
      </c>
      <c r="E38" s="7" t="s">
        <v>4056</v>
      </c>
      <c r="F38" s="7" t="s">
        <v>4036</v>
      </c>
      <c r="G38" s="275">
        <v>2</v>
      </c>
      <c r="H38" s="91"/>
      <c r="I38" s="7" t="s">
        <v>4057</v>
      </c>
      <c r="J38" s="276" t="s">
        <v>4052</v>
      </c>
      <c r="K38" s="91"/>
      <c r="L38" s="7"/>
      <c r="M38" s="72">
        <v>4</v>
      </c>
      <c r="O38" s="277"/>
      <c r="P38" s="281">
        <v>46037</v>
      </c>
      <c r="Q38" s="72">
        <v>4</v>
      </c>
      <c r="R38" s="278" t="s">
        <v>23</v>
      </c>
      <c r="T38" s="257">
        <f t="shared" si="4"/>
        <v>0</v>
      </c>
      <c r="U38" s="72">
        <v>4</v>
      </c>
      <c r="W38" s="277"/>
      <c r="X38" s="281">
        <v>46037</v>
      </c>
      <c r="Y38" s="72">
        <v>4</v>
      </c>
      <c r="Z38" s="278" t="s">
        <v>23</v>
      </c>
      <c r="AB38" s="257">
        <f t="shared" si="2"/>
        <v>0</v>
      </c>
      <c r="AC38" s="282">
        <v>4</v>
      </c>
      <c r="AE38" s="251">
        <v>46091</v>
      </c>
      <c r="AF38" s="251">
        <v>46099</v>
      </c>
      <c r="AG38" s="282">
        <v>4</v>
      </c>
      <c r="AH38" s="278" t="s">
        <v>23</v>
      </c>
      <c r="AJ38" s="257">
        <f>AC38-AG38</f>
        <v>0</v>
      </c>
      <c r="AK38" s="283">
        <v>4</v>
      </c>
      <c r="AM38" s="251">
        <v>46122</v>
      </c>
      <c r="AN38" s="251">
        <v>46122</v>
      </c>
      <c r="AO38" s="282">
        <v>4</v>
      </c>
      <c r="AP38" s="278" t="s">
        <v>23</v>
      </c>
      <c r="AS38" s="280"/>
      <c r="AX38" s="278"/>
    </row>
    <row r="39" customHeight="1" spans="1:52">
      <c r="A39" s="300" t="s">
        <v>4058</v>
      </c>
      <c r="B39" s="300" t="s">
        <v>4059</v>
      </c>
      <c r="C39" s="301"/>
      <c r="D39" s="301" t="s">
        <v>8</v>
      </c>
      <c r="E39" s="301" t="s">
        <v>4060</v>
      </c>
      <c r="F39" s="301" t="s">
        <v>4036</v>
      </c>
      <c r="G39" s="302">
        <v>1</v>
      </c>
      <c r="H39" s="303"/>
      <c r="I39" s="301"/>
      <c r="J39" s="304"/>
      <c r="K39" s="303"/>
      <c r="L39" s="301"/>
      <c r="M39" s="72">
        <v>100</v>
      </c>
      <c r="O39" s="277"/>
      <c r="P39" s="281">
        <v>46041</v>
      </c>
      <c r="Q39" s="72">
        <v>100</v>
      </c>
      <c r="R39" s="278" t="s">
        <v>23</v>
      </c>
      <c r="T39" s="257">
        <f t="shared" si="4"/>
        <v>0</v>
      </c>
      <c r="U39" s="72">
        <v>100</v>
      </c>
      <c r="W39" s="277"/>
      <c r="X39" s="281">
        <v>46041</v>
      </c>
      <c r="Y39" s="72"/>
      <c r="Z39" s="278"/>
      <c r="AB39" s="257">
        <f t="shared" si="2"/>
        <v>100</v>
      </c>
      <c r="AC39" s="257"/>
      <c r="AE39" s="251">
        <v>46094</v>
      </c>
      <c r="AF39" s="251">
        <v>46094</v>
      </c>
      <c r="AG39" s="282">
        <v>100</v>
      </c>
      <c r="AH39" s="278" t="s">
        <v>23</v>
      </c>
      <c r="AK39" s="279"/>
      <c r="AO39" s="257"/>
      <c r="AP39" s="278"/>
      <c r="AS39" s="280"/>
      <c r="AX39" s="278"/>
    </row>
    <row r="40" customHeight="1" spans="1:52">
      <c r="A40" s="1" t="s">
        <v>4061</v>
      </c>
      <c r="B40" s="1" t="s">
        <v>4062</v>
      </c>
      <c r="C40" s="60">
        <v>999235418</v>
      </c>
      <c r="D40" s="7" t="s">
        <v>4045</v>
      </c>
      <c r="E40" s="7" t="s">
        <v>4063</v>
      </c>
      <c r="F40" s="301" t="s">
        <v>4036</v>
      </c>
      <c r="G40" s="275">
        <v>1</v>
      </c>
      <c r="H40" s="91"/>
      <c r="I40" s="7"/>
      <c r="J40" s="276" t="s">
        <v>4052</v>
      </c>
      <c r="K40" s="91"/>
      <c r="L40" s="7"/>
      <c r="M40" s="72"/>
      <c r="O40" s="277"/>
      <c r="P40" s="277"/>
      <c r="Q40" s="72"/>
      <c r="R40" s="278"/>
      <c r="T40" s="257">
        <f t="shared" si="4"/>
        <v>0</v>
      </c>
      <c r="U40" s="72"/>
      <c r="W40" s="277"/>
      <c r="X40" s="277"/>
      <c r="Y40" s="72"/>
      <c r="Z40" s="278"/>
      <c r="AB40" s="257">
        <f t="shared" si="2"/>
        <v>0</v>
      </c>
      <c r="AC40" s="257"/>
      <c r="AG40" s="257"/>
      <c r="AH40" s="278"/>
      <c r="AK40" s="279"/>
      <c r="AO40" s="257"/>
      <c r="AP40" s="278"/>
      <c r="AS40" s="280"/>
      <c r="AX40" s="278"/>
    </row>
    <row r="41" customHeight="1" spans="1:52">
      <c r="A41" s="234"/>
      <c r="B41" s="305" t="s">
        <v>1579</v>
      </c>
      <c r="C41" s="7"/>
      <c r="D41" s="7"/>
      <c r="E41" s="7"/>
      <c r="F41" s="7"/>
      <c r="G41" s="7"/>
      <c r="H41" s="91"/>
      <c r="I41" s="7"/>
      <c r="J41" s="276"/>
      <c r="K41" s="91"/>
      <c r="L41" s="7"/>
      <c r="M41" s="72">
        <v>4</v>
      </c>
      <c r="O41" s="277"/>
      <c r="P41" s="281">
        <v>46043</v>
      </c>
      <c r="Q41" s="72">
        <v>8</v>
      </c>
      <c r="R41" s="278" t="s">
        <v>35</v>
      </c>
      <c r="T41" s="257">
        <f t="shared" si="4"/>
        <v>-4</v>
      </c>
      <c r="U41" s="72">
        <v>4</v>
      </c>
      <c r="W41" s="277"/>
      <c r="X41" s="281">
        <v>46043</v>
      </c>
      <c r="Y41" s="72"/>
      <c r="Z41" s="278"/>
      <c r="AB41" s="250">
        <v>0</v>
      </c>
      <c r="AC41" s="282">
        <v>4</v>
      </c>
      <c r="AE41" s="251">
        <v>46091</v>
      </c>
      <c r="AF41" s="251">
        <v>46088</v>
      </c>
      <c r="AG41" s="282">
        <v>8</v>
      </c>
      <c r="AH41" s="278" t="s">
        <v>35</v>
      </c>
      <c r="AJ41" s="257">
        <f>AC41-AG41</f>
        <v>-4</v>
      </c>
      <c r="AK41" s="279"/>
      <c r="AO41" s="257"/>
      <c r="AP41" s="278"/>
      <c r="AS41" s="280"/>
      <c r="AX41" s="278"/>
    </row>
    <row r="42" customHeight="1" spans="1:52">
      <c r="A42" s="300" t="s">
        <v>4064</v>
      </c>
      <c r="B42" s="300" t="s">
        <v>4065</v>
      </c>
      <c r="C42" s="301"/>
      <c r="D42" s="301" t="s">
        <v>8</v>
      </c>
      <c r="E42" s="301" t="s">
        <v>4066</v>
      </c>
      <c r="F42" s="301" t="s">
        <v>4036</v>
      </c>
      <c r="G42" s="302">
        <v>2</v>
      </c>
      <c r="H42" s="303"/>
      <c r="I42" s="301" t="s">
        <v>4067</v>
      </c>
      <c r="J42" s="304"/>
      <c r="K42" s="303"/>
      <c r="L42" s="301"/>
      <c r="M42" s="72"/>
      <c r="O42" s="277"/>
      <c r="P42" s="277"/>
      <c r="Q42" s="72"/>
      <c r="R42" s="278"/>
      <c r="T42" s="257">
        <f t="shared" si="4"/>
        <v>0</v>
      </c>
      <c r="U42" s="72"/>
      <c r="W42" s="277"/>
      <c r="X42" s="277"/>
      <c r="Y42" s="72"/>
      <c r="Z42" s="278"/>
      <c r="AB42" s="257">
        <f t="shared" ref="AB42:AB50" si="5">U42-Y42</f>
        <v>0</v>
      </c>
      <c r="AC42" s="257"/>
      <c r="AG42" s="257"/>
      <c r="AH42" s="278"/>
      <c r="AK42" s="279"/>
      <c r="AO42" s="257"/>
      <c r="AP42" s="278"/>
      <c r="AS42" s="280"/>
      <c r="AX42" s="278"/>
    </row>
    <row r="43" customHeight="1" spans="1:52">
      <c r="A43" s="7" t="s">
        <v>4068</v>
      </c>
      <c r="B43" s="7" t="s">
        <v>4069</v>
      </c>
      <c r="C43" s="727" t="s">
        <v>4070</v>
      </c>
      <c r="D43" s="7" t="s">
        <v>8</v>
      </c>
      <c r="E43" s="298" t="s">
        <v>4071</v>
      </c>
      <c r="F43" s="7" t="s">
        <v>4036</v>
      </c>
      <c r="G43" s="275">
        <v>1</v>
      </c>
      <c r="H43" s="91"/>
      <c r="I43" s="7"/>
      <c r="J43" s="276"/>
      <c r="K43" s="91"/>
      <c r="L43" s="7"/>
      <c r="M43" s="72"/>
      <c r="O43" s="277"/>
      <c r="P43" s="277"/>
      <c r="Q43" s="72"/>
      <c r="R43" s="278"/>
      <c r="T43" s="257">
        <f t="shared" si="4"/>
        <v>0</v>
      </c>
      <c r="U43" s="72"/>
      <c r="W43" s="277"/>
      <c r="X43" s="277"/>
      <c r="Y43" s="72"/>
      <c r="Z43" s="278"/>
      <c r="AB43" s="257">
        <f t="shared" si="5"/>
        <v>0</v>
      </c>
      <c r="AC43" s="282">
        <v>4</v>
      </c>
      <c r="AE43" s="251">
        <v>46120</v>
      </c>
      <c r="AF43" s="251">
        <v>46120</v>
      </c>
      <c r="AG43" s="282">
        <v>4</v>
      </c>
      <c r="AH43" s="278" t="s">
        <v>23</v>
      </c>
      <c r="AK43" s="283">
        <v>4</v>
      </c>
      <c r="AM43" s="251">
        <v>46122</v>
      </c>
      <c r="AN43" s="251">
        <v>46120</v>
      </c>
      <c r="AO43" s="282">
        <v>4</v>
      </c>
      <c r="AP43" s="278" t="s">
        <v>23</v>
      </c>
      <c r="AS43" s="280"/>
      <c r="AX43" s="278"/>
    </row>
    <row r="44" customHeight="1" spans="1:52">
      <c r="A44" s="306" t="s">
        <v>4072</v>
      </c>
      <c r="B44" s="306" t="s">
        <v>4073</v>
      </c>
      <c r="C44" s="307"/>
      <c r="D44" s="307"/>
      <c r="E44" s="307" t="s">
        <v>4074</v>
      </c>
      <c r="F44" s="307"/>
      <c r="G44" s="307"/>
      <c r="H44" s="308"/>
      <c r="I44" s="307"/>
      <c r="J44" s="309"/>
      <c r="K44" s="308"/>
      <c r="L44" s="307"/>
      <c r="M44" s="72"/>
      <c r="O44" s="277"/>
      <c r="P44" s="277"/>
      <c r="T44" s="257">
        <f t="shared" si="4"/>
        <v>0</v>
      </c>
      <c r="U44" s="72"/>
      <c r="W44" s="277"/>
      <c r="X44" s="277"/>
      <c r="Z44" s="278"/>
      <c r="AB44" s="257">
        <f t="shared" si="5"/>
        <v>0</v>
      </c>
      <c r="AC44" s="257"/>
      <c r="AG44" s="257"/>
      <c r="AH44" s="278"/>
      <c r="AK44" s="279"/>
      <c r="AO44" s="257"/>
      <c r="AP44" s="278"/>
      <c r="AS44" s="280"/>
      <c r="AX44" s="278"/>
    </row>
    <row r="45" customHeight="1" spans="1:52">
      <c r="A45" s="234" t="s">
        <v>4075</v>
      </c>
      <c r="B45" s="234" t="s">
        <v>4076</v>
      </c>
      <c r="C45" s="7"/>
      <c r="D45" s="7"/>
      <c r="E45" s="7"/>
      <c r="F45" s="7"/>
      <c r="G45" s="7"/>
      <c r="H45" s="91"/>
      <c r="I45" s="7"/>
      <c r="J45" s="276"/>
      <c r="K45" s="91"/>
      <c r="L45" s="7"/>
      <c r="M45" s="72"/>
      <c r="O45" s="277"/>
      <c r="P45" s="277"/>
      <c r="T45" s="257">
        <f t="shared" si="4"/>
        <v>0</v>
      </c>
      <c r="U45" s="72"/>
      <c r="W45" s="277"/>
      <c r="X45" s="277"/>
      <c r="Z45" s="278"/>
      <c r="AB45" s="257">
        <f t="shared" si="5"/>
        <v>0</v>
      </c>
      <c r="AC45" s="257"/>
      <c r="AG45" s="257"/>
      <c r="AH45" s="278"/>
      <c r="AK45" s="279"/>
      <c r="AO45" s="257"/>
      <c r="AP45" s="278"/>
      <c r="AS45" s="280"/>
      <c r="AX45" s="278"/>
    </row>
    <row r="46" customHeight="1" spans="1:52">
      <c r="A46" s="234" t="s">
        <v>4077</v>
      </c>
      <c r="B46" s="234" t="s">
        <v>4078</v>
      </c>
      <c r="C46" s="7"/>
      <c r="D46" s="7"/>
      <c r="E46" s="7"/>
      <c r="F46" s="7"/>
      <c r="G46" s="7"/>
      <c r="H46" s="91"/>
      <c r="I46" s="7"/>
      <c r="J46" s="276"/>
      <c r="K46" s="91"/>
      <c r="L46" s="7"/>
      <c r="O46" s="277"/>
      <c r="P46" s="277"/>
      <c r="T46" s="257">
        <f t="shared" si="4"/>
        <v>0</v>
      </c>
      <c r="W46" s="277"/>
      <c r="X46" s="277"/>
      <c r="Z46" s="278"/>
      <c r="AB46" s="254">
        <f t="shared" si="5"/>
        <v>0</v>
      </c>
      <c r="AC46" s="257"/>
      <c r="AG46" s="257"/>
      <c r="AH46" s="278"/>
      <c r="AK46" s="279"/>
      <c r="AO46" s="257"/>
      <c r="AP46" s="278"/>
      <c r="AS46" s="280"/>
      <c r="AX46" s="278"/>
    </row>
    <row r="47" customHeight="1" spans="1:52">
      <c r="A47" s="234" t="s">
        <v>4077</v>
      </c>
      <c r="B47" s="234" t="s">
        <v>4079</v>
      </c>
      <c r="C47" s="222" t="s">
        <v>4080</v>
      </c>
      <c r="D47" s="7" t="s">
        <v>8</v>
      </c>
      <c r="E47" s="7"/>
      <c r="F47" s="7"/>
      <c r="G47" s="7">
        <v>35</v>
      </c>
      <c r="H47" s="91"/>
      <c r="I47" s="7"/>
      <c r="J47" s="276" t="s">
        <v>201</v>
      </c>
      <c r="K47" s="91">
        <v>100</v>
      </c>
      <c r="L47" s="7"/>
      <c r="O47" s="277"/>
      <c r="P47" s="277"/>
      <c r="T47" s="257">
        <f t="shared" si="4"/>
        <v>0</v>
      </c>
      <c r="U47" s="282">
        <v>300</v>
      </c>
      <c r="W47" s="277"/>
      <c r="X47" s="281">
        <v>46056</v>
      </c>
      <c r="Y47" s="282">
        <f>100+100+100</f>
        <v>300</v>
      </c>
      <c r="Z47" s="278" t="s">
        <v>23</v>
      </c>
      <c r="AB47" s="257">
        <f t="shared" si="5"/>
        <v>0</v>
      </c>
      <c r="AC47" s="282">
        <v>200</v>
      </c>
      <c r="AE47" s="251">
        <v>46091</v>
      </c>
      <c r="AF47" s="251">
        <v>46089</v>
      </c>
      <c r="AG47" s="282">
        <v>200</v>
      </c>
      <c r="AH47" s="278" t="s">
        <v>23</v>
      </c>
      <c r="AK47" s="279"/>
      <c r="AO47" s="257"/>
      <c r="AP47" s="278"/>
      <c r="AS47" s="280"/>
      <c r="AX47" s="278"/>
    </row>
    <row r="48" customHeight="1" spans="1:52">
      <c r="A48" s="234" t="s">
        <v>4081</v>
      </c>
      <c r="B48" s="234" t="s">
        <v>4082</v>
      </c>
      <c r="C48" s="7"/>
      <c r="D48" s="7"/>
      <c r="E48" s="7" t="s">
        <v>4083</v>
      </c>
      <c r="F48" s="7"/>
      <c r="G48" s="7">
        <v>1</v>
      </c>
      <c r="H48" s="91"/>
      <c r="I48" s="7" t="s">
        <v>4084</v>
      </c>
      <c r="J48" s="276"/>
      <c r="K48" s="91"/>
      <c r="L48" s="7"/>
      <c r="O48" s="277"/>
      <c r="P48" s="277"/>
      <c r="T48" s="257">
        <f t="shared" si="4"/>
        <v>0</v>
      </c>
      <c r="W48" s="277"/>
      <c r="X48" s="277"/>
      <c r="Z48" s="278"/>
      <c r="AB48" s="254">
        <f t="shared" si="5"/>
        <v>0</v>
      </c>
      <c r="AC48" s="257"/>
      <c r="AG48" s="257"/>
      <c r="AH48" s="278"/>
      <c r="AK48" s="279"/>
      <c r="AO48" s="257"/>
      <c r="AP48" s="278"/>
      <c r="AS48" s="280"/>
      <c r="AX48" s="278"/>
    </row>
    <row r="49" customHeight="1" spans="1:50">
      <c r="A49" s="234" t="s">
        <v>4085</v>
      </c>
      <c r="B49" s="234" t="s">
        <v>4086</v>
      </c>
      <c r="C49" s="7"/>
      <c r="D49" s="7"/>
      <c r="E49" s="7" t="s">
        <v>4087</v>
      </c>
      <c r="F49" s="7" t="s">
        <v>4088</v>
      </c>
      <c r="G49" s="7">
        <v>1</v>
      </c>
      <c r="H49" s="91"/>
      <c r="I49" s="7" t="s">
        <v>4089</v>
      </c>
      <c r="J49" s="276"/>
      <c r="K49" s="91"/>
      <c r="L49" s="7"/>
      <c r="O49" s="277"/>
      <c r="P49" s="277"/>
      <c r="T49" s="257">
        <f t="shared" si="4"/>
        <v>0</v>
      </c>
      <c r="W49" s="277"/>
      <c r="X49" s="277"/>
      <c r="Z49" s="278"/>
      <c r="AB49" s="254">
        <f t="shared" si="5"/>
        <v>0</v>
      </c>
      <c r="AC49" s="257"/>
      <c r="AG49" s="257"/>
      <c r="AH49" s="278"/>
      <c r="AK49" s="279"/>
      <c r="AO49" s="257"/>
      <c r="AP49" s="278"/>
      <c r="AS49" s="280"/>
      <c r="AX49" s="278"/>
    </row>
    <row r="50" customHeight="1" spans="1:50">
      <c r="A50" s="234" t="s">
        <v>4090</v>
      </c>
      <c r="B50" s="234" t="s">
        <v>4091</v>
      </c>
      <c r="C50" s="7"/>
      <c r="D50" s="7"/>
      <c r="E50" s="234" t="s">
        <v>4092</v>
      </c>
      <c r="F50" s="7" t="s">
        <v>4088</v>
      </c>
      <c r="G50" s="7">
        <v>1</v>
      </c>
      <c r="H50" s="91"/>
      <c r="I50" s="7"/>
      <c r="J50" s="276"/>
      <c r="K50" s="91"/>
      <c r="L50" s="7"/>
      <c r="O50" s="277"/>
      <c r="P50" s="277"/>
      <c r="T50" s="257">
        <f t="shared" si="4"/>
        <v>0</v>
      </c>
      <c r="U50" s="250">
        <v>4</v>
      </c>
      <c r="W50" s="277"/>
      <c r="X50" s="281">
        <v>46073</v>
      </c>
      <c r="Y50" s="250">
        <v>4</v>
      </c>
      <c r="Z50" s="278" t="s">
        <v>35</v>
      </c>
      <c r="AB50" s="254">
        <f t="shared" si="5"/>
        <v>0</v>
      </c>
      <c r="AC50" s="257"/>
      <c r="AG50" s="257"/>
      <c r="AH50" s="278"/>
      <c r="AK50" s="279"/>
      <c r="AO50" s="257"/>
      <c r="AP50" s="278"/>
      <c r="AS50" s="280"/>
      <c r="AX50" s="278"/>
    </row>
    <row r="51" customHeight="1" spans="1:50">
      <c r="A51" s="234" t="s">
        <v>4093</v>
      </c>
      <c r="B51" s="234" t="s">
        <v>4094</v>
      </c>
      <c r="C51" s="7"/>
      <c r="D51" s="7"/>
      <c r="E51" s="7"/>
      <c r="F51" s="7"/>
      <c r="G51" s="7"/>
      <c r="H51" s="91"/>
      <c r="I51" s="7"/>
      <c r="J51" s="276" t="s">
        <v>201</v>
      </c>
      <c r="K51" s="91">
        <v>6</v>
      </c>
      <c r="L51" s="7" t="s">
        <v>220</v>
      </c>
      <c r="O51" s="277"/>
      <c r="P51" s="277"/>
      <c r="T51" s="257">
        <f t="shared" si="4"/>
        <v>0</v>
      </c>
      <c r="W51" s="277"/>
      <c r="X51" s="277"/>
      <c r="AB51" s="250">
        <v>6</v>
      </c>
      <c r="AC51" s="257"/>
      <c r="AE51" s="251">
        <v>46091</v>
      </c>
      <c r="AF51" s="251">
        <v>46085</v>
      </c>
      <c r="AG51" s="282">
        <v>6</v>
      </c>
      <c r="AH51" s="278" t="s">
        <v>56</v>
      </c>
      <c r="AK51" s="283">
        <v>6</v>
      </c>
      <c r="AM51" s="251">
        <v>46122</v>
      </c>
      <c r="AN51" s="251">
        <v>46122</v>
      </c>
      <c r="AO51" s="282">
        <v>6</v>
      </c>
      <c r="AP51" s="278" t="s">
        <v>56</v>
      </c>
      <c r="AS51" s="287">
        <v>6</v>
      </c>
      <c r="AU51" s="251">
        <v>46148</v>
      </c>
      <c r="AV51" s="251">
        <v>46148</v>
      </c>
      <c r="AW51" s="250">
        <v>6</v>
      </c>
      <c r="AX51" s="278" t="s">
        <v>56</v>
      </c>
    </row>
    <row r="52" customHeight="1" spans="1:50">
      <c r="A52" s="234" t="s">
        <v>4095</v>
      </c>
      <c r="B52" s="234" t="s">
        <v>4096</v>
      </c>
      <c r="C52" s="7"/>
      <c r="D52" s="7" t="s">
        <v>4097</v>
      </c>
      <c r="E52" s="7" t="s">
        <v>4098</v>
      </c>
      <c r="F52" s="7" t="s">
        <v>4099</v>
      </c>
      <c r="G52" s="7">
        <v>1</v>
      </c>
      <c r="H52" s="91"/>
      <c r="I52" s="7"/>
      <c r="J52" s="276" t="s">
        <v>201</v>
      </c>
      <c r="K52" s="91"/>
      <c r="L52" s="7"/>
      <c r="O52" s="277"/>
      <c r="P52" s="277"/>
      <c r="W52" s="277"/>
      <c r="X52" s="277"/>
      <c r="AC52" s="257"/>
      <c r="AK52" s="283">
        <v>44.8</v>
      </c>
      <c r="AM52" s="251">
        <v>46124</v>
      </c>
      <c r="AN52" s="251">
        <v>46124</v>
      </c>
      <c r="AO52" s="282">
        <v>44.8</v>
      </c>
      <c r="AP52" s="278" t="s">
        <v>23</v>
      </c>
      <c r="AS52" s="280"/>
      <c r="AX52" s="278"/>
    </row>
    <row r="53" customHeight="1" spans="1:50">
      <c r="A53" s="234"/>
      <c r="B53" s="234"/>
      <c r="C53" s="7"/>
      <c r="D53" s="7"/>
      <c r="E53" s="7"/>
      <c r="F53" s="7"/>
      <c r="G53" s="7"/>
      <c r="H53" s="91"/>
      <c r="I53" s="7"/>
      <c r="J53" s="276"/>
      <c r="K53" s="91"/>
      <c r="L53" s="7"/>
      <c r="O53" s="277"/>
      <c r="P53" s="277"/>
      <c r="W53" s="277"/>
      <c r="X53" s="277"/>
      <c r="AK53" s="279"/>
      <c r="AO53" s="257"/>
      <c r="AP53" s="278"/>
      <c r="AS53" s="280"/>
      <c r="AX53" s="278"/>
    </row>
    <row r="54" customHeight="1" spans="1:50">
      <c r="A54" s="234"/>
      <c r="B54" s="234"/>
      <c r="C54" s="7"/>
      <c r="D54" s="7"/>
      <c r="E54" s="7"/>
      <c r="F54" s="7"/>
      <c r="G54" s="7"/>
      <c r="H54" s="91"/>
      <c r="I54" s="7"/>
      <c r="J54" s="276"/>
      <c r="K54" s="91"/>
      <c r="L54" s="7"/>
      <c r="O54" s="277"/>
      <c r="P54" s="277"/>
      <c r="W54" s="277"/>
      <c r="X54" s="277"/>
      <c r="AK54" s="280"/>
      <c r="AO54" s="257"/>
      <c r="AP54" s="278"/>
      <c r="AS54" s="280"/>
      <c r="AX54" s="278"/>
    </row>
    <row r="55" customHeight="1" spans="1:50">
      <c r="A55" s="234"/>
      <c r="B55" s="234"/>
      <c r="C55" s="7"/>
      <c r="D55" s="7"/>
      <c r="E55" s="7"/>
      <c r="F55" s="7"/>
      <c r="G55" s="7"/>
      <c r="H55" s="91"/>
      <c r="I55" s="7"/>
      <c r="J55" s="276"/>
      <c r="K55" s="91"/>
      <c r="L55" s="7"/>
      <c r="O55" s="277"/>
      <c r="P55" s="277"/>
      <c r="W55" s="277"/>
      <c r="X55" s="277"/>
      <c r="AK55" s="280"/>
      <c r="AO55" s="257"/>
      <c r="AP55" s="278"/>
      <c r="AS55" s="280"/>
      <c r="AX55" s="278"/>
    </row>
    <row r="56" customHeight="1" spans="1:50">
      <c r="A56" s="234"/>
      <c r="B56" s="234"/>
      <c r="C56" s="7"/>
      <c r="D56" s="7"/>
      <c r="E56" s="7"/>
      <c r="F56" s="7"/>
      <c r="G56" s="7"/>
      <c r="H56" s="91"/>
      <c r="I56" s="7"/>
      <c r="J56" s="276"/>
      <c r="K56" s="91"/>
      <c r="L56" s="7"/>
      <c r="O56" s="277"/>
      <c r="P56" s="277"/>
      <c r="W56" s="277"/>
      <c r="X56" s="277"/>
      <c r="AK56" s="280"/>
      <c r="AO56" s="257"/>
      <c r="AP56" s="278"/>
      <c r="AS56" s="280"/>
      <c r="AX56" s="278"/>
    </row>
    <row r="57" customHeight="1" spans="1:50">
      <c r="H57" s="91"/>
      <c r="I57" s="7"/>
      <c r="J57" s="276"/>
      <c r="K57" s="91"/>
      <c r="L57" s="7"/>
      <c r="O57" s="277"/>
      <c r="P57" s="277"/>
      <c r="W57" s="277"/>
      <c r="X57" s="277"/>
      <c r="AK57" s="280"/>
      <c r="AO57" s="257"/>
      <c r="AP57" s="278"/>
      <c r="AS57" s="280"/>
      <c r="AX57" s="278"/>
    </row>
    <row r="58" customHeight="1" spans="1:50">
      <c r="H58" s="91"/>
      <c r="I58" s="7"/>
      <c r="J58" s="276"/>
      <c r="K58" s="91"/>
      <c r="L58" s="7"/>
      <c r="O58" s="277"/>
      <c r="P58" s="277"/>
      <c r="W58" s="277"/>
      <c r="X58" s="277"/>
      <c r="AK58" s="280"/>
      <c r="AO58" s="257"/>
      <c r="AP58" s="278"/>
      <c r="AS58" s="280"/>
      <c r="AX58" s="278"/>
    </row>
    <row r="59" customHeight="1" spans="1:50">
      <c r="H59" s="91"/>
      <c r="I59" s="7"/>
      <c r="J59" s="276"/>
      <c r="K59" s="91"/>
      <c r="L59" s="7"/>
      <c r="O59" s="277"/>
      <c r="P59" s="277"/>
      <c r="W59" s="277"/>
      <c r="X59" s="277"/>
      <c r="AK59" s="280"/>
      <c r="AO59" s="257"/>
      <c r="AP59" s="278"/>
      <c r="AS59" s="280"/>
      <c r="AX59" s="278"/>
    </row>
    <row r="60" customHeight="1" spans="1:50">
      <c r="H60" s="91"/>
      <c r="I60" s="7"/>
      <c r="J60" s="276"/>
      <c r="K60" s="91"/>
      <c r="L60" s="7"/>
      <c r="O60" s="277"/>
      <c r="P60" s="277"/>
      <c r="W60" s="277"/>
      <c r="X60" s="277"/>
      <c r="AK60" s="280"/>
      <c r="AS60" s="280"/>
      <c r="AX60" s="278"/>
    </row>
    <row r="61" customHeight="1" spans="1:50">
      <c r="H61" s="91"/>
      <c r="I61" s="7"/>
      <c r="J61" s="276"/>
      <c r="K61" s="91"/>
      <c r="L61" s="7"/>
      <c r="O61" s="277"/>
      <c r="P61" s="277"/>
      <c r="W61" s="277"/>
      <c r="X61" s="277"/>
      <c r="AK61" s="280"/>
      <c r="AS61" s="280"/>
      <c r="AX61" s="278"/>
    </row>
    <row r="62" customHeight="1" spans="1:50">
      <c r="H62" s="91"/>
      <c r="I62" s="7"/>
      <c r="J62" s="276"/>
      <c r="K62" s="91"/>
      <c r="L62" s="7"/>
      <c r="O62" s="277"/>
      <c r="P62" s="277"/>
      <c r="W62" s="277"/>
      <c r="X62" s="277"/>
      <c r="AK62" s="280"/>
      <c r="AS62" s="280"/>
      <c r="AX62" s="278"/>
    </row>
    <row r="63" customHeight="1" spans="1:50">
      <c r="H63" s="91"/>
      <c r="I63" s="7"/>
      <c r="J63" s="276"/>
      <c r="K63" s="91"/>
      <c r="L63" s="7"/>
      <c r="O63" s="277"/>
      <c r="P63" s="277"/>
      <c r="W63" s="277"/>
      <c r="X63" s="277"/>
      <c r="AK63" s="280"/>
      <c r="AS63" s="280"/>
      <c r="AX63" s="278"/>
    </row>
    <row r="64" customHeight="1" spans="1:50">
      <c r="H64" s="91"/>
      <c r="I64" s="7"/>
      <c r="J64" s="276"/>
      <c r="K64" s="91"/>
      <c r="L64" s="7"/>
      <c r="O64" s="277"/>
      <c r="P64" s="277"/>
      <c r="W64" s="277"/>
      <c r="X64" s="277"/>
      <c r="AK64" s="280"/>
      <c r="AS64" s="280"/>
      <c r="AX64" s="278"/>
    </row>
    <row r="65" customHeight="1" spans="8:50">
      <c r="H65" s="91"/>
      <c r="I65" s="7"/>
      <c r="J65" s="276"/>
      <c r="K65" s="91"/>
      <c r="L65" s="7"/>
      <c r="O65" s="277"/>
      <c r="P65" s="277"/>
      <c r="W65" s="277"/>
      <c r="X65" s="277"/>
      <c r="AK65" s="280"/>
      <c r="AS65" s="280"/>
      <c r="AX65" s="278"/>
    </row>
    <row r="66" customHeight="1" spans="8:50">
      <c r="H66" s="91"/>
      <c r="I66" s="7"/>
      <c r="J66" s="276"/>
      <c r="K66" s="91"/>
      <c r="L66" s="7"/>
      <c r="O66" s="277"/>
      <c r="P66" s="277"/>
      <c r="W66" s="277"/>
      <c r="X66" s="277"/>
      <c r="AK66" s="280"/>
      <c r="AS66" s="280"/>
      <c r="AX66" s="278"/>
    </row>
    <row r="67" customHeight="1" spans="8:50">
      <c r="H67" s="91"/>
      <c r="I67" s="7"/>
      <c r="J67" s="276"/>
      <c r="K67" s="91"/>
      <c r="L67" s="7"/>
      <c r="O67" s="277"/>
      <c r="P67" s="277"/>
      <c r="W67" s="277"/>
      <c r="X67" s="277"/>
      <c r="AK67" s="280"/>
      <c r="AS67" s="280"/>
      <c r="AX67" s="278"/>
    </row>
    <row r="68" customHeight="1" spans="8:50">
      <c r="H68" s="91"/>
      <c r="I68" s="7"/>
      <c r="J68" s="276"/>
      <c r="K68" s="91"/>
      <c r="L68" s="7"/>
      <c r="O68" s="277"/>
      <c r="P68" s="277"/>
      <c r="W68" s="277"/>
      <c r="X68" s="277"/>
      <c r="AK68" s="280"/>
      <c r="AS68" s="280"/>
      <c r="AX68" s="278"/>
    </row>
    <row r="69" customHeight="1" spans="8:50">
      <c r="H69" s="91"/>
      <c r="I69" s="7"/>
      <c r="J69" s="276"/>
      <c r="K69" s="91"/>
      <c r="L69" s="7"/>
      <c r="O69" s="277"/>
      <c r="P69" s="277"/>
      <c r="W69" s="277"/>
      <c r="X69" s="277"/>
      <c r="AK69" s="280"/>
      <c r="AS69" s="280"/>
      <c r="AX69" s="278"/>
    </row>
    <row r="70" customHeight="1" spans="8:50">
      <c r="H70" s="91"/>
      <c r="I70" s="7"/>
      <c r="J70" s="276"/>
      <c r="K70" s="91"/>
      <c r="L70" s="7"/>
      <c r="O70" s="277"/>
      <c r="P70" s="277"/>
      <c r="W70" s="277"/>
      <c r="X70" s="277"/>
      <c r="AK70" s="280"/>
      <c r="AS70" s="280"/>
      <c r="AX70" s="278"/>
    </row>
    <row r="71" customHeight="1" spans="8:50">
      <c r="H71" s="91"/>
      <c r="I71" s="7"/>
      <c r="J71" s="276"/>
      <c r="K71" s="91"/>
      <c r="L71" s="7"/>
      <c r="O71" s="277"/>
      <c r="P71" s="277"/>
      <c r="W71" s="277"/>
      <c r="X71" s="277"/>
      <c r="AK71" s="280"/>
      <c r="AS71" s="280"/>
      <c r="AX71" s="278"/>
    </row>
    <row r="72" customHeight="1" spans="8:50">
      <c r="H72" s="91"/>
      <c r="I72" s="7"/>
      <c r="J72" s="276"/>
      <c r="K72" s="91"/>
      <c r="L72" s="7"/>
      <c r="O72" s="277"/>
      <c r="P72" s="277"/>
      <c r="W72" s="277"/>
      <c r="X72" s="277"/>
      <c r="AK72" s="280"/>
      <c r="AS72" s="280"/>
      <c r="AX72" s="278"/>
    </row>
    <row r="73" customHeight="1" spans="8:50">
      <c r="H73" s="91"/>
      <c r="I73" s="7"/>
      <c r="J73" s="276"/>
      <c r="K73" s="91"/>
      <c r="L73" s="7"/>
      <c r="O73" s="277"/>
      <c r="P73" s="277"/>
      <c r="W73" s="277"/>
      <c r="X73" s="277"/>
      <c r="AK73" s="280"/>
      <c r="AS73" s="280"/>
      <c r="AX73" s="278"/>
    </row>
    <row r="74" customHeight="1" spans="8:50">
      <c r="H74" s="91"/>
      <c r="I74" s="7"/>
      <c r="J74" s="276"/>
      <c r="K74" s="91"/>
      <c r="L74" s="7"/>
      <c r="O74" s="277"/>
      <c r="P74" s="277"/>
      <c r="W74" s="277"/>
      <c r="X74" s="277"/>
      <c r="AK74" s="280"/>
      <c r="AS74" s="280"/>
      <c r="AX74" s="278"/>
    </row>
    <row r="75" customHeight="1" spans="8:50">
      <c r="H75" s="91"/>
      <c r="I75" s="7"/>
      <c r="J75" s="276"/>
      <c r="K75" s="91"/>
      <c r="L75" s="7"/>
      <c r="O75" s="277"/>
      <c r="P75" s="277"/>
      <c r="W75" s="277"/>
      <c r="X75" s="277"/>
      <c r="AK75" s="280"/>
      <c r="AS75" s="280"/>
      <c r="AX75" s="278"/>
    </row>
    <row r="76" customHeight="1" spans="8:50">
      <c r="H76" s="91"/>
      <c r="I76" s="7"/>
      <c r="J76" s="276"/>
      <c r="K76" s="91"/>
      <c r="L76" s="7"/>
      <c r="O76" s="277"/>
      <c r="P76" s="277"/>
      <c r="W76" s="277"/>
      <c r="X76" s="277"/>
      <c r="AK76" s="280"/>
      <c r="AS76" s="280"/>
      <c r="AX76" s="278"/>
    </row>
    <row r="77" customHeight="1" spans="8:50">
      <c r="H77" s="91"/>
      <c r="I77" s="7"/>
      <c r="J77" s="276"/>
      <c r="K77" s="91"/>
      <c r="L77" s="7"/>
      <c r="O77" s="277"/>
      <c r="P77" s="277"/>
      <c r="W77" s="277"/>
      <c r="X77" s="277"/>
      <c r="AK77" s="280"/>
      <c r="AS77" s="280"/>
      <c r="AX77" s="278"/>
    </row>
    <row r="78" customHeight="1" spans="8:50">
      <c r="H78" s="91"/>
      <c r="I78" s="7"/>
      <c r="J78" s="276"/>
      <c r="K78" s="91"/>
      <c r="L78" s="7"/>
      <c r="O78" s="277"/>
      <c r="P78" s="277"/>
      <c r="W78" s="277"/>
      <c r="X78" s="277"/>
      <c r="AK78" s="280"/>
      <c r="AS78" s="280"/>
      <c r="AX78" s="278"/>
    </row>
    <row r="79" customHeight="1" spans="8:50">
      <c r="H79" s="91"/>
      <c r="I79" s="7"/>
      <c r="J79" s="276"/>
      <c r="K79" s="91"/>
      <c r="L79" s="7"/>
      <c r="O79" s="277"/>
      <c r="P79" s="277"/>
      <c r="W79" s="277"/>
      <c r="X79" s="277"/>
      <c r="AK79" s="280"/>
      <c r="AS79" s="280"/>
      <c r="AX79" s="278"/>
    </row>
    <row r="80" customHeight="1" spans="8:50">
      <c r="H80" s="91"/>
      <c r="I80" s="7"/>
      <c r="J80" s="276"/>
      <c r="K80" s="91"/>
      <c r="L80" s="7"/>
      <c r="O80" s="277"/>
      <c r="P80" s="277"/>
      <c r="W80" s="277"/>
      <c r="X80" s="277"/>
      <c r="AK80" s="280"/>
      <c r="AS80" s="280"/>
      <c r="AX80" s="278"/>
    </row>
    <row r="81" customHeight="1" spans="8:50">
      <c r="H81" s="91"/>
      <c r="I81" s="7"/>
      <c r="J81" s="276"/>
      <c r="K81" s="91"/>
      <c r="L81" s="7"/>
      <c r="O81" s="277"/>
      <c r="P81" s="277"/>
      <c r="W81" s="277"/>
      <c r="X81" s="277"/>
      <c r="AK81" s="280"/>
      <c r="AS81" s="280"/>
      <c r="AX81" s="278"/>
    </row>
    <row r="82" customHeight="1" spans="8:50">
      <c r="H82" s="91"/>
      <c r="I82" s="7"/>
      <c r="J82" s="276"/>
      <c r="K82" s="91"/>
      <c r="L82" s="7"/>
      <c r="O82" s="277"/>
      <c r="P82" s="277"/>
      <c r="W82" s="277"/>
      <c r="X82" s="277"/>
      <c r="AK82" s="280"/>
      <c r="AS82" s="280"/>
      <c r="AX82" s="278"/>
    </row>
    <row r="83" customHeight="1" spans="8:50">
      <c r="H83" s="91"/>
      <c r="I83" s="7"/>
      <c r="J83" s="276"/>
      <c r="K83" s="91"/>
      <c r="L83" s="7"/>
      <c r="O83" s="277"/>
      <c r="P83" s="277"/>
      <c r="W83" s="277"/>
      <c r="X83" s="277"/>
      <c r="AK83" s="280"/>
      <c r="AS83" s="280"/>
      <c r="AX83" s="278"/>
    </row>
    <row r="84" customHeight="1" spans="8:50">
      <c r="H84" s="91"/>
      <c r="I84" s="7"/>
      <c r="J84" s="276"/>
      <c r="K84" s="91"/>
      <c r="L84" s="7"/>
      <c r="O84" s="277"/>
      <c r="P84" s="277"/>
      <c r="W84" s="277"/>
      <c r="X84" s="277"/>
      <c r="AK84" s="280"/>
      <c r="AS84" s="280"/>
      <c r="AX84" s="278"/>
    </row>
    <row r="85" customHeight="1" spans="8:50">
      <c r="H85" s="91"/>
      <c r="I85" s="7"/>
      <c r="J85" s="276"/>
      <c r="K85" s="91"/>
      <c r="L85" s="7"/>
      <c r="O85" s="277"/>
      <c r="P85" s="277"/>
      <c r="W85" s="277"/>
      <c r="X85" s="277"/>
      <c r="AK85" s="280"/>
      <c r="AS85" s="280"/>
      <c r="AX85" s="278"/>
    </row>
    <row r="86" customHeight="1" spans="8:50">
      <c r="H86" s="91"/>
      <c r="I86" s="7"/>
      <c r="J86" s="276"/>
      <c r="K86" s="91"/>
      <c r="L86" s="7"/>
      <c r="O86" s="277"/>
      <c r="P86" s="277"/>
      <c r="W86" s="277"/>
      <c r="X86" s="277"/>
      <c r="AK86" s="280"/>
      <c r="AS86" s="280"/>
      <c r="AX86" s="278"/>
    </row>
    <row r="87" customHeight="1" spans="8:50">
      <c r="H87" s="91"/>
      <c r="I87" s="7"/>
      <c r="J87" s="276"/>
      <c r="K87" s="91"/>
      <c r="L87" s="7"/>
      <c r="O87" s="277"/>
      <c r="P87" s="277"/>
      <c r="W87" s="277"/>
      <c r="X87" s="277"/>
      <c r="AK87" s="280"/>
      <c r="AS87" s="280"/>
      <c r="AX87" s="278"/>
    </row>
    <row r="88" customHeight="1" spans="8:50">
      <c r="H88" s="91"/>
      <c r="I88" s="7"/>
      <c r="J88" s="276"/>
      <c r="K88" s="91"/>
      <c r="L88" s="7"/>
      <c r="O88" s="277"/>
      <c r="P88" s="277"/>
      <c r="W88" s="277"/>
      <c r="X88" s="277"/>
      <c r="AK88" s="280"/>
      <c r="AS88" s="280"/>
      <c r="AX88" s="278"/>
    </row>
    <row r="89" customHeight="1" spans="8:50">
      <c r="H89" s="91"/>
      <c r="I89" s="7"/>
      <c r="J89" s="276"/>
      <c r="K89" s="91"/>
      <c r="L89" s="7"/>
      <c r="O89" s="277"/>
      <c r="P89" s="277"/>
      <c r="W89" s="277"/>
      <c r="X89" s="277"/>
      <c r="AK89" s="280"/>
      <c r="AS89" s="280"/>
      <c r="AX89" s="278"/>
    </row>
    <row r="90" customHeight="1" spans="8:50">
      <c r="H90" s="91"/>
      <c r="I90" s="7"/>
      <c r="J90" s="276"/>
      <c r="K90" s="91"/>
      <c r="L90" s="7"/>
      <c r="O90" s="277"/>
      <c r="P90" s="277"/>
      <c r="W90" s="277"/>
      <c r="X90" s="277"/>
      <c r="AK90" s="280"/>
      <c r="AS90" s="280"/>
      <c r="AX90" s="278"/>
    </row>
    <row r="91" customHeight="1" spans="8:50">
      <c r="H91" s="91"/>
      <c r="I91" s="7"/>
      <c r="J91" s="276"/>
      <c r="K91" s="91"/>
      <c r="L91" s="7"/>
      <c r="O91" s="277"/>
      <c r="P91" s="277"/>
      <c r="W91" s="277"/>
      <c r="X91" s="277"/>
      <c r="AK91" s="280"/>
      <c r="AS91" s="280"/>
    </row>
    <row r="92" customHeight="1" spans="8:50">
      <c r="H92" s="91"/>
      <c r="I92" s="7"/>
      <c r="J92" s="276"/>
      <c r="K92" s="91"/>
      <c r="L92" s="7"/>
      <c r="O92" s="277"/>
      <c r="P92" s="277"/>
      <c r="W92" s="277"/>
      <c r="X92" s="277"/>
      <c r="AK92" s="280"/>
      <c r="AS92" s="280"/>
    </row>
    <row r="93" customHeight="1" spans="8:50">
      <c r="H93" s="91"/>
      <c r="I93" s="7"/>
      <c r="J93" s="276"/>
      <c r="K93" s="91"/>
      <c r="L93" s="7"/>
      <c r="O93" s="277"/>
      <c r="P93" s="277"/>
      <c r="W93" s="277"/>
      <c r="X93" s="277"/>
      <c r="AK93" s="280"/>
      <c r="AS93" s="280"/>
    </row>
    <row r="94" customHeight="1" spans="8:50">
      <c r="H94" s="91"/>
      <c r="I94" s="7"/>
      <c r="J94" s="276"/>
      <c r="K94" s="91"/>
      <c r="L94" s="7"/>
      <c r="O94" s="277"/>
      <c r="P94" s="277"/>
      <c r="W94" s="277"/>
      <c r="X94" s="277"/>
      <c r="AK94" s="280"/>
      <c r="AS94" s="280"/>
    </row>
    <row r="95" customHeight="1" spans="8:50">
      <c r="H95" s="91"/>
      <c r="I95" s="7"/>
      <c r="J95" s="276"/>
      <c r="K95" s="91"/>
      <c r="L95" s="7"/>
      <c r="O95" s="277"/>
      <c r="P95" s="277"/>
      <c r="W95" s="277"/>
      <c r="X95" s="277"/>
      <c r="AK95" s="280"/>
      <c r="AS95" s="280"/>
    </row>
    <row r="96" customHeight="1" spans="8:50">
      <c r="H96" s="91"/>
      <c r="I96" s="7"/>
      <c r="J96" s="276"/>
      <c r="K96" s="91"/>
      <c r="L96" s="7"/>
      <c r="O96" s="277"/>
      <c r="P96" s="277"/>
      <c r="W96" s="277"/>
      <c r="X96" s="277"/>
      <c r="AK96" s="280"/>
      <c r="AS96" s="280"/>
    </row>
    <row r="97" customHeight="1" spans="8:45">
      <c r="H97" s="91"/>
      <c r="I97" s="7"/>
      <c r="J97" s="276"/>
      <c r="K97" s="91"/>
      <c r="L97" s="7"/>
      <c r="O97" s="277"/>
      <c r="P97" s="277"/>
      <c r="W97" s="277"/>
      <c r="X97" s="277"/>
      <c r="AK97" s="280"/>
      <c r="AS97" s="280"/>
    </row>
    <row r="98" customHeight="1" spans="8:45">
      <c r="H98" s="91"/>
      <c r="I98" s="7"/>
      <c r="J98" s="276"/>
      <c r="K98" s="91"/>
      <c r="L98" s="7"/>
      <c r="O98" s="277"/>
      <c r="P98" s="277"/>
      <c r="W98" s="277"/>
      <c r="X98" s="277"/>
      <c r="AK98" s="280"/>
      <c r="AS98" s="280"/>
    </row>
    <row r="99" customHeight="1" spans="8:45">
      <c r="H99" s="91"/>
      <c r="I99" s="7"/>
      <c r="J99" s="276"/>
      <c r="K99" s="91"/>
      <c r="L99" s="7"/>
      <c r="O99" s="277"/>
      <c r="P99" s="277"/>
      <c r="W99" s="277"/>
      <c r="X99" s="277"/>
      <c r="AK99" s="280"/>
      <c r="AS99" s="280"/>
    </row>
    <row r="100" customHeight="1" spans="8:45">
      <c r="H100" s="91"/>
      <c r="I100" s="7"/>
      <c r="J100" s="276"/>
      <c r="K100" s="91"/>
      <c r="L100" s="7"/>
      <c r="O100" s="277"/>
      <c r="P100" s="277"/>
      <c r="W100" s="277"/>
      <c r="X100" s="277"/>
      <c r="AK100" s="280"/>
      <c r="AS100" s="280"/>
    </row>
    <row r="101" customHeight="1" spans="8:45">
      <c r="H101" s="91"/>
      <c r="I101" s="7"/>
      <c r="J101" s="276"/>
      <c r="K101" s="91"/>
      <c r="L101" s="7"/>
      <c r="O101" s="277"/>
      <c r="P101" s="277"/>
      <c r="W101" s="277"/>
      <c r="X101" s="277"/>
      <c r="AK101" s="280"/>
      <c r="AS101" s="280"/>
    </row>
    <row r="102" customHeight="1" spans="8:45">
      <c r="H102" s="91"/>
      <c r="I102" s="7"/>
      <c r="J102" s="276"/>
      <c r="K102" s="91"/>
      <c r="L102" s="7"/>
      <c r="O102" s="277"/>
      <c r="P102" s="277"/>
      <c r="W102" s="277"/>
      <c r="X102" s="277"/>
      <c r="AK102" s="280"/>
      <c r="AS102" s="280"/>
    </row>
    <row r="103" customHeight="1" spans="8:45">
      <c r="H103" s="91"/>
      <c r="I103" s="7"/>
      <c r="J103" s="276"/>
      <c r="K103" s="91"/>
      <c r="L103" s="7"/>
      <c r="O103" s="277"/>
      <c r="P103" s="277"/>
      <c r="W103" s="277"/>
      <c r="X103" s="277"/>
      <c r="AK103" s="280"/>
      <c r="AS103" s="280"/>
    </row>
    <row r="104" customHeight="1" spans="8:45">
      <c r="H104" s="91"/>
      <c r="I104" s="7"/>
      <c r="J104" s="276"/>
      <c r="K104" s="91"/>
      <c r="L104" s="7"/>
      <c r="O104" s="277"/>
      <c r="P104" s="277"/>
      <c r="W104" s="277"/>
      <c r="X104" s="277"/>
      <c r="AK104" s="280"/>
      <c r="AS104" s="280"/>
    </row>
    <row r="105" customHeight="1" spans="8:45">
      <c r="H105" s="91"/>
      <c r="I105" s="7"/>
      <c r="J105" s="276"/>
      <c r="K105" s="91"/>
      <c r="L105" s="7"/>
      <c r="O105" s="277"/>
      <c r="P105" s="277"/>
      <c r="W105" s="277"/>
      <c r="X105" s="277"/>
      <c r="AK105" s="280"/>
      <c r="AS105" s="280"/>
    </row>
    <row r="106" customHeight="1" spans="8:45">
      <c r="H106" s="91"/>
      <c r="I106" s="7"/>
      <c r="J106" s="276"/>
      <c r="K106" s="91"/>
      <c r="L106" s="7"/>
      <c r="O106" s="277"/>
      <c r="P106" s="277"/>
      <c r="W106" s="277"/>
      <c r="X106" s="277"/>
      <c r="AK106" s="280"/>
      <c r="AS106" s="280"/>
    </row>
    <row r="107" customHeight="1" spans="8:45">
      <c r="H107" s="91"/>
      <c r="I107" s="7"/>
      <c r="J107" s="276"/>
      <c r="K107" s="91"/>
      <c r="L107" s="7"/>
      <c r="O107" s="277"/>
      <c r="P107" s="277"/>
      <c r="W107" s="277"/>
      <c r="X107" s="277"/>
      <c r="AK107" s="280"/>
      <c r="AS107" s="280"/>
    </row>
    <row r="108" customHeight="1" spans="8:45">
      <c r="H108" s="91"/>
      <c r="I108" s="7"/>
      <c r="J108" s="276"/>
      <c r="K108" s="91"/>
      <c r="L108" s="7"/>
      <c r="O108" s="277"/>
      <c r="P108" s="277"/>
      <c r="W108" s="277"/>
      <c r="X108" s="277"/>
      <c r="AK108" s="280"/>
      <c r="AS108" s="280"/>
    </row>
    <row r="109" customHeight="1" spans="8:45">
      <c r="H109" s="91"/>
      <c r="I109" s="7"/>
      <c r="J109" s="276"/>
      <c r="K109" s="91"/>
      <c r="L109" s="7"/>
      <c r="O109" s="277"/>
      <c r="P109" s="277"/>
      <c r="W109" s="277"/>
      <c r="X109" s="277"/>
      <c r="AK109" s="280"/>
      <c r="AS109" s="280"/>
    </row>
    <row r="110" customHeight="1" spans="8:45">
      <c r="H110" s="91"/>
      <c r="I110" s="7"/>
      <c r="J110" s="276"/>
      <c r="K110" s="91"/>
      <c r="L110" s="7"/>
      <c r="O110" s="277"/>
      <c r="P110" s="277"/>
      <c r="W110" s="277"/>
      <c r="X110" s="277"/>
      <c r="AK110" s="280"/>
      <c r="AS110" s="280"/>
    </row>
    <row r="111" customHeight="1" spans="8:45">
      <c r="H111" s="91"/>
      <c r="I111" s="7"/>
      <c r="J111" s="276"/>
      <c r="K111" s="91"/>
      <c r="L111" s="7"/>
      <c r="O111" s="277"/>
      <c r="P111" s="277"/>
      <c r="W111" s="277"/>
      <c r="X111" s="277"/>
      <c r="AK111" s="280"/>
      <c r="AS111" s="280"/>
    </row>
    <row r="112" customHeight="1" spans="8:45">
      <c r="H112" s="91"/>
      <c r="I112" s="7"/>
      <c r="J112" s="276"/>
      <c r="K112" s="91"/>
      <c r="L112" s="7"/>
      <c r="O112" s="277"/>
      <c r="P112" s="277"/>
      <c r="W112" s="277"/>
      <c r="X112" s="277"/>
      <c r="AK112" s="280"/>
      <c r="AS112" s="280"/>
    </row>
    <row r="113" customHeight="1" spans="8:45">
      <c r="H113" s="91"/>
      <c r="I113" s="7"/>
      <c r="J113" s="276"/>
      <c r="K113" s="91"/>
      <c r="L113" s="7"/>
      <c r="O113" s="277"/>
      <c r="P113" s="277"/>
      <c r="W113" s="277"/>
      <c r="X113" s="277"/>
      <c r="AK113" s="280"/>
      <c r="AS113" s="280"/>
    </row>
    <row r="114" customHeight="1" spans="8:45">
      <c r="H114" s="91"/>
      <c r="I114" s="7"/>
      <c r="J114" s="276"/>
      <c r="K114" s="91"/>
      <c r="L114" s="7"/>
      <c r="O114" s="277"/>
      <c r="P114" s="277"/>
      <c r="W114" s="277"/>
      <c r="X114" s="277"/>
      <c r="AK114" s="280"/>
      <c r="AS114" s="280"/>
    </row>
    <row r="115" customHeight="1" spans="8:45">
      <c r="H115" s="91"/>
      <c r="I115" s="7"/>
      <c r="J115" s="276"/>
      <c r="K115" s="91"/>
      <c r="L115" s="7"/>
      <c r="O115" s="277"/>
      <c r="P115" s="277"/>
      <c r="W115" s="277"/>
      <c r="X115" s="277"/>
      <c r="AK115" s="280"/>
      <c r="AS115" s="280"/>
    </row>
    <row r="116" customHeight="1" spans="8:45">
      <c r="H116" s="91"/>
      <c r="I116" s="7"/>
      <c r="J116" s="276"/>
      <c r="K116" s="91"/>
      <c r="L116" s="7"/>
      <c r="O116" s="277"/>
      <c r="P116" s="277"/>
      <c r="W116" s="277"/>
      <c r="X116" s="277"/>
      <c r="AK116" s="280"/>
      <c r="AS116" s="280"/>
    </row>
    <row r="117" customHeight="1" spans="8:45">
      <c r="H117" s="91"/>
      <c r="I117" s="7"/>
      <c r="J117" s="276"/>
      <c r="K117" s="91"/>
      <c r="L117" s="7"/>
      <c r="O117" s="277"/>
      <c r="P117" s="277"/>
      <c r="W117" s="277"/>
      <c r="X117" s="277"/>
      <c r="AK117" s="280"/>
      <c r="AS117" s="280"/>
    </row>
    <row r="118" customHeight="1" spans="8:45">
      <c r="H118" s="91"/>
      <c r="I118" s="7"/>
      <c r="J118" s="276"/>
      <c r="K118" s="91"/>
      <c r="L118" s="7"/>
      <c r="O118" s="277"/>
      <c r="P118" s="277"/>
      <c r="W118" s="277"/>
      <c r="X118" s="277"/>
      <c r="AK118" s="280"/>
      <c r="AS118" s="280"/>
    </row>
    <row r="119" customHeight="1" spans="8:45">
      <c r="H119" s="91"/>
      <c r="I119" s="7"/>
      <c r="J119" s="276"/>
      <c r="K119" s="91"/>
      <c r="L119" s="7"/>
      <c r="O119" s="277"/>
      <c r="P119" s="277"/>
      <c r="W119" s="277"/>
      <c r="X119" s="277"/>
      <c r="AK119" s="280"/>
      <c r="AS119" s="280"/>
    </row>
    <row r="120" customHeight="1" spans="8:45">
      <c r="H120" s="91"/>
      <c r="I120" s="7"/>
      <c r="J120" s="276"/>
      <c r="K120" s="91"/>
      <c r="L120" s="7"/>
      <c r="O120" s="277"/>
      <c r="P120" s="277"/>
      <c r="W120" s="277"/>
      <c r="X120" s="277"/>
      <c r="AK120" s="280"/>
      <c r="AS120" s="280"/>
    </row>
    <row r="121" customHeight="1" spans="8:45">
      <c r="H121" s="91"/>
      <c r="I121" s="7"/>
      <c r="J121" s="276"/>
      <c r="K121" s="91"/>
      <c r="L121" s="7"/>
      <c r="O121" s="277"/>
      <c r="P121" s="277"/>
      <c r="W121" s="277"/>
      <c r="X121" s="277"/>
      <c r="AK121" s="280"/>
      <c r="AS121" s="280"/>
    </row>
    <row r="122" customHeight="1" spans="8:45">
      <c r="H122" s="91"/>
      <c r="I122" s="7"/>
      <c r="J122" s="276"/>
      <c r="K122" s="91"/>
      <c r="L122" s="7"/>
      <c r="O122" s="277"/>
      <c r="P122" s="277"/>
      <c r="W122" s="277"/>
      <c r="X122" s="277"/>
      <c r="AK122" s="280"/>
      <c r="AS122" s="280"/>
    </row>
    <row r="123" customHeight="1" spans="8:45">
      <c r="H123" s="91"/>
      <c r="I123" s="7"/>
      <c r="J123" s="276"/>
      <c r="K123" s="91"/>
      <c r="L123" s="7"/>
      <c r="O123" s="277"/>
      <c r="P123" s="277"/>
      <c r="W123" s="277"/>
      <c r="X123" s="277"/>
      <c r="AK123" s="280"/>
      <c r="AS123" s="280"/>
    </row>
    <row r="124" customHeight="1" spans="8:45">
      <c r="H124" s="91"/>
      <c r="I124" s="7"/>
      <c r="J124" s="276"/>
      <c r="K124" s="91"/>
      <c r="L124" s="7"/>
      <c r="O124" s="277"/>
      <c r="P124" s="277"/>
      <c r="W124" s="277"/>
      <c r="X124" s="277"/>
      <c r="AK124" s="280"/>
      <c r="AS124" s="280"/>
    </row>
    <row r="125" customHeight="1" spans="8:45">
      <c r="H125" s="91"/>
      <c r="I125" s="7"/>
      <c r="J125" s="276"/>
      <c r="K125" s="91"/>
      <c r="L125" s="7"/>
      <c r="O125" s="277"/>
      <c r="P125" s="277"/>
      <c r="W125" s="277"/>
      <c r="X125" s="277"/>
      <c r="AK125" s="280"/>
      <c r="AS125" s="280"/>
    </row>
    <row r="126" customHeight="1" spans="8:45">
      <c r="H126" s="91"/>
      <c r="I126" s="7"/>
      <c r="J126" s="276"/>
      <c r="K126" s="91"/>
      <c r="L126" s="7"/>
      <c r="O126" s="277"/>
      <c r="P126" s="277"/>
      <c r="W126" s="277"/>
      <c r="X126" s="277"/>
      <c r="AK126" s="280"/>
      <c r="AS126" s="280"/>
    </row>
    <row r="127" customHeight="1" spans="8:45">
      <c r="H127" s="91"/>
      <c r="I127" s="7"/>
      <c r="J127" s="276"/>
      <c r="K127" s="91"/>
      <c r="L127" s="7"/>
      <c r="O127" s="277"/>
      <c r="P127" s="277"/>
      <c r="W127" s="277"/>
      <c r="X127" s="277"/>
      <c r="AK127" s="280"/>
      <c r="AS127" s="280"/>
    </row>
    <row r="128" customHeight="1" spans="8:45">
      <c r="H128" s="91"/>
      <c r="I128" s="7"/>
      <c r="J128" s="276"/>
      <c r="K128" s="91"/>
      <c r="L128" s="7"/>
      <c r="O128" s="277"/>
      <c r="P128" s="277"/>
      <c r="W128" s="277"/>
      <c r="X128" s="277"/>
      <c r="AK128" s="280"/>
      <c r="AS128" s="280"/>
    </row>
    <row r="129" customHeight="1" spans="8:45">
      <c r="H129" s="91"/>
      <c r="I129" s="7"/>
      <c r="J129" s="276"/>
      <c r="K129" s="91"/>
      <c r="L129" s="7"/>
      <c r="O129" s="277"/>
      <c r="P129" s="277"/>
      <c r="W129" s="277"/>
      <c r="X129" s="277"/>
      <c r="AK129" s="280"/>
      <c r="AS129" s="280"/>
    </row>
    <row r="130" customHeight="1" spans="8:45">
      <c r="H130" s="91"/>
      <c r="I130" s="7"/>
      <c r="J130" s="276"/>
      <c r="K130" s="91"/>
      <c r="L130" s="7"/>
      <c r="O130" s="277"/>
      <c r="P130" s="277"/>
      <c r="W130" s="277"/>
      <c r="X130" s="277"/>
      <c r="AK130" s="280"/>
      <c r="AS130" s="280"/>
    </row>
    <row r="131" customHeight="1" spans="8:45">
      <c r="H131" s="91"/>
      <c r="I131" s="7"/>
      <c r="J131" s="276"/>
      <c r="K131" s="91"/>
      <c r="L131" s="7"/>
      <c r="O131" s="277"/>
      <c r="P131" s="277"/>
      <c r="W131" s="277"/>
      <c r="X131" s="277"/>
      <c r="AK131" s="280"/>
      <c r="AS131" s="280"/>
    </row>
    <row r="132" customHeight="1" spans="8:45">
      <c r="H132" s="91"/>
      <c r="I132" s="7"/>
      <c r="J132" s="276"/>
      <c r="K132" s="91"/>
      <c r="L132" s="7"/>
      <c r="O132" s="277"/>
      <c r="P132" s="277"/>
      <c r="W132" s="277"/>
      <c r="X132" s="277"/>
      <c r="AK132" s="280"/>
      <c r="AS132" s="280"/>
    </row>
    <row r="133" customHeight="1" spans="8:45">
      <c r="H133" s="91"/>
      <c r="I133" s="7"/>
      <c r="J133" s="276"/>
      <c r="K133" s="91"/>
      <c r="L133" s="7"/>
      <c r="O133" s="277"/>
      <c r="P133" s="277"/>
      <c r="W133" s="277"/>
      <c r="X133" s="277"/>
      <c r="AK133" s="280"/>
      <c r="AS133" s="280"/>
    </row>
    <row r="134" customHeight="1" spans="8:45">
      <c r="H134" s="91"/>
      <c r="I134" s="7"/>
      <c r="J134" s="276"/>
      <c r="K134" s="91"/>
      <c r="L134" s="7"/>
      <c r="O134" s="277"/>
      <c r="P134" s="277"/>
      <c r="W134" s="277"/>
      <c r="X134" s="277"/>
      <c r="AK134" s="280"/>
      <c r="AS134" s="280"/>
    </row>
    <row r="135" customHeight="1" spans="8:45">
      <c r="H135" s="91"/>
      <c r="I135" s="7"/>
      <c r="J135" s="276"/>
      <c r="K135" s="91"/>
      <c r="L135" s="7"/>
      <c r="O135" s="277"/>
      <c r="P135" s="277"/>
      <c r="W135" s="277"/>
      <c r="X135" s="277"/>
      <c r="AK135" s="280"/>
      <c r="AS135" s="280"/>
    </row>
    <row r="136" customHeight="1" spans="8:45">
      <c r="H136" s="91"/>
      <c r="I136" s="7"/>
      <c r="J136" s="276"/>
      <c r="K136" s="91"/>
      <c r="L136" s="7"/>
      <c r="O136" s="277"/>
      <c r="P136" s="277"/>
      <c r="W136" s="277"/>
      <c r="X136" s="277"/>
      <c r="AK136" s="280"/>
      <c r="AS136" s="280"/>
    </row>
    <row r="137" customHeight="1" spans="8:45">
      <c r="H137" s="91"/>
      <c r="I137" s="7"/>
      <c r="J137" s="276"/>
      <c r="K137" s="91"/>
      <c r="L137" s="7"/>
      <c r="O137" s="277"/>
      <c r="P137" s="277"/>
      <c r="W137" s="277"/>
      <c r="X137" s="277"/>
      <c r="AK137" s="280"/>
      <c r="AS137" s="280"/>
    </row>
    <row r="138" customHeight="1" spans="8:45">
      <c r="H138" s="91"/>
      <c r="I138" s="7"/>
      <c r="J138" s="276"/>
      <c r="K138" s="91"/>
      <c r="L138" s="7"/>
      <c r="O138" s="277"/>
      <c r="P138" s="277"/>
      <c r="W138" s="277"/>
      <c r="X138" s="277"/>
      <c r="AK138" s="280"/>
      <c r="AS138" s="280"/>
    </row>
    <row r="139" customHeight="1" spans="8:45">
      <c r="H139" s="91"/>
      <c r="I139" s="7"/>
      <c r="J139" s="276"/>
      <c r="K139" s="91"/>
      <c r="L139" s="7"/>
      <c r="O139" s="277"/>
      <c r="P139" s="277"/>
      <c r="W139" s="277"/>
      <c r="X139" s="277"/>
      <c r="AK139" s="280"/>
      <c r="AS139" s="280"/>
    </row>
    <row r="140" customHeight="1" spans="8:45">
      <c r="H140" s="91"/>
      <c r="I140" s="7"/>
      <c r="J140" s="276"/>
      <c r="K140" s="91"/>
      <c r="L140" s="7"/>
      <c r="O140" s="277"/>
      <c r="P140" s="277"/>
      <c r="W140" s="277"/>
      <c r="X140" s="277"/>
      <c r="AK140" s="280"/>
      <c r="AS140" s="280"/>
    </row>
    <row r="141" customHeight="1" spans="8:45">
      <c r="H141" s="91"/>
      <c r="I141" s="7"/>
      <c r="J141" s="276"/>
      <c r="K141" s="91"/>
      <c r="L141" s="7"/>
      <c r="O141" s="277"/>
      <c r="P141" s="277"/>
      <c r="W141" s="277"/>
      <c r="X141" s="277"/>
      <c r="AK141" s="280"/>
      <c r="AS141" s="280"/>
    </row>
    <row r="142" customHeight="1" spans="8:45">
      <c r="H142" s="91"/>
      <c r="I142" s="7"/>
      <c r="J142" s="276"/>
      <c r="K142" s="91"/>
      <c r="L142" s="7"/>
      <c r="O142" s="277"/>
      <c r="P142" s="277"/>
      <c r="W142" s="277"/>
      <c r="X142" s="277"/>
      <c r="AK142" s="280"/>
      <c r="AS142" s="280"/>
    </row>
    <row r="143" customHeight="1" spans="8:45">
      <c r="H143" s="91"/>
      <c r="I143" s="7"/>
      <c r="J143" s="276"/>
      <c r="K143" s="91"/>
      <c r="L143" s="7"/>
      <c r="O143" s="277"/>
      <c r="P143" s="277"/>
      <c r="W143" s="277"/>
      <c r="X143" s="277"/>
      <c r="AK143" s="280"/>
      <c r="AS143" s="280"/>
    </row>
    <row r="144" customHeight="1" spans="8:45">
      <c r="H144" s="91"/>
      <c r="I144" s="7"/>
      <c r="J144" s="276"/>
      <c r="K144" s="91"/>
      <c r="L144" s="7"/>
      <c r="O144" s="277"/>
      <c r="P144" s="277"/>
      <c r="W144" s="277"/>
      <c r="X144" s="277"/>
      <c r="AK144" s="280"/>
      <c r="AS144" s="280"/>
    </row>
    <row r="145" customHeight="1" spans="8:45">
      <c r="H145" s="91"/>
      <c r="I145" s="7"/>
      <c r="J145" s="276"/>
      <c r="K145" s="91"/>
      <c r="L145" s="7"/>
      <c r="O145" s="277"/>
      <c r="P145" s="277"/>
      <c r="W145" s="277"/>
      <c r="X145" s="277"/>
      <c r="AK145" s="280"/>
      <c r="AS145" s="280"/>
    </row>
    <row r="146" customHeight="1" spans="8:45">
      <c r="H146" s="91"/>
      <c r="I146" s="7"/>
      <c r="J146" s="276"/>
      <c r="K146" s="91"/>
      <c r="L146" s="7"/>
      <c r="O146" s="277"/>
      <c r="P146" s="277"/>
      <c r="W146" s="277"/>
      <c r="X146" s="277"/>
      <c r="AK146" s="280"/>
      <c r="AS146" s="280"/>
    </row>
    <row r="147" customHeight="1" spans="8:45">
      <c r="H147" s="91"/>
      <c r="I147" s="7"/>
      <c r="J147" s="276"/>
      <c r="K147" s="91"/>
      <c r="L147" s="7"/>
      <c r="O147" s="277"/>
      <c r="P147" s="277"/>
      <c r="W147" s="277"/>
      <c r="X147" s="277"/>
      <c r="AK147" s="280"/>
      <c r="AS147" s="280"/>
    </row>
    <row r="148" customHeight="1" spans="8:45">
      <c r="H148" s="91"/>
      <c r="I148" s="7"/>
      <c r="J148" s="276"/>
      <c r="K148" s="91"/>
      <c r="L148" s="7"/>
      <c r="O148" s="277"/>
      <c r="P148" s="277"/>
      <c r="W148" s="277"/>
      <c r="X148" s="277"/>
      <c r="AK148" s="280"/>
      <c r="AS148" s="280"/>
    </row>
    <row r="149" customHeight="1" spans="8:45">
      <c r="H149" s="91"/>
      <c r="I149" s="7"/>
      <c r="J149" s="276"/>
      <c r="K149" s="91"/>
      <c r="L149" s="7"/>
      <c r="O149" s="277"/>
      <c r="P149" s="277"/>
      <c r="W149" s="277"/>
      <c r="X149" s="277"/>
      <c r="AK149" s="280"/>
      <c r="AS149" s="280"/>
    </row>
    <row r="150" customHeight="1" spans="8:45">
      <c r="H150" s="91"/>
      <c r="I150" s="7"/>
      <c r="J150" s="276"/>
      <c r="K150" s="91"/>
      <c r="L150" s="7"/>
      <c r="O150" s="277"/>
      <c r="P150" s="277"/>
      <c r="W150" s="277"/>
      <c r="X150" s="277"/>
      <c r="AK150" s="280"/>
      <c r="AS150" s="280"/>
    </row>
    <row r="151" customHeight="1" spans="8:45">
      <c r="H151" s="91"/>
      <c r="I151" s="7"/>
      <c r="J151" s="276"/>
      <c r="K151" s="91"/>
      <c r="L151" s="7"/>
      <c r="O151" s="277"/>
      <c r="P151" s="277"/>
      <c r="W151" s="277"/>
      <c r="X151" s="277"/>
      <c r="AK151" s="280"/>
      <c r="AS151" s="280"/>
    </row>
    <row r="152" customHeight="1" spans="8:45">
      <c r="H152" s="91"/>
      <c r="I152" s="7"/>
      <c r="J152" s="276"/>
      <c r="K152" s="91"/>
      <c r="L152" s="7"/>
      <c r="O152" s="277"/>
      <c r="P152" s="277"/>
      <c r="W152" s="277"/>
      <c r="X152" s="277"/>
      <c r="AK152" s="280"/>
      <c r="AS152" s="280"/>
    </row>
    <row r="153" customHeight="1" spans="8:45">
      <c r="H153" s="91"/>
      <c r="I153" s="7"/>
      <c r="J153" s="276"/>
      <c r="K153" s="91"/>
      <c r="L153" s="7"/>
      <c r="O153" s="277"/>
      <c r="P153" s="277"/>
      <c r="W153" s="277"/>
      <c r="X153" s="277"/>
      <c r="AK153" s="280"/>
      <c r="AS153" s="280"/>
    </row>
    <row r="154" customHeight="1" spans="8:45">
      <c r="H154" s="91"/>
      <c r="I154" s="7"/>
      <c r="J154" s="276"/>
      <c r="K154" s="91"/>
      <c r="L154" s="7"/>
      <c r="O154" s="277"/>
      <c r="P154" s="277"/>
      <c r="W154" s="277"/>
      <c r="X154" s="277"/>
      <c r="AK154" s="280"/>
      <c r="AS154" s="280"/>
    </row>
    <row r="155" customHeight="1" spans="8:45">
      <c r="H155" s="91"/>
      <c r="I155" s="7"/>
      <c r="J155" s="276"/>
      <c r="K155" s="91"/>
      <c r="L155" s="7"/>
      <c r="O155" s="277"/>
      <c r="P155" s="277"/>
      <c r="W155" s="277"/>
      <c r="X155" s="277"/>
      <c r="AK155" s="280"/>
      <c r="AS155" s="280"/>
    </row>
    <row r="156" customHeight="1" spans="8:45">
      <c r="H156" s="91"/>
      <c r="I156" s="7"/>
      <c r="J156" s="276"/>
      <c r="K156" s="91"/>
      <c r="L156" s="7"/>
      <c r="O156" s="277"/>
      <c r="P156" s="277"/>
      <c r="W156" s="277"/>
      <c r="X156" s="277"/>
      <c r="AK156" s="280"/>
      <c r="AS156" s="280"/>
    </row>
    <row r="157" customHeight="1" spans="8:45">
      <c r="H157" s="91"/>
      <c r="I157" s="7"/>
      <c r="J157" s="276"/>
      <c r="K157" s="91"/>
      <c r="L157" s="7"/>
      <c r="O157" s="277"/>
      <c r="P157" s="277"/>
      <c r="W157" s="277"/>
      <c r="X157" s="277"/>
      <c r="AK157" s="280"/>
      <c r="AS157" s="280"/>
    </row>
    <row r="158" customHeight="1" spans="8:45">
      <c r="H158" s="91"/>
      <c r="I158" s="7"/>
      <c r="J158" s="276"/>
      <c r="K158" s="91"/>
      <c r="L158" s="7"/>
      <c r="O158" s="277"/>
      <c r="P158" s="277"/>
      <c r="W158" s="277"/>
      <c r="X158" s="277"/>
      <c r="AK158" s="280"/>
      <c r="AS158" s="280"/>
    </row>
    <row r="159" customHeight="1" spans="8:45">
      <c r="H159" s="91"/>
      <c r="I159" s="7"/>
      <c r="J159" s="276"/>
      <c r="K159" s="91"/>
      <c r="L159" s="7"/>
      <c r="O159" s="277"/>
      <c r="P159" s="277"/>
      <c r="W159" s="277"/>
      <c r="X159" s="277"/>
      <c r="AK159" s="280"/>
      <c r="AS159" s="280"/>
    </row>
    <row r="160" customHeight="1" spans="8:45">
      <c r="H160" s="91"/>
      <c r="I160" s="7"/>
      <c r="J160" s="276"/>
      <c r="K160" s="91"/>
      <c r="L160" s="7"/>
      <c r="O160" s="277"/>
      <c r="P160" s="277"/>
      <c r="W160" s="277"/>
      <c r="X160" s="277"/>
      <c r="AK160" s="280"/>
      <c r="AS160" s="280"/>
    </row>
    <row r="161" customHeight="1" spans="8:45">
      <c r="H161" s="91"/>
      <c r="I161" s="7"/>
      <c r="J161" s="276"/>
      <c r="K161" s="91"/>
      <c r="L161" s="7"/>
      <c r="O161" s="277"/>
      <c r="P161" s="277"/>
      <c r="W161" s="277"/>
      <c r="X161" s="277"/>
      <c r="AK161" s="280"/>
      <c r="AS161" s="280"/>
    </row>
    <row r="162" customHeight="1" spans="8:45">
      <c r="H162" s="91"/>
      <c r="I162" s="7"/>
      <c r="J162" s="276"/>
      <c r="K162" s="91"/>
      <c r="L162" s="7"/>
      <c r="O162" s="277"/>
      <c r="P162" s="277"/>
      <c r="W162" s="277"/>
      <c r="X162" s="277"/>
      <c r="AK162" s="280"/>
      <c r="AS162" s="280"/>
    </row>
    <row r="163" customHeight="1" spans="8:45">
      <c r="H163" s="91"/>
      <c r="I163" s="7"/>
      <c r="J163" s="276"/>
      <c r="K163" s="91"/>
      <c r="L163" s="7"/>
      <c r="O163" s="277"/>
      <c r="P163" s="277"/>
      <c r="W163" s="277"/>
      <c r="X163" s="277"/>
      <c r="AK163" s="280"/>
      <c r="AS163" s="280"/>
    </row>
    <row r="164" customHeight="1" spans="8:45">
      <c r="H164" s="91"/>
      <c r="I164" s="7"/>
      <c r="J164" s="276"/>
      <c r="K164" s="91"/>
      <c r="L164" s="7"/>
      <c r="O164" s="277"/>
      <c r="P164" s="277"/>
      <c r="W164" s="277"/>
      <c r="X164" s="277"/>
      <c r="AK164" s="280"/>
      <c r="AS164" s="280"/>
    </row>
    <row r="165" customHeight="1" spans="8:45">
      <c r="H165" s="91"/>
      <c r="I165" s="7"/>
      <c r="J165" s="276"/>
      <c r="K165" s="91"/>
      <c r="L165" s="7"/>
      <c r="O165" s="277"/>
      <c r="P165" s="277"/>
      <c r="W165" s="277"/>
      <c r="X165" s="277"/>
      <c r="AK165" s="280"/>
      <c r="AS165" s="280"/>
    </row>
    <row r="166" customHeight="1" spans="8:45">
      <c r="H166" s="91"/>
      <c r="I166" s="7"/>
      <c r="J166" s="276"/>
      <c r="K166" s="91"/>
      <c r="L166" s="7"/>
      <c r="O166" s="277"/>
      <c r="P166" s="277"/>
      <c r="W166" s="277"/>
      <c r="X166" s="277"/>
      <c r="AK166" s="280"/>
      <c r="AS166" s="280"/>
    </row>
    <row r="167" customHeight="1" spans="8:45">
      <c r="H167" s="91"/>
      <c r="I167" s="7"/>
      <c r="J167" s="276"/>
      <c r="K167" s="91"/>
      <c r="L167" s="7"/>
      <c r="O167" s="277"/>
      <c r="P167" s="277"/>
      <c r="W167" s="277"/>
      <c r="X167" s="277"/>
      <c r="AK167" s="280"/>
      <c r="AS167" s="280"/>
    </row>
    <row r="168" customHeight="1" spans="8:45">
      <c r="H168" s="91"/>
      <c r="I168" s="7"/>
      <c r="J168" s="276"/>
      <c r="K168" s="91"/>
      <c r="L168" s="7"/>
      <c r="O168" s="277"/>
      <c r="P168" s="277"/>
      <c r="W168" s="277"/>
      <c r="X168" s="277"/>
      <c r="AK168" s="280"/>
      <c r="AS168" s="280"/>
    </row>
    <row r="169" customHeight="1" spans="8:45">
      <c r="H169" s="91"/>
      <c r="I169" s="7"/>
      <c r="J169" s="276"/>
      <c r="K169" s="91"/>
      <c r="L169" s="7"/>
      <c r="O169" s="277"/>
      <c r="P169" s="277"/>
      <c r="W169" s="277"/>
      <c r="X169" s="277"/>
      <c r="AK169" s="280"/>
      <c r="AS169" s="280"/>
    </row>
    <row r="170" customHeight="1" spans="8:45">
      <c r="H170" s="91"/>
      <c r="I170" s="7"/>
      <c r="J170" s="276"/>
      <c r="K170" s="91"/>
      <c r="L170" s="7"/>
      <c r="O170" s="277"/>
      <c r="P170" s="277"/>
      <c r="W170" s="277"/>
      <c r="X170" s="277"/>
      <c r="AK170" s="280"/>
      <c r="AS170" s="280"/>
    </row>
    <row r="171" customHeight="1" spans="8:45">
      <c r="H171" s="91"/>
      <c r="I171" s="7"/>
      <c r="J171" s="276"/>
      <c r="K171" s="91"/>
      <c r="L171" s="7"/>
      <c r="O171" s="277"/>
      <c r="P171" s="277"/>
      <c r="W171" s="277"/>
      <c r="X171" s="277"/>
      <c r="AK171" s="280"/>
      <c r="AS171" s="280"/>
    </row>
    <row r="172" customHeight="1" spans="8:45">
      <c r="H172" s="91"/>
      <c r="I172" s="7"/>
      <c r="J172" s="276"/>
      <c r="K172" s="91"/>
      <c r="L172" s="7"/>
      <c r="O172" s="277"/>
      <c r="P172" s="277"/>
      <c r="W172" s="277"/>
      <c r="X172" s="277"/>
      <c r="AK172" s="280"/>
      <c r="AS172" s="280"/>
    </row>
    <row r="173" customHeight="1" spans="8:45">
      <c r="H173" s="91"/>
      <c r="I173" s="7"/>
      <c r="J173" s="276"/>
      <c r="K173" s="91"/>
      <c r="L173" s="7"/>
      <c r="O173" s="277"/>
      <c r="P173" s="277"/>
      <c r="W173" s="277"/>
      <c r="X173" s="277"/>
      <c r="AK173" s="280"/>
      <c r="AS173" s="280"/>
    </row>
    <row r="174" customHeight="1" spans="8:45">
      <c r="H174" s="91"/>
      <c r="I174" s="7"/>
      <c r="J174" s="276"/>
      <c r="K174" s="91"/>
      <c r="L174" s="7"/>
      <c r="O174" s="277"/>
      <c r="P174" s="277"/>
      <c r="W174" s="277"/>
      <c r="X174" s="277"/>
      <c r="AK174" s="280"/>
      <c r="AS174" s="280"/>
    </row>
    <row r="175" customHeight="1" spans="8:45">
      <c r="H175" s="91"/>
      <c r="I175" s="7"/>
      <c r="J175" s="276"/>
      <c r="K175" s="91"/>
      <c r="L175" s="7"/>
      <c r="O175" s="277"/>
      <c r="P175" s="277"/>
      <c r="W175" s="277"/>
      <c r="X175" s="277"/>
      <c r="AK175" s="280"/>
      <c r="AS175" s="280"/>
    </row>
    <row r="176" customHeight="1" spans="8:45">
      <c r="H176" s="91"/>
      <c r="I176" s="7"/>
      <c r="J176" s="276"/>
      <c r="K176" s="91"/>
      <c r="L176" s="7"/>
      <c r="O176" s="277"/>
      <c r="P176" s="277"/>
      <c r="W176" s="277"/>
      <c r="X176" s="277"/>
      <c r="AK176" s="280"/>
      <c r="AS176" s="280"/>
    </row>
    <row r="177" customHeight="1" spans="8:45">
      <c r="H177" s="91"/>
      <c r="I177" s="7"/>
      <c r="J177" s="276"/>
      <c r="K177" s="91"/>
      <c r="L177" s="7"/>
      <c r="O177" s="277"/>
      <c r="P177" s="277"/>
      <c r="W177" s="277"/>
      <c r="X177" s="277"/>
      <c r="AK177" s="280"/>
      <c r="AS177" s="280"/>
    </row>
    <row r="178" customHeight="1" spans="8:45">
      <c r="H178" s="91"/>
      <c r="I178" s="7"/>
      <c r="J178" s="276"/>
      <c r="K178" s="91"/>
      <c r="L178" s="7"/>
      <c r="O178" s="277"/>
      <c r="P178" s="277"/>
      <c r="W178" s="277"/>
      <c r="X178" s="277"/>
      <c r="AK178" s="280"/>
      <c r="AS178" s="280"/>
    </row>
    <row r="179" customHeight="1" spans="8:45">
      <c r="H179" s="91"/>
      <c r="I179" s="7"/>
      <c r="J179" s="276"/>
      <c r="K179" s="91"/>
      <c r="L179" s="7"/>
      <c r="O179" s="277"/>
      <c r="P179" s="277"/>
      <c r="W179" s="277"/>
      <c r="X179" s="277"/>
      <c r="AK179" s="280"/>
      <c r="AS179" s="280"/>
    </row>
    <row r="180" customHeight="1" spans="8:45">
      <c r="H180" s="91"/>
      <c r="I180" s="7"/>
      <c r="J180" s="276"/>
      <c r="K180" s="91"/>
      <c r="L180" s="7"/>
      <c r="O180" s="277"/>
      <c r="P180" s="277"/>
      <c r="W180" s="277"/>
      <c r="X180" s="277"/>
      <c r="AK180" s="280"/>
      <c r="AS180" s="280"/>
    </row>
    <row r="181" customHeight="1" spans="8:45">
      <c r="H181" s="91"/>
      <c r="I181" s="7"/>
      <c r="J181" s="276"/>
      <c r="K181" s="91"/>
      <c r="L181" s="7"/>
      <c r="O181" s="277"/>
      <c r="P181" s="277"/>
      <c r="W181" s="277"/>
      <c r="X181" s="277"/>
      <c r="AK181" s="280"/>
      <c r="AS181" s="280"/>
    </row>
    <row r="182" customHeight="1" spans="8:45">
      <c r="H182" s="91"/>
      <c r="I182" s="7"/>
      <c r="J182" s="276"/>
      <c r="K182" s="91"/>
      <c r="L182" s="7"/>
      <c r="O182" s="277"/>
      <c r="P182" s="277"/>
      <c r="W182" s="277"/>
      <c r="X182" s="277"/>
      <c r="AK182" s="280"/>
      <c r="AS182" s="280"/>
    </row>
    <row r="183" customHeight="1" spans="8:45">
      <c r="H183" s="91"/>
      <c r="I183" s="7"/>
      <c r="J183" s="276"/>
      <c r="K183" s="91"/>
      <c r="L183" s="7"/>
      <c r="O183" s="277"/>
      <c r="P183" s="277"/>
      <c r="W183" s="277"/>
      <c r="X183" s="277"/>
      <c r="AK183" s="280"/>
      <c r="AS183" s="280"/>
    </row>
    <row r="184" customHeight="1" spans="8:45">
      <c r="H184" s="91"/>
      <c r="I184" s="7"/>
      <c r="J184" s="276"/>
      <c r="K184" s="91"/>
      <c r="L184" s="7"/>
      <c r="O184" s="277"/>
      <c r="P184" s="277"/>
      <c r="W184" s="277"/>
      <c r="X184" s="277"/>
      <c r="AK184" s="280"/>
      <c r="AS184" s="280"/>
    </row>
    <row r="185" customHeight="1" spans="8:45">
      <c r="H185" s="91"/>
      <c r="I185" s="7"/>
      <c r="J185" s="276"/>
      <c r="K185" s="91"/>
      <c r="L185" s="7"/>
      <c r="O185" s="277"/>
      <c r="P185" s="277"/>
      <c r="W185" s="277"/>
      <c r="X185" s="277"/>
      <c r="AK185" s="280"/>
      <c r="AS185" s="280"/>
    </row>
    <row r="186" customHeight="1" spans="8:45">
      <c r="H186" s="91"/>
      <c r="I186" s="7"/>
      <c r="J186" s="276"/>
      <c r="K186" s="91"/>
      <c r="L186" s="7"/>
      <c r="O186" s="277"/>
      <c r="P186" s="277"/>
      <c r="W186" s="277"/>
      <c r="X186" s="277"/>
      <c r="AK186" s="280"/>
      <c r="AS186" s="280"/>
    </row>
    <row r="187" customHeight="1" spans="8:45">
      <c r="H187" s="91"/>
      <c r="I187" s="7"/>
      <c r="J187" s="276"/>
      <c r="K187" s="91"/>
      <c r="L187" s="7"/>
      <c r="O187" s="277"/>
      <c r="P187" s="277"/>
      <c r="W187" s="277"/>
      <c r="X187" s="277"/>
      <c r="AK187" s="280"/>
      <c r="AS187" s="280"/>
    </row>
    <row r="188" customHeight="1" spans="8:45">
      <c r="H188" s="91"/>
      <c r="I188" s="7"/>
      <c r="J188" s="276"/>
      <c r="K188" s="91"/>
      <c r="L188" s="7"/>
      <c r="O188" s="277"/>
      <c r="P188" s="277"/>
      <c r="W188" s="277"/>
      <c r="X188" s="277"/>
      <c r="AK188" s="280"/>
      <c r="AS188" s="280"/>
    </row>
    <row r="189" customHeight="1" spans="8:45">
      <c r="H189" s="91"/>
      <c r="I189" s="7"/>
      <c r="J189" s="276"/>
      <c r="K189" s="91"/>
      <c r="L189" s="7"/>
      <c r="O189" s="277"/>
      <c r="P189" s="277"/>
      <c r="W189" s="277"/>
      <c r="X189" s="277"/>
      <c r="AK189" s="280"/>
      <c r="AS189" s="280"/>
    </row>
    <row r="190" customHeight="1" spans="8:45">
      <c r="H190" s="91"/>
      <c r="I190" s="7"/>
      <c r="J190" s="276"/>
      <c r="K190" s="91"/>
      <c r="L190" s="7"/>
      <c r="O190" s="277"/>
      <c r="P190" s="277"/>
      <c r="W190" s="277"/>
      <c r="X190" s="277"/>
      <c r="AK190" s="280"/>
      <c r="AS190" s="280"/>
    </row>
    <row r="191" customHeight="1" spans="8:45">
      <c r="H191" s="91"/>
      <c r="I191" s="7"/>
      <c r="J191" s="276"/>
      <c r="K191" s="91"/>
      <c r="L191" s="7"/>
      <c r="O191" s="277"/>
      <c r="P191" s="277"/>
      <c r="W191" s="277"/>
      <c r="X191" s="277"/>
      <c r="AK191" s="280"/>
      <c r="AS191" s="280"/>
    </row>
    <row r="192" customHeight="1" spans="8:45">
      <c r="H192" s="91"/>
      <c r="I192" s="7"/>
      <c r="J192" s="276"/>
      <c r="K192" s="91"/>
      <c r="L192" s="7"/>
      <c r="O192" s="277"/>
      <c r="P192" s="277"/>
      <c r="W192" s="277"/>
      <c r="X192" s="277"/>
      <c r="AK192" s="280"/>
      <c r="AS192" s="280"/>
    </row>
    <row r="193" customHeight="1" spans="8:45">
      <c r="H193" s="91"/>
      <c r="I193" s="7"/>
      <c r="J193" s="276"/>
      <c r="K193" s="91"/>
      <c r="L193" s="7"/>
      <c r="O193" s="277"/>
      <c r="P193" s="277"/>
      <c r="W193" s="277"/>
      <c r="X193" s="277"/>
      <c r="AK193" s="280"/>
      <c r="AS193" s="280"/>
    </row>
    <row r="194" customHeight="1" spans="8:45">
      <c r="H194" s="91"/>
      <c r="I194" s="7"/>
      <c r="J194" s="276"/>
      <c r="K194" s="91"/>
      <c r="L194" s="7"/>
      <c r="O194" s="277"/>
      <c r="P194" s="277"/>
      <c r="W194" s="277"/>
      <c r="X194" s="277"/>
      <c r="AK194" s="280"/>
      <c r="AS194" s="280"/>
    </row>
    <row r="195" customHeight="1" spans="8:45">
      <c r="H195" s="91"/>
      <c r="I195" s="7"/>
      <c r="J195" s="276"/>
      <c r="K195" s="91"/>
      <c r="L195" s="7"/>
      <c r="O195" s="277"/>
      <c r="P195" s="277"/>
      <c r="W195" s="277"/>
      <c r="X195" s="277"/>
      <c r="AK195" s="280"/>
      <c r="AS195" s="280"/>
    </row>
    <row r="196" customHeight="1" spans="8:45">
      <c r="H196" s="91"/>
      <c r="I196" s="7"/>
      <c r="J196" s="276"/>
      <c r="K196" s="91"/>
      <c r="L196" s="7"/>
      <c r="O196" s="277"/>
      <c r="P196" s="277"/>
      <c r="W196" s="277"/>
      <c r="X196" s="277"/>
      <c r="AK196" s="280"/>
      <c r="AS196" s="280"/>
    </row>
    <row r="197" customHeight="1" spans="8:45">
      <c r="H197" s="91"/>
      <c r="I197" s="7"/>
      <c r="J197" s="276"/>
      <c r="K197" s="91"/>
      <c r="L197" s="7"/>
      <c r="O197" s="277"/>
      <c r="P197" s="277"/>
      <c r="W197" s="277"/>
      <c r="X197" s="277"/>
      <c r="AK197" s="280"/>
      <c r="AS197" s="280"/>
    </row>
    <row r="198" customHeight="1" spans="8:45">
      <c r="H198" s="91"/>
      <c r="I198" s="7"/>
      <c r="J198" s="276"/>
      <c r="K198" s="91"/>
      <c r="L198" s="7"/>
      <c r="O198" s="277"/>
      <c r="P198" s="277"/>
      <c r="W198" s="277"/>
      <c r="X198" s="277"/>
      <c r="AK198" s="280"/>
      <c r="AS198" s="280"/>
    </row>
    <row r="199" customHeight="1" spans="8:45">
      <c r="H199" s="91"/>
      <c r="I199" s="7"/>
      <c r="J199" s="276"/>
      <c r="K199" s="91"/>
      <c r="L199" s="7"/>
      <c r="O199" s="277"/>
      <c r="P199" s="277"/>
      <c r="W199" s="277"/>
      <c r="X199" s="277"/>
      <c r="AK199" s="280"/>
      <c r="AS199" s="280"/>
    </row>
    <row r="200" customHeight="1" spans="8:45">
      <c r="H200" s="91"/>
      <c r="I200" s="7"/>
      <c r="J200" s="276"/>
      <c r="K200" s="91"/>
      <c r="L200" s="7"/>
      <c r="O200" s="277"/>
      <c r="P200" s="277"/>
      <c r="W200" s="277"/>
      <c r="X200" s="277"/>
      <c r="AK200" s="280"/>
      <c r="AS200" s="280"/>
    </row>
    <row r="201" customHeight="1" spans="8:45">
      <c r="H201" s="91"/>
      <c r="I201" s="7"/>
      <c r="J201" s="276"/>
      <c r="K201" s="91"/>
      <c r="L201" s="7"/>
      <c r="O201" s="277"/>
      <c r="P201" s="277"/>
      <c r="W201" s="277"/>
      <c r="X201" s="277"/>
      <c r="AK201" s="280"/>
      <c r="AS201" s="280"/>
    </row>
    <row r="202" customHeight="1" spans="8:45">
      <c r="H202" s="91"/>
      <c r="I202" s="7"/>
      <c r="J202" s="276"/>
      <c r="K202" s="91"/>
      <c r="L202" s="7"/>
      <c r="O202" s="277"/>
      <c r="P202" s="277"/>
      <c r="W202" s="277"/>
      <c r="X202" s="277"/>
      <c r="AK202" s="280"/>
      <c r="AS202" s="280"/>
    </row>
    <row r="203" customHeight="1" spans="8:45">
      <c r="H203" s="91"/>
      <c r="I203" s="7"/>
      <c r="J203" s="276"/>
      <c r="K203" s="91"/>
      <c r="L203" s="7"/>
      <c r="O203" s="277"/>
      <c r="P203" s="277"/>
      <c r="W203" s="277"/>
      <c r="X203" s="277"/>
      <c r="AK203" s="280"/>
      <c r="AS203" s="280"/>
    </row>
    <row r="204" customHeight="1" spans="8:45">
      <c r="H204" s="91"/>
      <c r="I204" s="7"/>
      <c r="J204" s="276"/>
      <c r="K204" s="91"/>
      <c r="L204" s="7"/>
      <c r="O204" s="277"/>
      <c r="P204" s="277"/>
      <c r="W204" s="277"/>
      <c r="X204" s="277"/>
      <c r="AK204" s="280"/>
      <c r="AS204" s="280"/>
    </row>
    <row r="205" customHeight="1" spans="8:45">
      <c r="H205" s="91"/>
      <c r="I205" s="7"/>
      <c r="J205" s="276"/>
      <c r="K205" s="91"/>
      <c r="L205" s="7"/>
      <c r="O205" s="277"/>
      <c r="P205" s="277"/>
      <c r="W205" s="277"/>
      <c r="X205" s="277"/>
      <c r="AK205" s="280"/>
      <c r="AS205" s="280"/>
    </row>
    <row r="206" customHeight="1" spans="8:45">
      <c r="H206" s="91"/>
      <c r="I206" s="7"/>
      <c r="J206" s="276"/>
      <c r="K206" s="91"/>
      <c r="L206" s="7"/>
      <c r="O206" s="277"/>
      <c r="P206" s="277"/>
      <c r="W206" s="277"/>
      <c r="X206" s="277"/>
      <c r="AK206" s="280"/>
      <c r="AS206" s="280"/>
    </row>
    <row r="207" customHeight="1" spans="8:45">
      <c r="H207" s="91"/>
      <c r="I207" s="7"/>
      <c r="J207" s="276"/>
      <c r="K207" s="91"/>
      <c r="L207" s="7"/>
      <c r="O207" s="277"/>
      <c r="P207" s="277"/>
      <c r="W207" s="277"/>
      <c r="X207" s="277"/>
      <c r="AK207" s="280"/>
      <c r="AS207" s="280"/>
    </row>
    <row r="208" customHeight="1" spans="8:45">
      <c r="H208" s="91"/>
      <c r="I208" s="7"/>
      <c r="J208" s="276"/>
      <c r="K208" s="91"/>
      <c r="L208" s="7"/>
      <c r="O208" s="277"/>
      <c r="P208" s="277"/>
      <c r="W208" s="277"/>
      <c r="X208" s="277"/>
      <c r="AK208" s="280"/>
      <c r="AS208" s="280"/>
    </row>
    <row r="209" customHeight="1" spans="8:45">
      <c r="H209" s="91"/>
      <c r="I209" s="7"/>
      <c r="J209" s="276"/>
      <c r="K209" s="91"/>
      <c r="L209" s="7"/>
      <c r="O209" s="277"/>
      <c r="P209" s="277"/>
      <c r="W209" s="277"/>
      <c r="X209" s="277"/>
      <c r="AK209" s="280"/>
      <c r="AS209" s="280"/>
    </row>
    <row r="210" customHeight="1" spans="8:45">
      <c r="H210" s="91"/>
      <c r="I210" s="7"/>
      <c r="J210" s="276"/>
      <c r="K210" s="91"/>
      <c r="L210" s="7"/>
      <c r="O210" s="277"/>
      <c r="P210" s="277"/>
      <c r="W210" s="277"/>
      <c r="X210" s="277"/>
      <c r="AK210" s="280"/>
      <c r="AS210" s="280"/>
    </row>
    <row r="211" customHeight="1" spans="8:45">
      <c r="H211" s="91"/>
      <c r="I211" s="7"/>
      <c r="J211" s="276"/>
      <c r="K211" s="91"/>
      <c r="L211" s="7"/>
      <c r="O211" s="277"/>
      <c r="P211" s="277"/>
      <c r="W211" s="277"/>
      <c r="X211" s="277"/>
      <c r="AK211" s="280"/>
      <c r="AS211" s="280"/>
    </row>
    <row r="212" customHeight="1" spans="8:45">
      <c r="H212" s="91"/>
      <c r="I212" s="7"/>
      <c r="J212" s="276"/>
      <c r="K212" s="91"/>
      <c r="L212" s="7"/>
      <c r="O212" s="277"/>
      <c r="P212" s="277"/>
      <c r="W212" s="277"/>
      <c r="X212" s="277"/>
      <c r="AK212" s="280"/>
      <c r="AS212" s="280"/>
    </row>
    <row r="213" customHeight="1" spans="8:45">
      <c r="H213" s="91"/>
      <c r="I213" s="7"/>
      <c r="J213" s="276"/>
      <c r="K213" s="91"/>
      <c r="L213" s="7"/>
      <c r="O213" s="277"/>
      <c r="P213" s="277"/>
      <c r="W213" s="277"/>
      <c r="X213" s="277"/>
      <c r="AK213" s="280"/>
      <c r="AS213" s="280"/>
    </row>
    <row r="214" customHeight="1" spans="8:45">
      <c r="H214" s="91"/>
      <c r="I214" s="7"/>
      <c r="J214" s="276"/>
      <c r="K214" s="91"/>
      <c r="L214" s="7"/>
      <c r="O214" s="277"/>
      <c r="P214" s="277"/>
      <c r="W214" s="277"/>
      <c r="X214" s="277"/>
      <c r="AK214" s="280"/>
      <c r="AS214" s="280"/>
    </row>
    <row r="215" customHeight="1" spans="8:45">
      <c r="H215" s="91"/>
      <c r="I215" s="7"/>
      <c r="J215" s="276"/>
      <c r="K215" s="91"/>
      <c r="L215" s="7"/>
      <c r="O215" s="277"/>
      <c r="P215" s="277"/>
      <c r="W215" s="277"/>
      <c r="X215" s="277"/>
      <c r="AK215" s="280"/>
      <c r="AS215" s="280"/>
    </row>
    <row r="216" customHeight="1" spans="8:45">
      <c r="H216" s="91"/>
      <c r="I216" s="7"/>
      <c r="J216" s="276"/>
      <c r="K216" s="91"/>
      <c r="L216" s="7"/>
      <c r="O216" s="277"/>
      <c r="P216" s="277"/>
      <c r="W216" s="277"/>
      <c r="X216" s="277"/>
      <c r="AK216" s="280"/>
      <c r="AS216" s="280"/>
    </row>
    <row r="217" customHeight="1" spans="8:45">
      <c r="H217" s="91"/>
      <c r="I217" s="7"/>
      <c r="J217" s="276"/>
      <c r="K217" s="91"/>
      <c r="L217" s="7"/>
      <c r="O217" s="277"/>
      <c r="P217" s="277"/>
      <c r="W217" s="277"/>
      <c r="X217" s="277"/>
      <c r="AK217" s="280"/>
      <c r="AS217" s="280"/>
    </row>
    <row r="218" customHeight="1" spans="8:45">
      <c r="H218" s="91"/>
      <c r="I218" s="7"/>
      <c r="J218" s="276"/>
      <c r="K218" s="91"/>
      <c r="L218" s="7"/>
      <c r="O218" s="277"/>
      <c r="P218" s="277"/>
      <c r="W218" s="277"/>
      <c r="X218" s="277"/>
      <c r="AK218" s="280"/>
      <c r="AS218" s="280"/>
    </row>
    <row r="219" customHeight="1" spans="8:45">
      <c r="H219" s="91"/>
      <c r="I219" s="7"/>
      <c r="J219" s="276"/>
      <c r="K219" s="91"/>
      <c r="L219" s="7"/>
      <c r="O219" s="277"/>
      <c r="P219" s="277"/>
      <c r="W219" s="277"/>
      <c r="X219" s="277"/>
      <c r="AK219" s="280"/>
      <c r="AS219" s="280"/>
    </row>
    <row r="220" customHeight="1" spans="8:45">
      <c r="H220" s="91"/>
      <c r="I220" s="7"/>
      <c r="J220" s="276"/>
      <c r="K220" s="91"/>
      <c r="L220" s="7"/>
      <c r="O220" s="277"/>
      <c r="P220" s="277"/>
      <c r="W220" s="277"/>
      <c r="X220" s="277"/>
      <c r="AK220" s="280"/>
      <c r="AS220" s="280"/>
    </row>
    <row r="221" customHeight="1" spans="8:45">
      <c r="H221" s="91"/>
      <c r="I221" s="7"/>
      <c r="J221" s="276"/>
      <c r="K221" s="91"/>
      <c r="L221" s="7"/>
      <c r="O221" s="277"/>
      <c r="P221" s="277"/>
      <c r="W221" s="277"/>
      <c r="X221" s="277"/>
      <c r="AK221" s="280"/>
      <c r="AS221" s="280"/>
    </row>
    <row r="222" customHeight="1" spans="8:45">
      <c r="H222" s="91"/>
      <c r="I222" s="7"/>
      <c r="J222" s="276"/>
      <c r="K222" s="91"/>
      <c r="L222" s="7"/>
      <c r="O222" s="277"/>
      <c r="P222" s="277"/>
      <c r="W222" s="277"/>
      <c r="X222" s="277"/>
      <c r="AK222" s="280"/>
      <c r="AS222" s="280"/>
    </row>
    <row r="223" customHeight="1" spans="8:45">
      <c r="H223" s="91"/>
      <c r="I223" s="7"/>
      <c r="J223" s="276"/>
      <c r="K223" s="91"/>
      <c r="L223" s="7"/>
      <c r="O223" s="277"/>
      <c r="P223" s="277"/>
      <c r="W223" s="277"/>
      <c r="X223" s="277"/>
      <c r="AK223" s="280"/>
      <c r="AS223" s="280"/>
    </row>
    <row r="224" customHeight="1" spans="8:45">
      <c r="H224" s="91"/>
      <c r="I224" s="7"/>
      <c r="J224" s="276"/>
      <c r="K224" s="91"/>
      <c r="L224" s="7"/>
      <c r="O224" s="277"/>
      <c r="P224" s="277"/>
      <c r="W224" s="277"/>
      <c r="X224" s="277"/>
      <c r="AK224" s="280"/>
      <c r="AS224" s="280"/>
    </row>
    <row r="225" customHeight="1" spans="8:45">
      <c r="H225" s="91"/>
      <c r="I225" s="7"/>
      <c r="J225" s="276"/>
      <c r="K225" s="91"/>
      <c r="L225" s="7"/>
      <c r="O225" s="277"/>
      <c r="P225" s="277"/>
      <c r="W225" s="277"/>
      <c r="X225" s="277"/>
      <c r="AK225" s="280"/>
      <c r="AS225" s="280"/>
    </row>
    <row r="226" customHeight="1" spans="8:45">
      <c r="H226" s="91"/>
      <c r="I226" s="7"/>
      <c r="J226" s="276"/>
      <c r="K226" s="91"/>
      <c r="L226" s="7"/>
      <c r="O226" s="277"/>
      <c r="P226" s="277"/>
      <c r="W226" s="277"/>
      <c r="X226" s="277"/>
      <c r="AK226" s="280"/>
      <c r="AS226" s="280"/>
    </row>
    <row r="227" customHeight="1" spans="8:45">
      <c r="H227" s="91"/>
      <c r="I227" s="7"/>
      <c r="J227" s="276"/>
      <c r="K227" s="91"/>
      <c r="L227" s="7"/>
      <c r="O227" s="277"/>
      <c r="P227" s="277"/>
      <c r="W227" s="277"/>
      <c r="X227" s="277"/>
      <c r="AK227" s="280"/>
      <c r="AS227" s="280"/>
    </row>
    <row r="228" customHeight="1" spans="8:45">
      <c r="H228" s="91"/>
      <c r="I228" s="7"/>
      <c r="J228" s="276"/>
      <c r="K228" s="91"/>
      <c r="L228" s="7"/>
      <c r="O228" s="277"/>
      <c r="P228" s="277"/>
      <c r="W228" s="277"/>
      <c r="X228" s="277"/>
      <c r="AK228" s="280"/>
      <c r="AS228" s="280"/>
    </row>
    <row r="229" customHeight="1" spans="8:45">
      <c r="H229" s="91"/>
      <c r="I229" s="7"/>
      <c r="J229" s="276"/>
      <c r="K229" s="91"/>
      <c r="L229" s="7"/>
      <c r="O229" s="277"/>
      <c r="P229" s="277"/>
      <c r="W229" s="277"/>
      <c r="X229" s="277"/>
      <c r="AK229" s="280"/>
      <c r="AS229" s="280"/>
    </row>
    <row r="230" customHeight="1" spans="8:45">
      <c r="H230" s="91"/>
      <c r="I230" s="7"/>
      <c r="J230" s="276"/>
      <c r="K230" s="91"/>
      <c r="L230" s="7"/>
      <c r="O230" s="277"/>
      <c r="P230" s="277"/>
      <c r="W230" s="277"/>
      <c r="X230" s="277"/>
      <c r="AK230" s="280"/>
      <c r="AS230" s="280"/>
    </row>
    <row r="231" customHeight="1" spans="8:45">
      <c r="H231" s="91"/>
      <c r="I231" s="7"/>
      <c r="J231" s="276"/>
      <c r="K231" s="91"/>
      <c r="L231" s="7"/>
      <c r="O231" s="277"/>
      <c r="P231" s="277"/>
      <c r="W231" s="277"/>
      <c r="X231" s="277"/>
      <c r="AK231" s="280"/>
      <c r="AS231" s="280"/>
    </row>
    <row r="232" customHeight="1" spans="8:45">
      <c r="H232" s="91"/>
      <c r="I232" s="7"/>
      <c r="J232" s="276"/>
      <c r="K232" s="91"/>
      <c r="L232" s="7"/>
      <c r="O232" s="277"/>
      <c r="P232" s="277"/>
      <c r="W232" s="277"/>
      <c r="X232" s="277"/>
      <c r="AK232" s="280"/>
      <c r="AS232" s="280"/>
    </row>
    <row r="233" customHeight="1" spans="8:45">
      <c r="H233" s="91"/>
      <c r="I233" s="7"/>
      <c r="J233" s="276"/>
      <c r="K233" s="91"/>
      <c r="L233" s="7"/>
      <c r="O233" s="277"/>
      <c r="P233" s="277"/>
      <c r="W233" s="277"/>
      <c r="X233" s="277"/>
      <c r="AK233" s="280"/>
      <c r="AS233" s="280"/>
    </row>
    <row r="234" customHeight="1" spans="8:45">
      <c r="H234" s="91"/>
      <c r="I234" s="7"/>
      <c r="J234" s="276"/>
      <c r="K234" s="91"/>
      <c r="L234" s="7"/>
      <c r="O234" s="277"/>
      <c r="P234" s="277"/>
      <c r="W234" s="277"/>
      <c r="X234" s="277"/>
      <c r="AK234" s="280"/>
      <c r="AS234" s="280"/>
    </row>
    <row r="235" customHeight="1" spans="8:45">
      <c r="H235" s="91"/>
      <c r="I235" s="7"/>
      <c r="J235" s="276"/>
      <c r="K235" s="91"/>
      <c r="L235" s="7"/>
      <c r="O235" s="277"/>
      <c r="P235" s="277"/>
      <c r="W235" s="277"/>
      <c r="X235" s="277"/>
      <c r="AK235" s="280"/>
      <c r="AS235" s="280"/>
    </row>
    <row r="236" customHeight="1" spans="8:45">
      <c r="H236" s="91"/>
      <c r="I236" s="7"/>
      <c r="J236" s="276"/>
      <c r="K236" s="91"/>
      <c r="L236" s="7"/>
      <c r="O236" s="277"/>
      <c r="P236" s="277"/>
      <c r="W236" s="277"/>
      <c r="X236" s="277"/>
      <c r="AK236" s="280"/>
      <c r="AS236" s="280"/>
    </row>
    <row r="237" customHeight="1" spans="8:45">
      <c r="H237" s="91"/>
      <c r="I237" s="7"/>
      <c r="J237" s="276"/>
      <c r="K237" s="91"/>
      <c r="L237" s="7"/>
      <c r="O237" s="277"/>
      <c r="P237" s="277"/>
      <c r="W237" s="277"/>
      <c r="X237" s="277"/>
      <c r="AK237" s="280"/>
      <c r="AS237" s="280"/>
    </row>
    <row r="238" customHeight="1" spans="8:45">
      <c r="H238" s="91"/>
      <c r="I238" s="7"/>
      <c r="J238" s="276"/>
      <c r="K238" s="91"/>
      <c r="L238" s="7"/>
      <c r="O238" s="277"/>
      <c r="P238" s="277"/>
      <c r="W238" s="277"/>
      <c r="X238" s="277"/>
      <c r="AK238" s="280"/>
      <c r="AS238" s="280"/>
    </row>
    <row r="239" customHeight="1" spans="8:45">
      <c r="H239" s="91"/>
      <c r="I239" s="7"/>
      <c r="J239" s="276"/>
      <c r="K239" s="91"/>
      <c r="L239" s="7"/>
      <c r="O239" s="277"/>
      <c r="P239" s="277"/>
      <c r="W239" s="277"/>
      <c r="X239" s="277"/>
      <c r="AK239" s="280"/>
      <c r="AS239" s="280"/>
    </row>
    <row r="240" customHeight="1" spans="8:45">
      <c r="H240" s="91"/>
      <c r="I240" s="7"/>
      <c r="J240" s="276"/>
      <c r="K240" s="91"/>
      <c r="L240" s="7"/>
      <c r="O240" s="277"/>
      <c r="P240" s="277"/>
      <c r="W240" s="277"/>
      <c r="X240" s="277"/>
      <c r="AK240" s="280"/>
      <c r="AS240" s="280"/>
    </row>
    <row r="241" customHeight="1" spans="8:45">
      <c r="H241" s="91"/>
      <c r="I241" s="7"/>
      <c r="J241" s="276"/>
      <c r="K241" s="91"/>
      <c r="L241" s="7"/>
      <c r="O241" s="277"/>
      <c r="P241" s="277"/>
      <c r="W241" s="277"/>
      <c r="X241" s="277"/>
      <c r="AK241" s="280"/>
      <c r="AS241" s="280"/>
    </row>
    <row r="242" customHeight="1" spans="8:45">
      <c r="H242" s="91"/>
      <c r="I242" s="7"/>
      <c r="J242" s="276"/>
      <c r="K242" s="91"/>
      <c r="L242" s="7"/>
      <c r="O242" s="277"/>
      <c r="P242" s="277"/>
      <c r="W242" s="277"/>
      <c r="X242" s="277"/>
      <c r="AK242" s="280"/>
      <c r="AS242" s="280"/>
    </row>
    <row r="243" customHeight="1" spans="8:45">
      <c r="H243" s="91"/>
      <c r="I243" s="7"/>
      <c r="J243" s="276"/>
      <c r="K243" s="91"/>
      <c r="L243" s="7"/>
      <c r="O243" s="277"/>
      <c r="P243" s="277"/>
      <c r="W243" s="277"/>
      <c r="X243" s="277"/>
      <c r="AK243" s="280"/>
      <c r="AS243" s="280"/>
    </row>
    <row r="244" customHeight="1" spans="8:45">
      <c r="H244" s="91"/>
      <c r="I244" s="7"/>
      <c r="J244" s="276"/>
      <c r="K244" s="91"/>
      <c r="L244" s="7"/>
      <c r="O244" s="277"/>
      <c r="P244" s="277"/>
      <c r="W244" s="277"/>
      <c r="X244" s="277"/>
      <c r="AK244" s="280"/>
      <c r="AS244" s="280"/>
    </row>
    <row r="245" customHeight="1" spans="8:45">
      <c r="H245" s="91"/>
      <c r="I245" s="7"/>
      <c r="J245" s="276"/>
      <c r="K245" s="91"/>
      <c r="L245" s="7"/>
      <c r="O245" s="277"/>
      <c r="P245" s="277"/>
      <c r="W245" s="277"/>
      <c r="X245" s="277"/>
      <c r="AK245" s="280"/>
      <c r="AS245" s="280"/>
    </row>
    <row r="246" customHeight="1" spans="8:45">
      <c r="H246" s="91"/>
      <c r="I246" s="7"/>
      <c r="J246" s="276"/>
      <c r="K246" s="91"/>
      <c r="L246" s="7"/>
      <c r="O246" s="277"/>
      <c r="P246" s="277"/>
      <c r="W246" s="277"/>
      <c r="X246" s="277"/>
      <c r="AK246" s="280"/>
      <c r="AS246" s="280"/>
    </row>
    <row r="247" customHeight="1" spans="8:45">
      <c r="H247" s="91"/>
      <c r="I247" s="7"/>
      <c r="J247" s="276"/>
      <c r="K247" s="91"/>
      <c r="L247" s="7"/>
      <c r="O247" s="277"/>
      <c r="P247" s="277"/>
      <c r="W247" s="277"/>
      <c r="X247" s="277"/>
      <c r="AK247" s="280"/>
      <c r="AS247" s="280"/>
    </row>
    <row r="248" customHeight="1" spans="8:45">
      <c r="H248" s="91"/>
      <c r="I248" s="7"/>
      <c r="J248" s="276"/>
      <c r="K248" s="91"/>
      <c r="L248" s="7"/>
      <c r="O248" s="277"/>
      <c r="P248" s="277"/>
      <c r="W248" s="277"/>
      <c r="X248" s="277"/>
      <c r="AK248" s="280"/>
      <c r="AS248" s="280"/>
    </row>
    <row r="249" customHeight="1" spans="8:45">
      <c r="H249" s="91"/>
      <c r="I249" s="7"/>
      <c r="J249" s="276"/>
      <c r="K249" s="91"/>
      <c r="L249" s="7"/>
      <c r="O249" s="277"/>
      <c r="P249" s="277"/>
      <c r="W249" s="277"/>
      <c r="X249" s="277"/>
      <c r="AK249" s="280"/>
      <c r="AS249" s="280"/>
    </row>
    <row r="250" customHeight="1" spans="8:45">
      <c r="H250" s="91"/>
      <c r="I250" s="7"/>
      <c r="J250" s="276"/>
      <c r="K250" s="91"/>
      <c r="L250" s="7"/>
      <c r="O250" s="277"/>
      <c r="P250" s="277"/>
      <c r="W250" s="277"/>
      <c r="X250" s="277"/>
      <c r="AK250" s="280"/>
      <c r="AS250" s="280"/>
    </row>
    <row r="251" customHeight="1" spans="8:45">
      <c r="H251" s="91"/>
      <c r="I251" s="7"/>
      <c r="J251" s="276"/>
      <c r="K251" s="91"/>
      <c r="L251" s="7"/>
      <c r="O251" s="277"/>
      <c r="P251" s="277"/>
      <c r="W251" s="277"/>
      <c r="X251" s="277"/>
      <c r="AK251" s="280"/>
      <c r="AS251" s="280"/>
    </row>
    <row r="252" customHeight="1" spans="8:45">
      <c r="H252" s="91"/>
      <c r="I252" s="7"/>
      <c r="J252" s="276"/>
      <c r="K252" s="91"/>
      <c r="L252" s="7"/>
      <c r="O252" s="277"/>
      <c r="P252" s="277"/>
      <c r="W252" s="277"/>
      <c r="X252" s="277"/>
      <c r="AK252" s="280"/>
      <c r="AS252" s="280"/>
    </row>
    <row r="253" customHeight="1" spans="8:45">
      <c r="H253" s="91"/>
      <c r="I253" s="7"/>
      <c r="J253" s="276"/>
      <c r="K253" s="91"/>
      <c r="L253" s="7"/>
      <c r="O253" s="277"/>
      <c r="P253" s="277"/>
      <c r="W253" s="277"/>
      <c r="X253" s="277"/>
      <c r="AK253" s="280"/>
      <c r="AS253" s="280"/>
    </row>
    <row r="254" customHeight="1" spans="8:45">
      <c r="H254" s="91"/>
      <c r="I254" s="7"/>
      <c r="J254" s="276"/>
      <c r="K254" s="91"/>
      <c r="L254" s="7"/>
      <c r="O254" s="277"/>
      <c r="P254" s="277"/>
      <c r="W254" s="277"/>
      <c r="X254" s="277"/>
      <c r="AK254" s="280"/>
      <c r="AS254" s="280"/>
    </row>
    <row r="255" customHeight="1" spans="8:45">
      <c r="H255" s="91"/>
      <c r="I255" s="7"/>
      <c r="J255" s="276"/>
      <c r="K255" s="91"/>
      <c r="L255" s="7"/>
      <c r="O255" s="277"/>
      <c r="P255" s="277"/>
      <c r="W255" s="277"/>
      <c r="X255" s="277"/>
      <c r="AK255" s="280"/>
      <c r="AS255" s="280"/>
    </row>
    <row r="256" customHeight="1" spans="8:45">
      <c r="H256" s="91"/>
      <c r="I256" s="7"/>
      <c r="J256" s="276"/>
      <c r="K256" s="91"/>
      <c r="L256" s="7"/>
      <c r="O256" s="277"/>
      <c r="P256" s="277"/>
      <c r="W256" s="277"/>
      <c r="X256" s="277"/>
      <c r="AK256" s="280"/>
      <c r="AS256" s="280"/>
    </row>
    <row r="257" customHeight="1" spans="8:45">
      <c r="H257" s="91"/>
      <c r="I257" s="7"/>
      <c r="J257" s="276"/>
      <c r="K257" s="91"/>
      <c r="L257" s="7"/>
      <c r="O257" s="277"/>
      <c r="P257" s="277"/>
      <c r="W257" s="277"/>
      <c r="X257" s="277"/>
      <c r="AK257" s="280"/>
      <c r="AS257" s="280"/>
    </row>
    <row r="258" customHeight="1" spans="8:45">
      <c r="H258" s="91"/>
      <c r="I258" s="7"/>
      <c r="J258" s="276"/>
      <c r="K258" s="91"/>
      <c r="L258" s="7"/>
      <c r="O258" s="277"/>
      <c r="P258" s="277"/>
      <c r="W258" s="277"/>
      <c r="X258" s="277"/>
      <c r="AK258" s="280"/>
      <c r="AS258" s="280"/>
    </row>
    <row r="259" customHeight="1" spans="8:45">
      <c r="H259" s="91"/>
      <c r="I259" s="7"/>
      <c r="J259" s="276"/>
      <c r="K259" s="91"/>
      <c r="L259" s="7"/>
      <c r="O259" s="277"/>
      <c r="P259" s="277"/>
      <c r="W259" s="277"/>
      <c r="X259" s="277"/>
      <c r="AK259" s="280"/>
      <c r="AS259" s="280"/>
    </row>
    <row r="260" customHeight="1" spans="8:45">
      <c r="H260" s="91"/>
      <c r="I260" s="7"/>
      <c r="J260" s="276"/>
      <c r="K260" s="91"/>
      <c r="L260" s="7"/>
      <c r="O260" s="277"/>
      <c r="P260" s="277"/>
      <c r="W260" s="277"/>
      <c r="X260" s="277"/>
      <c r="AK260" s="280"/>
      <c r="AS260" s="280"/>
    </row>
    <row r="261" customHeight="1" spans="8:45">
      <c r="H261" s="91"/>
      <c r="I261" s="7"/>
      <c r="J261" s="276"/>
      <c r="K261" s="91"/>
      <c r="L261" s="7"/>
      <c r="O261" s="277"/>
      <c r="P261" s="277"/>
      <c r="W261" s="277"/>
      <c r="X261" s="277"/>
      <c r="AK261" s="280"/>
      <c r="AS261" s="280"/>
    </row>
    <row r="262" customHeight="1" spans="8:45">
      <c r="H262" s="91"/>
      <c r="I262" s="7"/>
      <c r="J262" s="276"/>
      <c r="K262" s="91"/>
      <c r="L262" s="7"/>
      <c r="O262" s="277"/>
      <c r="P262" s="277"/>
      <c r="W262" s="277"/>
      <c r="X262" s="277"/>
      <c r="AK262" s="280"/>
      <c r="AS262" s="280"/>
    </row>
    <row r="263" customHeight="1" spans="8:45">
      <c r="H263" s="91"/>
      <c r="I263" s="7"/>
      <c r="J263" s="276"/>
      <c r="K263" s="91"/>
      <c r="L263" s="7"/>
      <c r="O263" s="277"/>
      <c r="P263" s="277"/>
      <c r="W263" s="277"/>
      <c r="X263" s="277"/>
      <c r="AK263" s="280"/>
      <c r="AS263" s="280"/>
    </row>
    <row r="264" customHeight="1" spans="8:45">
      <c r="H264" s="91"/>
      <c r="I264" s="7"/>
      <c r="J264" s="276"/>
      <c r="K264" s="91"/>
      <c r="L264" s="7"/>
      <c r="O264" s="277"/>
      <c r="P264" s="277"/>
      <c r="W264" s="277"/>
      <c r="X264" s="277"/>
      <c r="AK264" s="280"/>
      <c r="AS264" s="280"/>
    </row>
    <row r="265" customHeight="1" spans="8:45">
      <c r="H265" s="91"/>
      <c r="I265" s="7"/>
      <c r="J265" s="276"/>
      <c r="K265" s="91"/>
      <c r="L265" s="7"/>
      <c r="O265" s="277"/>
      <c r="P265" s="277"/>
      <c r="W265" s="277"/>
      <c r="X265" s="277"/>
      <c r="AK265" s="280"/>
      <c r="AS265" s="280"/>
    </row>
    <row r="266" customHeight="1" spans="8:45">
      <c r="H266" s="91"/>
      <c r="I266" s="7"/>
      <c r="J266" s="276"/>
      <c r="K266" s="91"/>
      <c r="L266" s="7"/>
      <c r="O266" s="277"/>
      <c r="P266" s="277"/>
      <c r="W266" s="277"/>
      <c r="X266" s="277"/>
      <c r="AK266" s="280"/>
      <c r="AS266" s="280"/>
    </row>
    <row r="267" customHeight="1" spans="8:45">
      <c r="H267" s="91"/>
      <c r="I267" s="7"/>
      <c r="J267" s="276"/>
      <c r="K267" s="91"/>
      <c r="L267" s="7"/>
      <c r="O267" s="277"/>
      <c r="P267" s="277"/>
      <c r="W267" s="277"/>
      <c r="X267" s="277"/>
      <c r="AK267" s="280"/>
      <c r="AS267" s="280"/>
    </row>
    <row r="268" customHeight="1" spans="8:45">
      <c r="H268" s="91"/>
      <c r="I268" s="7"/>
      <c r="J268" s="276"/>
      <c r="K268" s="91"/>
      <c r="L268" s="7"/>
      <c r="O268" s="277"/>
      <c r="P268" s="277"/>
      <c r="W268" s="277"/>
      <c r="X268" s="277"/>
      <c r="AK268" s="280"/>
      <c r="AS268" s="280"/>
    </row>
    <row r="269" customHeight="1" spans="8:45">
      <c r="H269" s="91"/>
      <c r="I269" s="7"/>
      <c r="J269" s="276"/>
      <c r="K269" s="91"/>
      <c r="L269" s="7"/>
      <c r="O269" s="277"/>
      <c r="P269" s="277"/>
      <c r="W269" s="277"/>
      <c r="X269" s="277"/>
      <c r="AK269" s="280"/>
      <c r="AS269" s="280"/>
    </row>
    <row r="270" customHeight="1" spans="8:45">
      <c r="H270" s="91"/>
      <c r="I270" s="7"/>
      <c r="J270" s="276"/>
      <c r="K270" s="91"/>
      <c r="L270" s="7"/>
      <c r="O270" s="277"/>
      <c r="P270" s="277"/>
      <c r="W270" s="277"/>
      <c r="X270" s="277"/>
      <c r="AK270" s="280"/>
      <c r="AS270" s="280"/>
    </row>
    <row r="271" customHeight="1" spans="8:45">
      <c r="H271" s="91"/>
      <c r="I271" s="7"/>
      <c r="J271" s="276"/>
      <c r="K271" s="91"/>
      <c r="L271" s="7"/>
      <c r="O271" s="277"/>
      <c r="P271" s="277"/>
      <c r="W271" s="277"/>
      <c r="X271" s="277"/>
      <c r="AK271" s="280"/>
      <c r="AS271" s="280"/>
    </row>
    <row r="272" customHeight="1" spans="8:45">
      <c r="H272" s="91"/>
      <c r="I272" s="7"/>
      <c r="J272" s="276"/>
      <c r="K272" s="91"/>
      <c r="L272" s="7"/>
      <c r="O272" s="277"/>
      <c r="P272" s="277"/>
      <c r="W272" s="277"/>
      <c r="X272" s="277"/>
      <c r="AK272" s="280"/>
      <c r="AS272" s="280"/>
    </row>
    <row r="273" customHeight="1" spans="8:45">
      <c r="H273" s="91"/>
      <c r="I273" s="7"/>
      <c r="J273" s="276"/>
      <c r="K273" s="91"/>
      <c r="L273" s="7"/>
      <c r="O273" s="277"/>
      <c r="P273" s="277"/>
      <c r="W273" s="277"/>
      <c r="X273" s="277"/>
      <c r="AK273" s="280"/>
      <c r="AS273" s="280"/>
    </row>
    <row r="274" customHeight="1" spans="8:45">
      <c r="H274" s="91"/>
      <c r="I274" s="7"/>
      <c r="J274" s="276"/>
      <c r="K274" s="91"/>
      <c r="L274" s="7"/>
      <c r="O274" s="277"/>
      <c r="P274" s="277"/>
      <c r="W274" s="277"/>
      <c r="X274" s="277"/>
      <c r="AK274" s="280"/>
      <c r="AS274" s="280"/>
    </row>
    <row r="275" customHeight="1" spans="8:45">
      <c r="H275" s="91"/>
      <c r="I275" s="7"/>
      <c r="J275" s="276"/>
      <c r="K275" s="91"/>
      <c r="L275" s="7"/>
      <c r="O275" s="277"/>
      <c r="P275" s="277"/>
      <c r="W275" s="277"/>
      <c r="X275" s="277"/>
      <c r="AK275" s="280"/>
      <c r="AS275" s="280"/>
    </row>
    <row r="276" customHeight="1" spans="8:45">
      <c r="H276" s="91"/>
      <c r="I276" s="7"/>
      <c r="J276" s="276"/>
      <c r="K276" s="91"/>
      <c r="L276" s="7"/>
      <c r="O276" s="277"/>
      <c r="P276" s="277"/>
      <c r="W276" s="277"/>
      <c r="X276" s="277"/>
      <c r="AK276" s="280"/>
      <c r="AS276" s="280"/>
    </row>
    <row r="277" customHeight="1" spans="8:45">
      <c r="H277" s="91"/>
      <c r="I277" s="7"/>
      <c r="J277" s="276"/>
      <c r="K277" s="91"/>
      <c r="L277" s="7"/>
      <c r="O277" s="277"/>
      <c r="P277" s="277"/>
      <c r="W277" s="277"/>
      <c r="X277" s="277"/>
      <c r="AK277" s="280"/>
      <c r="AS277" s="280"/>
    </row>
    <row r="278" customHeight="1" spans="8:45">
      <c r="H278" s="91"/>
      <c r="I278" s="7"/>
      <c r="J278" s="276"/>
      <c r="K278" s="91"/>
      <c r="L278" s="7"/>
      <c r="O278" s="277"/>
      <c r="P278" s="277"/>
      <c r="W278" s="277"/>
      <c r="X278" s="277"/>
      <c r="AK278" s="280"/>
      <c r="AS278" s="280"/>
    </row>
    <row r="279" customHeight="1" spans="8:45">
      <c r="H279" s="91"/>
      <c r="I279" s="7"/>
      <c r="J279" s="276"/>
      <c r="K279" s="91"/>
      <c r="L279" s="7"/>
      <c r="O279" s="277"/>
      <c r="P279" s="277"/>
      <c r="W279" s="277"/>
      <c r="X279" s="277"/>
      <c r="AK279" s="280"/>
      <c r="AS279" s="280"/>
    </row>
    <row r="280" customHeight="1" spans="8:45">
      <c r="H280" s="91"/>
      <c r="I280" s="7"/>
      <c r="J280" s="276"/>
      <c r="K280" s="91"/>
      <c r="L280" s="7"/>
      <c r="O280" s="277"/>
      <c r="P280" s="277"/>
      <c r="W280" s="277"/>
      <c r="X280" s="277"/>
      <c r="AK280" s="280"/>
      <c r="AS280" s="280"/>
    </row>
    <row r="281" customHeight="1" spans="8:45">
      <c r="H281" s="91"/>
      <c r="I281" s="7"/>
      <c r="J281" s="276"/>
      <c r="K281" s="91"/>
      <c r="L281" s="7"/>
      <c r="O281" s="277"/>
      <c r="P281" s="277"/>
      <c r="W281" s="277"/>
      <c r="X281" s="277"/>
      <c r="AK281" s="280"/>
      <c r="AS281" s="280"/>
    </row>
    <row r="282" customHeight="1" spans="8:45">
      <c r="H282" s="91"/>
      <c r="I282" s="7"/>
      <c r="J282" s="276"/>
      <c r="K282" s="91"/>
      <c r="L282" s="7"/>
      <c r="O282" s="277"/>
      <c r="P282" s="277"/>
      <c r="W282" s="277"/>
      <c r="X282" s="277"/>
      <c r="AK282" s="280"/>
      <c r="AS282" s="280"/>
    </row>
    <row r="283" customHeight="1" spans="8:45">
      <c r="H283" s="91"/>
      <c r="I283" s="7"/>
      <c r="J283" s="276"/>
      <c r="K283" s="91"/>
      <c r="L283" s="7"/>
      <c r="O283" s="277"/>
      <c r="P283" s="277"/>
      <c r="W283" s="277"/>
      <c r="X283" s="277"/>
      <c r="AK283" s="280"/>
      <c r="AS283" s="280"/>
    </row>
    <row r="284" customHeight="1" spans="8:45">
      <c r="H284" s="91"/>
      <c r="I284" s="7"/>
      <c r="J284" s="276"/>
      <c r="K284" s="91"/>
      <c r="L284" s="7"/>
      <c r="O284" s="277"/>
      <c r="P284" s="277"/>
      <c r="W284" s="277"/>
      <c r="X284" s="277"/>
      <c r="AK284" s="280"/>
      <c r="AS284" s="280"/>
    </row>
    <row r="285" customHeight="1" spans="8:45">
      <c r="H285" s="91"/>
      <c r="I285" s="7"/>
      <c r="J285" s="276"/>
      <c r="K285" s="91"/>
      <c r="L285" s="7"/>
      <c r="O285" s="277"/>
      <c r="P285" s="277"/>
      <c r="W285" s="277"/>
      <c r="X285" s="277"/>
      <c r="AK285" s="280"/>
      <c r="AS285" s="280"/>
    </row>
    <row r="286" customHeight="1" spans="8:45">
      <c r="H286" s="91"/>
      <c r="I286" s="7"/>
      <c r="J286" s="276"/>
      <c r="K286" s="91"/>
      <c r="L286" s="7"/>
      <c r="O286" s="277"/>
      <c r="P286" s="277"/>
      <c r="W286" s="277"/>
      <c r="X286" s="277"/>
      <c r="AK286" s="280"/>
      <c r="AS286" s="280"/>
    </row>
    <row r="287" customHeight="1" spans="8:45">
      <c r="H287" s="91"/>
      <c r="I287" s="7"/>
      <c r="J287" s="276"/>
      <c r="K287" s="91"/>
      <c r="L287" s="7"/>
      <c r="O287" s="277"/>
      <c r="P287" s="277"/>
      <c r="W287" s="277"/>
      <c r="X287" s="277"/>
      <c r="AK287" s="280"/>
      <c r="AS287" s="280"/>
    </row>
    <row r="288" customHeight="1" spans="8:45">
      <c r="H288" s="91"/>
      <c r="I288" s="7"/>
      <c r="J288" s="276"/>
      <c r="K288" s="91"/>
      <c r="L288" s="7"/>
      <c r="O288" s="277"/>
      <c r="P288" s="277"/>
      <c r="W288" s="277"/>
      <c r="X288" s="277"/>
      <c r="AK288" s="280"/>
      <c r="AS288" s="280"/>
    </row>
    <row r="289" customHeight="1" spans="8:45">
      <c r="H289" s="91"/>
      <c r="I289" s="7"/>
      <c r="J289" s="276"/>
      <c r="K289" s="91"/>
      <c r="L289" s="7"/>
      <c r="O289" s="277"/>
      <c r="P289" s="277"/>
      <c r="W289" s="277"/>
      <c r="X289" s="277"/>
      <c r="AK289" s="280"/>
      <c r="AS289" s="280"/>
    </row>
    <row r="290" customHeight="1" spans="8:45">
      <c r="H290" s="91"/>
      <c r="I290" s="7"/>
      <c r="J290" s="276"/>
      <c r="K290" s="91"/>
      <c r="L290" s="7"/>
      <c r="O290" s="277"/>
      <c r="P290" s="277"/>
      <c r="W290" s="277"/>
      <c r="X290" s="277"/>
      <c r="AK290" s="280"/>
      <c r="AS290" s="280"/>
    </row>
    <row r="291" customHeight="1" spans="8:45">
      <c r="H291" s="91"/>
      <c r="I291" s="7"/>
      <c r="J291" s="276"/>
      <c r="K291" s="91"/>
      <c r="L291" s="7"/>
      <c r="O291" s="277"/>
      <c r="P291" s="277"/>
      <c r="W291" s="277"/>
      <c r="X291" s="277"/>
      <c r="AK291" s="280"/>
      <c r="AS291" s="280"/>
    </row>
    <row r="292" customHeight="1" spans="8:45">
      <c r="H292" s="91"/>
      <c r="I292" s="7"/>
      <c r="J292" s="276"/>
      <c r="K292" s="91"/>
      <c r="L292" s="7"/>
      <c r="O292" s="277"/>
      <c r="P292" s="277"/>
      <c r="W292" s="277"/>
      <c r="X292" s="277"/>
      <c r="AK292" s="280"/>
      <c r="AS292" s="280"/>
    </row>
    <row r="293" customHeight="1" spans="8:45">
      <c r="H293" s="91"/>
      <c r="I293" s="7"/>
      <c r="J293" s="276"/>
      <c r="K293" s="91"/>
      <c r="L293" s="7"/>
      <c r="O293" s="277"/>
      <c r="P293" s="277"/>
      <c r="W293" s="277"/>
      <c r="X293" s="277"/>
      <c r="AK293" s="280"/>
      <c r="AS293" s="280"/>
    </row>
    <row r="294" customHeight="1" spans="8:45">
      <c r="H294" s="91"/>
      <c r="I294" s="7"/>
      <c r="J294" s="276"/>
      <c r="K294" s="91"/>
      <c r="L294" s="7"/>
      <c r="O294" s="277"/>
      <c r="P294" s="277"/>
      <c r="W294" s="277"/>
      <c r="X294" s="277"/>
      <c r="AK294" s="280"/>
      <c r="AS294" s="280"/>
    </row>
    <row r="295" customHeight="1" spans="8:45">
      <c r="H295" s="91"/>
      <c r="I295" s="7"/>
      <c r="J295" s="276"/>
      <c r="K295" s="91"/>
      <c r="L295" s="7"/>
      <c r="O295" s="277"/>
      <c r="P295" s="277"/>
      <c r="W295" s="277"/>
      <c r="X295" s="277"/>
      <c r="AK295" s="280"/>
      <c r="AS295" s="280"/>
    </row>
    <row r="296" customHeight="1" spans="8:45">
      <c r="H296" s="91"/>
      <c r="I296" s="7"/>
      <c r="J296" s="276"/>
      <c r="K296" s="91"/>
      <c r="L296" s="7"/>
      <c r="O296" s="277"/>
      <c r="P296" s="277"/>
      <c r="W296" s="277"/>
      <c r="X296" s="277"/>
      <c r="AK296" s="280"/>
      <c r="AS296" s="280"/>
    </row>
    <row r="297" customHeight="1" spans="8:45">
      <c r="H297" s="91"/>
      <c r="I297" s="7"/>
      <c r="J297" s="276"/>
      <c r="K297" s="91"/>
      <c r="L297" s="7"/>
      <c r="O297" s="277"/>
      <c r="P297" s="277"/>
      <c r="W297" s="277"/>
      <c r="X297" s="277"/>
      <c r="AK297" s="280"/>
      <c r="AS297" s="280"/>
    </row>
    <row r="298" customHeight="1" spans="8:45">
      <c r="H298" s="91"/>
      <c r="I298" s="7"/>
      <c r="J298" s="276"/>
      <c r="K298" s="91"/>
      <c r="L298" s="7"/>
      <c r="O298" s="277"/>
      <c r="P298" s="277"/>
      <c r="W298" s="277"/>
      <c r="X298" s="277"/>
      <c r="AK298" s="280"/>
      <c r="AS298" s="280"/>
    </row>
    <row r="299" customHeight="1" spans="8:45">
      <c r="H299" s="91"/>
      <c r="I299" s="7"/>
      <c r="J299" s="276"/>
      <c r="K299" s="91"/>
      <c r="L299" s="7"/>
      <c r="O299" s="277"/>
      <c r="P299" s="277"/>
      <c r="W299" s="277"/>
      <c r="X299" s="277"/>
      <c r="AK299" s="280"/>
      <c r="AS299" s="280"/>
    </row>
    <row r="300" customHeight="1" spans="8:45">
      <c r="H300" s="91"/>
      <c r="I300" s="7"/>
      <c r="J300" s="276"/>
      <c r="K300" s="91"/>
      <c r="L300" s="7"/>
      <c r="O300" s="277"/>
      <c r="P300" s="277"/>
      <c r="W300" s="277"/>
      <c r="X300" s="277"/>
      <c r="AK300" s="280"/>
      <c r="AS300" s="280"/>
    </row>
    <row r="301" customHeight="1" spans="8:45">
      <c r="H301" s="91"/>
      <c r="I301" s="7"/>
      <c r="J301" s="276"/>
      <c r="K301" s="91"/>
      <c r="L301" s="7"/>
      <c r="O301" s="277"/>
      <c r="P301" s="277"/>
      <c r="W301" s="277"/>
      <c r="X301" s="277"/>
      <c r="AK301" s="280"/>
      <c r="AS301" s="280"/>
    </row>
    <row r="302" customHeight="1" spans="8:45">
      <c r="H302" s="91"/>
      <c r="I302" s="7"/>
      <c r="J302" s="276"/>
      <c r="K302" s="91"/>
      <c r="L302" s="7"/>
      <c r="O302" s="277"/>
      <c r="P302" s="277"/>
      <c r="W302" s="277"/>
      <c r="X302" s="277"/>
      <c r="AK302" s="280"/>
      <c r="AS302" s="280"/>
    </row>
    <row r="303" customHeight="1" spans="8:45">
      <c r="H303" s="91"/>
      <c r="I303" s="7"/>
      <c r="J303" s="276"/>
      <c r="K303" s="91"/>
      <c r="L303" s="7"/>
      <c r="O303" s="277"/>
      <c r="P303" s="277"/>
      <c r="W303" s="277"/>
      <c r="X303" s="277"/>
      <c r="AK303" s="280"/>
      <c r="AS303" s="280"/>
    </row>
    <row r="304" customHeight="1" spans="8:45">
      <c r="H304" s="91"/>
      <c r="I304" s="7"/>
      <c r="J304" s="276"/>
      <c r="K304" s="91"/>
      <c r="L304" s="7"/>
      <c r="O304" s="277"/>
      <c r="P304" s="277"/>
      <c r="W304" s="277"/>
      <c r="X304" s="277"/>
      <c r="AK304" s="280"/>
      <c r="AS304" s="280"/>
    </row>
    <row r="305" customHeight="1" spans="8:45">
      <c r="H305" s="91"/>
      <c r="I305" s="7"/>
      <c r="J305" s="276"/>
      <c r="K305" s="91"/>
      <c r="L305" s="7"/>
      <c r="O305" s="277"/>
      <c r="P305" s="277"/>
      <c r="W305" s="277"/>
      <c r="X305" s="277"/>
      <c r="AK305" s="280"/>
      <c r="AS305" s="280"/>
    </row>
    <row r="306" customHeight="1" spans="8:45">
      <c r="H306" s="91"/>
      <c r="I306" s="7"/>
      <c r="J306" s="276"/>
      <c r="K306" s="91"/>
      <c r="L306" s="7"/>
      <c r="O306" s="277"/>
      <c r="P306" s="277"/>
      <c r="W306" s="277"/>
      <c r="X306" s="277"/>
      <c r="AK306" s="280"/>
      <c r="AS306" s="280"/>
    </row>
    <row r="307" customHeight="1" spans="8:45">
      <c r="H307" s="91"/>
      <c r="I307" s="7"/>
      <c r="J307" s="276"/>
      <c r="K307" s="91"/>
      <c r="L307" s="7"/>
      <c r="O307" s="277"/>
      <c r="P307" s="277"/>
      <c r="W307" s="277"/>
      <c r="X307" s="277"/>
      <c r="AK307" s="280"/>
      <c r="AS307" s="280"/>
    </row>
    <row r="308" customHeight="1" spans="8:45">
      <c r="H308" s="91"/>
      <c r="I308" s="7"/>
      <c r="J308" s="276"/>
      <c r="K308" s="91"/>
      <c r="L308" s="7"/>
      <c r="O308" s="277"/>
      <c r="P308" s="277"/>
      <c r="W308" s="277"/>
      <c r="X308" s="277"/>
      <c r="AK308" s="280"/>
      <c r="AS308" s="280"/>
    </row>
    <row r="309" customHeight="1" spans="8:45">
      <c r="H309" s="91"/>
      <c r="I309" s="7"/>
      <c r="J309" s="276"/>
      <c r="K309" s="91"/>
      <c r="L309" s="7"/>
      <c r="O309" s="277"/>
      <c r="P309" s="277"/>
      <c r="W309" s="277"/>
      <c r="X309" s="277"/>
      <c r="AK309" s="280"/>
      <c r="AS309" s="280"/>
    </row>
    <row r="310" customHeight="1" spans="8:45">
      <c r="H310" s="91"/>
      <c r="I310" s="7"/>
      <c r="J310" s="276"/>
      <c r="K310" s="91"/>
      <c r="L310" s="7"/>
      <c r="O310" s="277"/>
      <c r="P310" s="277"/>
      <c r="W310" s="277"/>
      <c r="X310" s="277"/>
      <c r="AK310" s="280"/>
      <c r="AS310" s="280"/>
    </row>
    <row r="311" customHeight="1" spans="8:45">
      <c r="H311" s="91"/>
      <c r="I311" s="7"/>
      <c r="J311" s="276"/>
      <c r="K311" s="91"/>
      <c r="L311" s="7"/>
      <c r="O311" s="277"/>
      <c r="P311" s="277"/>
      <c r="W311" s="277"/>
      <c r="X311" s="277"/>
      <c r="AK311" s="280"/>
      <c r="AS311" s="280"/>
    </row>
    <row r="312" customHeight="1" spans="8:45">
      <c r="H312" s="91"/>
      <c r="I312" s="7"/>
      <c r="J312" s="276"/>
      <c r="K312" s="91"/>
      <c r="L312" s="7"/>
      <c r="O312" s="277"/>
      <c r="P312" s="277"/>
      <c r="W312" s="277"/>
      <c r="X312" s="277"/>
      <c r="AK312" s="280"/>
      <c r="AS312" s="280"/>
    </row>
    <row r="313" customHeight="1" spans="8:45">
      <c r="H313" s="91"/>
      <c r="I313" s="7"/>
      <c r="J313" s="276"/>
      <c r="K313" s="91"/>
      <c r="L313" s="7"/>
      <c r="O313" s="277"/>
      <c r="P313" s="277"/>
      <c r="W313" s="277"/>
      <c r="X313" s="277"/>
      <c r="AK313" s="280"/>
      <c r="AS313" s="280"/>
    </row>
    <row r="314" customHeight="1" spans="8:45">
      <c r="H314" s="91"/>
      <c r="I314" s="7"/>
      <c r="J314" s="276"/>
      <c r="K314" s="91"/>
      <c r="L314" s="7"/>
      <c r="O314" s="277"/>
      <c r="P314" s="277"/>
      <c r="W314" s="277"/>
      <c r="X314" s="277"/>
      <c r="AK314" s="280"/>
      <c r="AS314" s="280"/>
    </row>
    <row r="315" customHeight="1" spans="8:45">
      <c r="H315" s="91"/>
      <c r="I315" s="7"/>
      <c r="J315" s="276"/>
      <c r="K315" s="91"/>
      <c r="L315" s="7"/>
      <c r="O315" s="277"/>
      <c r="P315" s="277"/>
      <c r="W315" s="277"/>
      <c r="X315" s="277"/>
      <c r="AK315" s="280"/>
      <c r="AS315" s="280"/>
    </row>
    <row r="316" customHeight="1" spans="8:45">
      <c r="H316" s="91"/>
      <c r="I316" s="7"/>
      <c r="J316" s="276"/>
      <c r="K316" s="91"/>
      <c r="L316" s="7"/>
      <c r="O316" s="277"/>
      <c r="P316" s="277"/>
      <c r="W316" s="277"/>
      <c r="X316" s="277"/>
      <c r="AK316" s="280"/>
      <c r="AS316" s="280"/>
    </row>
    <row r="317" customHeight="1" spans="8:45">
      <c r="H317" s="91"/>
      <c r="I317" s="7"/>
      <c r="J317" s="276"/>
      <c r="K317" s="91"/>
      <c r="L317" s="7"/>
      <c r="O317" s="277"/>
      <c r="P317" s="277"/>
      <c r="W317" s="277"/>
      <c r="X317" s="277"/>
      <c r="AK317" s="280"/>
      <c r="AS317" s="280"/>
    </row>
    <row r="318" customHeight="1" spans="8:45">
      <c r="H318" s="91"/>
      <c r="I318" s="7"/>
      <c r="J318" s="276"/>
      <c r="K318" s="91"/>
      <c r="L318" s="7"/>
      <c r="O318" s="277"/>
      <c r="P318" s="277"/>
      <c r="W318" s="277"/>
      <c r="X318" s="277"/>
      <c r="AK318" s="280"/>
      <c r="AS318" s="280"/>
    </row>
    <row r="319" customHeight="1" spans="8:45">
      <c r="H319" s="91"/>
      <c r="I319" s="7"/>
      <c r="J319" s="276"/>
      <c r="K319" s="91"/>
      <c r="L319" s="7"/>
      <c r="O319" s="277"/>
      <c r="P319" s="277"/>
      <c r="W319" s="277"/>
      <c r="X319" s="277"/>
      <c r="AK319" s="280"/>
      <c r="AS319" s="280"/>
    </row>
    <row r="320" customHeight="1" spans="8:45">
      <c r="H320" s="91"/>
      <c r="I320" s="7"/>
      <c r="J320" s="276"/>
      <c r="K320" s="91"/>
      <c r="L320" s="7"/>
      <c r="O320" s="277"/>
      <c r="P320" s="277"/>
      <c r="W320" s="277"/>
      <c r="X320" s="277"/>
      <c r="AK320" s="280"/>
      <c r="AS320" s="280"/>
    </row>
    <row r="321" customHeight="1" spans="8:45">
      <c r="H321" s="91"/>
      <c r="I321" s="7"/>
      <c r="J321" s="276"/>
      <c r="K321" s="91"/>
      <c r="L321" s="7"/>
      <c r="O321" s="277"/>
      <c r="P321" s="277"/>
      <c r="W321" s="277"/>
      <c r="X321" s="277"/>
      <c r="AK321" s="280"/>
      <c r="AS321" s="280"/>
    </row>
    <row r="322" customHeight="1" spans="8:45">
      <c r="H322" s="91"/>
      <c r="I322" s="7"/>
      <c r="J322" s="276"/>
      <c r="K322" s="91"/>
      <c r="L322" s="7"/>
      <c r="O322" s="277"/>
      <c r="P322" s="277"/>
      <c r="W322" s="277"/>
      <c r="X322" s="277"/>
      <c r="AK322" s="280"/>
      <c r="AS322" s="280"/>
    </row>
    <row r="323" customHeight="1" spans="8:45">
      <c r="H323" s="91"/>
      <c r="I323" s="7"/>
      <c r="J323" s="276"/>
      <c r="K323" s="91"/>
      <c r="L323" s="7"/>
      <c r="O323" s="277"/>
      <c r="P323" s="277"/>
      <c r="W323" s="277"/>
      <c r="X323" s="277"/>
      <c r="AK323" s="280"/>
      <c r="AS323" s="280"/>
    </row>
    <row r="324" customHeight="1" spans="8:45">
      <c r="H324" s="91"/>
      <c r="I324" s="7"/>
      <c r="J324" s="276"/>
      <c r="K324" s="91"/>
      <c r="L324" s="7"/>
      <c r="O324" s="277"/>
      <c r="P324" s="277"/>
      <c r="W324" s="277"/>
      <c r="X324" s="277"/>
      <c r="AK324" s="280"/>
      <c r="AS324" s="280"/>
    </row>
    <row r="325" customHeight="1" spans="8:45">
      <c r="H325" s="91"/>
      <c r="I325" s="7"/>
      <c r="J325" s="276"/>
      <c r="K325" s="91"/>
      <c r="L325" s="7"/>
      <c r="O325" s="277"/>
      <c r="P325" s="277"/>
      <c r="W325" s="277"/>
      <c r="X325" s="277"/>
      <c r="AK325" s="280"/>
      <c r="AS325" s="280"/>
    </row>
    <row r="326" customHeight="1" spans="8:45">
      <c r="H326" s="91"/>
      <c r="I326" s="7"/>
      <c r="J326" s="276"/>
      <c r="K326" s="91"/>
      <c r="L326" s="7"/>
      <c r="O326" s="277"/>
      <c r="P326" s="277"/>
      <c r="W326" s="277"/>
      <c r="X326" s="277"/>
      <c r="AK326" s="280"/>
      <c r="AS326" s="280"/>
    </row>
    <row r="327" customHeight="1" spans="8:45">
      <c r="H327" s="91"/>
      <c r="I327" s="7"/>
      <c r="J327" s="276"/>
      <c r="K327" s="91"/>
      <c r="L327" s="7"/>
      <c r="O327" s="277"/>
      <c r="P327" s="277"/>
      <c r="W327" s="277"/>
      <c r="X327" s="277"/>
      <c r="AK327" s="280"/>
      <c r="AS327" s="280"/>
    </row>
    <row r="328" customHeight="1" spans="8:45">
      <c r="H328" s="91"/>
      <c r="I328" s="7"/>
      <c r="J328" s="276"/>
      <c r="K328" s="91"/>
      <c r="L328" s="7"/>
      <c r="O328" s="277"/>
      <c r="P328" s="277"/>
      <c r="W328" s="277"/>
      <c r="X328" s="277"/>
      <c r="AK328" s="280"/>
      <c r="AS328" s="280"/>
    </row>
    <row r="329" customHeight="1" spans="8:45">
      <c r="H329" s="91"/>
      <c r="I329" s="7"/>
      <c r="J329" s="276"/>
      <c r="K329" s="91"/>
      <c r="L329" s="7"/>
      <c r="O329" s="277"/>
      <c r="P329" s="277"/>
      <c r="W329" s="277"/>
      <c r="X329" s="277"/>
      <c r="AK329" s="280"/>
      <c r="AS329" s="280"/>
    </row>
    <row r="330" customHeight="1" spans="8:45">
      <c r="H330" s="91"/>
      <c r="I330" s="7"/>
      <c r="J330" s="276"/>
      <c r="K330" s="91"/>
      <c r="L330" s="7"/>
      <c r="O330" s="277"/>
      <c r="P330" s="277"/>
      <c r="W330" s="277"/>
      <c r="X330" s="277"/>
      <c r="AK330" s="280"/>
      <c r="AS330" s="280"/>
    </row>
    <row r="331" customHeight="1" spans="8:45">
      <c r="H331" s="91"/>
      <c r="I331" s="7"/>
      <c r="J331" s="276"/>
      <c r="K331" s="91"/>
      <c r="L331" s="7"/>
      <c r="O331" s="277"/>
      <c r="P331" s="277"/>
      <c r="W331" s="277"/>
      <c r="X331" s="277"/>
      <c r="AK331" s="280"/>
      <c r="AS331" s="280"/>
    </row>
    <row r="332" customHeight="1" spans="8:45">
      <c r="H332" s="91"/>
      <c r="I332" s="7"/>
      <c r="J332" s="276"/>
      <c r="K332" s="91"/>
      <c r="L332" s="7"/>
      <c r="O332" s="277"/>
      <c r="P332" s="277"/>
      <c r="W332" s="277"/>
      <c r="X332" s="277"/>
      <c r="AK332" s="280"/>
      <c r="AS332" s="280"/>
    </row>
    <row r="333" customHeight="1" spans="8:45">
      <c r="H333" s="91"/>
      <c r="I333" s="7"/>
      <c r="J333" s="276"/>
      <c r="K333" s="91"/>
      <c r="L333" s="7"/>
      <c r="O333" s="277"/>
      <c r="P333" s="277"/>
      <c r="W333" s="277"/>
      <c r="X333" s="277"/>
      <c r="AK333" s="280"/>
      <c r="AS333" s="280"/>
    </row>
    <row r="334" customHeight="1" spans="8:45">
      <c r="H334" s="91"/>
      <c r="I334" s="7"/>
      <c r="J334" s="276"/>
      <c r="K334" s="91"/>
      <c r="L334" s="7"/>
      <c r="O334" s="277"/>
      <c r="P334" s="277"/>
      <c r="W334" s="277"/>
      <c r="X334" s="277"/>
      <c r="AK334" s="280"/>
      <c r="AS334" s="280"/>
    </row>
    <row r="335" customHeight="1" spans="8:45">
      <c r="H335" s="91"/>
      <c r="I335" s="7"/>
      <c r="J335" s="276"/>
      <c r="K335" s="91"/>
      <c r="L335" s="7"/>
      <c r="O335" s="277"/>
      <c r="P335" s="277"/>
      <c r="W335" s="277"/>
      <c r="X335" s="277"/>
      <c r="AK335" s="280"/>
      <c r="AS335" s="280"/>
    </row>
    <row r="336" customHeight="1" spans="8:45">
      <c r="H336" s="91"/>
      <c r="I336" s="7"/>
      <c r="J336" s="276"/>
      <c r="K336" s="91"/>
      <c r="L336" s="7"/>
      <c r="O336" s="277"/>
      <c r="P336" s="277"/>
      <c r="W336" s="277"/>
      <c r="X336" s="277"/>
      <c r="AK336" s="280"/>
      <c r="AS336" s="280"/>
    </row>
    <row r="337" customHeight="1" spans="8:45">
      <c r="H337" s="91"/>
      <c r="I337" s="7"/>
      <c r="J337" s="276"/>
      <c r="K337" s="91"/>
      <c r="L337" s="7"/>
      <c r="O337" s="277"/>
      <c r="P337" s="277"/>
      <c r="W337" s="277"/>
      <c r="X337" s="277"/>
      <c r="AK337" s="280"/>
      <c r="AS337" s="280"/>
    </row>
    <row r="338" customHeight="1" spans="8:45">
      <c r="H338" s="91"/>
      <c r="I338" s="7"/>
      <c r="J338" s="276"/>
      <c r="K338" s="91"/>
      <c r="L338" s="7"/>
      <c r="O338" s="277"/>
      <c r="P338" s="277"/>
      <c r="W338" s="277"/>
      <c r="X338" s="277"/>
      <c r="AK338" s="280"/>
      <c r="AS338" s="280"/>
    </row>
    <row r="339" customHeight="1" spans="8:45">
      <c r="H339" s="91"/>
      <c r="I339" s="7"/>
      <c r="J339" s="276"/>
      <c r="K339" s="91"/>
      <c r="L339" s="7"/>
      <c r="O339" s="277"/>
      <c r="P339" s="277"/>
      <c r="W339" s="277"/>
      <c r="X339" s="277"/>
      <c r="AK339" s="280"/>
      <c r="AS339" s="280"/>
    </row>
    <row r="340" customHeight="1" spans="8:45">
      <c r="H340" s="91"/>
      <c r="I340" s="7"/>
      <c r="J340" s="276"/>
      <c r="K340" s="91"/>
      <c r="L340" s="7"/>
      <c r="O340" s="277"/>
      <c r="P340" s="277"/>
      <c r="W340" s="277"/>
      <c r="X340" s="277"/>
      <c r="AK340" s="280"/>
      <c r="AS340" s="280"/>
    </row>
    <row r="341" customHeight="1" spans="8:45">
      <c r="H341" s="91"/>
      <c r="I341" s="7"/>
      <c r="J341" s="276"/>
      <c r="K341" s="91"/>
      <c r="L341" s="7"/>
      <c r="O341" s="277"/>
      <c r="P341" s="277"/>
      <c r="W341" s="277"/>
      <c r="X341" s="277"/>
      <c r="AK341" s="280"/>
      <c r="AS341" s="280"/>
    </row>
    <row r="342" customHeight="1" spans="8:45">
      <c r="H342" s="91"/>
      <c r="I342" s="7"/>
      <c r="J342" s="276"/>
      <c r="K342" s="91"/>
      <c r="L342" s="7"/>
      <c r="O342" s="277"/>
      <c r="P342" s="277"/>
      <c r="W342" s="277"/>
      <c r="X342" s="277"/>
      <c r="AK342" s="280"/>
      <c r="AS342" s="280"/>
    </row>
    <row r="343" customHeight="1" spans="8:45">
      <c r="H343" s="91"/>
      <c r="I343" s="7"/>
      <c r="J343" s="276"/>
      <c r="K343" s="91"/>
      <c r="L343" s="7"/>
      <c r="O343" s="277"/>
      <c r="P343" s="277"/>
      <c r="W343" s="277"/>
      <c r="X343" s="277"/>
      <c r="AK343" s="280"/>
      <c r="AS343" s="280"/>
    </row>
    <row r="344" customHeight="1" spans="8:45">
      <c r="H344" s="91"/>
      <c r="I344" s="7"/>
      <c r="J344" s="276"/>
      <c r="K344" s="91"/>
      <c r="L344" s="7"/>
      <c r="O344" s="277"/>
      <c r="P344" s="277"/>
      <c r="W344" s="277"/>
      <c r="X344" s="277"/>
      <c r="AK344" s="280"/>
      <c r="AS344" s="280"/>
    </row>
    <row r="345" customHeight="1" spans="8:45">
      <c r="H345" s="91"/>
      <c r="I345" s="7"/>
      <c r="J345" s="276"/>
      <c r="K345" s="91"/>
      <c r="L345" s="7"/>
      <c r="O345" s="277"/>
      <c r="P345" s="277"/>
      <c r="W345" s="277"/>
      <c r="X345" s="277"/>
      <c r="AK345" s="280"/>
      <c r="AS345" s="280"/>
    </row>
    <row r="346" customHeight="1" spans="8:45">
      <c r="H346" s="91"/>
      <c r="I346" s="7"/>
      <c r="J346" s="276"/>
      <c r="K346" s="91"/>
      <c r="L346" s="7"/>
      <c r="O346" s="277"/>
      <c r="P346" s="277"/>
      <c r="W346" s="277"/>
      <c r="X346" s="277"/>
      <c r="AK346" s="280"/>
      <c r="AS346" s="280"/>
    </row>
    <row r="347" customHeight="1" spans="8:45">
      <c r="H347" s="91"/>
      <c r="I347" s="7"/>
      <c r="J347" s="276"/>
      <c r="K347" s="91"/>
      <c r="L347" s="7"/>
      <c r="O347" s="277"/>
      <c r="P347" s="277"/>
      <c r="W347" s="277"/>
      <c r="X347" s="277"/>
      <c r="AK347" s="280"/>
      <c r="AS347" s="280"/>
    </row>
    <row r="348" customHeight="1" spans="8:45">
      <c r="H348" s="91"/>
      <c r="I348" s="7"/>
      <c r="J348" s="276"/>
      <c r="K348" s="91"/>
      <c r="L348" s="7"/>
      <c r="O348" s="277"/>
      <c r="P348" s="277"/>
      <c r="W348" s="277"/>
      <c r="X348" s="277"/>
      <c r="AK348" s="280"/>
      <c r="AS348" s="280"/>
    </row>
    <row r="349" customHeight="1" spans="8:45">
      <c r="H349" s="91"/>
      <c r="I349" s="7"/>
      <c r="J349" s="276"/>
      <c r="K349" s="91"/>
      <c r="L349" s="7"/>
      <c r="O349" s="277"/>
      <c r="P349" s="277"/>
      <c r="W349" s="277"/>
      <c r="X349" s="277"/>
      <c r="AK349" s="280"/>
      <c r="AS349" s="280"/>
    </row>
    <row r="350" customHeight="1" spans="8:45">
      <c r="H350" s="91"/>
      <c r="I350" s="7"/>
      <c r="J350" s="276"/>
      <c r="K350" s="91"/>
      <c r="L350" s="7"/>
      <c r="O350" s="277"/>
      <c r="P350" s="277"/>
      <c r="W350" s="277"/>
      <c r="X350" s="277"/>
      <c r="AK350" s="280"/>
      <c r="AS350" s="280"/>
    </row>
    <row r="351" customHeight="1" spans="8:45">
      <c r="H351" s="91"/>
      <c r="I351" s="7"/>
      <c r="J351" s="276"/>
      <c r="K351" s="91"/>
      <c r="L351" s="7"/>
      <c r="O351" s="277"/>
      <c r="P351" s="277"/>
      <c r="W351" s="277"/>
      <c r="X351" s="277"/>
      <c r="AK351" s="280"/>
      <c r="AS351" s="280"/>
    </row>
    <row r="352" customHeight="1" spans="8:45">
      <c r="H352" s="91"/>
      <c r="I352" s="7"/>
      <c r="J352" s="276"/>
      <c r="K352" s="91"/>
      <c r="L352" s="7"/>
      <c r="O352" s="277"/>
      <c r="P352" s="277"/>
      <c r="W352" s="277"/>
      <c r="X352" s="277"/>
      <c r="AK352" s="280"/>
      <c r="AS352" s="280"/>
    </row>
    <row r="353" customHeight="1" spans="8:45">
      <c r="H353" s="91"/>
      <c r="I353" s="7"/>
      <c r="J353" s="276"/>
      <c r="K353" s="91"/>
      <c r="L353" s="7"/>
      <c r="O353" s="277"/>
      <c r="P353" s="277"/>
      <c r="W353" s="277"/>
      <c r="X353" s="277"/>
      <c r="AK353" s="280"/>
      <c r="AS353" s="280"/>
    </row>
    <row r="354" customHeight="1" spans="8:45">
      <c r="H354" s="91"/>
      <c r="I354" s="7"/>
      <c r="J354" s="276"/>
      <c r="K354" s="91"/>
      <c r="L354" s="7"/>
      <c r="O354" s="277"/>
      <c r="P354" s="277"/>
      <c r="W354" s="277"/>
      <c r="X354" s="277"/>
      <c r="AK354" s="280"/>
      <c r="AS354" s="280"/>
    </row>
    <row r="355" customHeight="1" spans="8:45">
      <c r="H355" s="91"/>
      <c r="I355" s="7"/>
      <c r="J355" s="276"/>
      <c r="K355" s="91"/>
      <c r="L355" s="7"/>
      <c r="O355" s="277"/>
      <c r="P355" s="277"/>
      <c r="W355" s="277"/>
      <c r="X355" s="277"/>
      <c r="AK355" s="280"/>
      <c r="AS355" s="280"/>
    </row>
    <row r="356" customHeight="1" spans="8:45">
      <c r="H356" s="91"/>
      <c r="I356" s="7"/>
      <c r="J356" s="276"/>
      <c r="K356" s="91"/>
      <c r="L356" s="7"/>
      <c r="O356" s="277"/>
      <c r="P356" s="277"/>
      <c r="W356" s="277"/>
      <c r="X356" s="277"/>
      <c r="AK356" s="280"/>
      <c r="AS356" s="280"/>
    </row>
    <row r="357" customHeight="1" spans="8:45">
      <c r="H357" s="91"/>
      <c r="I357" s="7"/>
      <c r="J357" s="276"/>
      <c r="K357" s="91"/>
      <c r="L357" s="7"/>
      <c r="O357" s="277"/>
      <c r="P357" s="277"/>
      <c r="W357" s="277"/>
      <c r="X357" s="277"/>
      <c r="AK357" s="280"/>
      <c r="AS357" s="280"/>
    </row>
    <row r="358" customHeight="1" spans="8:45">
      <c r="H358" s="91"/>
      <c r="I358" s="7"/>
      <c r="J358" s="276"/>
      <c r="K358" s="91"/>
      <c r="L358" s="7"/>
      <c r="O358" s="277"/>
      <c r="P358" s="277"/>
      <c r="W358" s="277"/>
      <c r="X358" s="277"/>
      <c r="AK358" s="280"/>
      <c r="AS358" s="280"/>
    </row>
    <row r="359" customHeight="1" spans="8:45">
      <c r="H359" s="91"/>
      <c r="I359" s="7"/>
      <c r="J359" s="276"/>
      <c r="K359" s="91"/>
      <c r="L359" s="7"/>
      <c r="O359" s="277"/>
      <c r="P359" s="277"/>
      <c r="W359" s="277"/>
      <c r="X359" s="277"/>
      <c r="AK359" s="280"/>
      <c r="AS359" s="280"/>
    </row>
    <row r="360" customHeight="1" spans="8:45">
      <c r="H360" s="91"/>
      <c r="I360" s="7"/>
      <c r="J360" s="276"/>
      <c r="K360" s="91"/>
      <c r="L360" s="7"/>
      <c r="O360" s="277"/>
      <c r="P360" s="277"/>
      <c r="W360" s="277"/>
      <c r="X360" s="277"/>
      <c r="AK360" s="280"/>
      <c r="AS360" s="280"/>
    </row>
    <row r="361" customHeight="1" spans="8:45">
      <c r="H361" s="91"/>
      <c r="I361" s="7"/>
      <c r="J361" s="276"/>
      <c r="K361" s="91"/>
      <c r="L361" s="7"/>
      <c r="O361" s="277"/>
      <c r="P361" s="277"/>
      <c r="W361" s="277"/>
      <c r="X361" s="277"/>
      <c r="AK361" s="280"/>
      <c r="AS361" s="280"/>
    </row>
    <row r="362" customHeight="1" spans="8:45">
      <c r="H362" s="91"/>
      <c r="I362" s="7"/>
      <c r="J362" s="276"/>
      <c r="K362" s="91"/>
      <c r="L362" s="7"/>
      <c r="O362" s="277"/>
      <c r="P362" s="277"/>
      <c r="W362" s="277"/>
      <c r="X362" s="277"/>
      <c r="AK362" s="280"/>
      <c r="AS362" s="280"/>
    </row>
    <row r="363" customHeight="1" spans="8:45">
      <c r="H363" s="91"/>
      <c r="I363" s="7"/>
      <c r="J363" s="276"/>
      <c r="K363" s="91"/>
      <c r="L363" s="7"/>
      <c r="O363" s="277"/>
      <c r="P363" s="277"/>
      <c r="W363" s="277"/>
      <c r="X363" s="277"/>
      <c r="AK363" s="280"/>
      <c r="AS363" s="280"/>
    </row>
    <row r="364" customHeight="1" spans="8:45">
      <c r="H364" s="91"/>
      <c r="I364" s="7"/>
      <c r="J364" s="276"/>
      <c r="K364" s="91"/>
      <c r="L364" s="7"/>
      <c r="O364" s="277"/>
      <c r="P364" s="277"/>
      <c r="W364" s="277"/>
      <c r="X364" s="277"/>
      <c r="AK364" s="280"/>
      <c r="AS364" s="280"/>
    </row>
    <row r="365" customHeight="1" spans="8:45">
      <c r="H365" s="91"/>
      <c r="I365" s="7"/>
      <c r="J365" s="276"/>
      <c r="K365" s="91"/>
      <c r="L365" s="7"/>
      <c r="O365" s="277"/>
      <c r="P365" s="277"/>
      <c r="W365" s="277"/>
      <c r="X365" s="277"/>
      <c r="AK365" s="280"/>
      <c r="AS365" s="280"/>
    </row>
    <row r="366" customHeight="1" spans="8:45">
      <c r="H366" s="91"/>
      <c r="I366" s="7"/>
      <c r="J366" s="276"/>
      <c r="K366" s="91"/>
      <c r="L366" s="7"/>
      <c r="O366" s="277"/>
      <c r="P366" s="277"/>
      <c r="W366" s="277"/>
      <c r="X366" s="277"/>
      <c r="AK366" s="280"/>
      <c r="AS366" s="280"/>
    </row>
    <row r="367" customHeight="1" spans="8:45">
      <c r="H367" s="91"/>
      <c r="I367" s="7"/>
      <c r="J367" s="276"/>
      <c r="K367" s="91"/>
      <c r="L367" s="7"/>
      <c r="O367" s="277"/>
      <c r="P367" s="277"/>
      <c r="W367" s="277"/>
      <c r="X367" s="277"/>
      <c r="AK367" s="280"/>
      <c r="AS367" s="280"/>
    </row>
    <row r="368" customHeight="1" spans="8:45">
      <c r="H368" s="91"/>
      <c r="I368" s="7"/>
      <c r="J368" s="276"/>
      <c r="K368" s="91"/>
      <c r="L368" s="7"/>
      <c r="O368" s="277"/>
      <c r="P368" s="277"/>
      <c r="W368" s="277"/>
      <c r="X368" s="277"/>
      <c r="AK368" s="280"/>
      <c r="AS368" s="280"/>
    </row>
    <row r="369" customHeight="1" spans="8:45">
      <c r="H369" s="91"/>
      <c r="I369" s="7"/>
      <c r="J369" s="276"/>
      <c r="K369" s="91"/>
      <c r="L369" s="7"/>
      <c r="O369" s="277"/>
      <c r="P369" s="277"/>
      <c r="W369" s="277"/>
      <c r="X369" s="277"/>
      <c r="AK369" s="280"/>
      <c r="AS369" s="280"/>
    </row>
    <row r="370" customHeight="1" spans="8:45">
      <c r="H370" s="91"/>
      <c r="I370" s="7"/>
      <c r="J370" s="276"/>
      <c r="K370" s="91"/>
      <c r="L370" s="7"/>
      <c r="O370" s="277"/>
      <c r="P370" s="277"/>
      <c r="W370" s="277"/>
      <c r="X370" s="277"/>
      <c r="AK370" s="280"/>
      <c r="AS370" s="280"/>
    </row>
    <row r="371" customHeight="1" spans="8:45">
      <c r="H371" s="91"/>
      <c r="I371" s="7"/>
      <c r="J371" s="276"/>
      <c r="K371" s="91"/>
      <c r="L371" s="7"/>
      <c r="O371" s="277"/>
      <c r="P371" s="277"/>
      <c r="W371" s="277"/>
      <c r="X371" s="277"/>
      <c r="AK371" s="280"/>
      <c r="AS371" s="280"/>
    </row>
    <row r="372" customHeight="1" spans="8:45">
      <c r="H372" s="91"/>
      <c r="I372" s="7"/>
      <c r="J372" s="276"/>
      <c r="K372" s="91"/>
      <c r="L372" s="7"/>
      <c r="O372" s="277"/>
      <c r="P372" s="277"/>
      <c r="W372" s="277"/>
      <c r="X372" s="277"/>
      <c r="AK372" s="280"/>
      <c r="AS372" s="280"/>
    </row>
    <row r="373" customHeight="1" spans="8:45">
      <c r="H373" s="91"/>
      <c r="I373" s="7"/>
      <c r="J373" s="276"/>
      <c r="K373" s="91"/>
      <c r="L373" s="7"/>
      <c r="O373" s="277"/>
      <c r="P373" s="277"/>
      <c r="W373" s="277"/>
      <c r="X373" s="277"/>
      <c r="AK373" s="280"/>
      <c r="AS373" s="280"/>
    </row>
    <row r="374" customHeight="1" spans="8:45">
      <c r="H374" s="91"/>
      <c r="I374" s="7"/>
      <c r="J374" s="276"/>
      <c r="K374" s="91"/>
      <c r="L374" s="7"/>
      <c r="O374" s="277"/>
      <c r="P374" s="277"/>
      <c r="W374" s="277"/>
      <c r="X374" s="277"/>
      <c r="AK374" s="280"/>
      <c r="AS374" s="280"/>
    </row>
    <row r="375" customHeight="1" spans="8:45">
      <c r="H375" s="91"/>
      <c r="I375" s="7"/>
      <c r="J375" s="276"/>
      <c r="K375" s="91"/>
      <c r="L375" s="7"/>
      <c r="O375" s="277"/>
      <c r="P375" s="277"/>
      <c r="W375" s="277"/>
      <c r="X375" s="277"/>
      <c r="AK375" s="280"/>
      <c r="AS375" s="280"/>
    </row>
    <row r="376" customHeight="1" spans="8:45">
      <c r="H376" s="91"/>
      <c r="I376" s="7"/>
      <c r="J376" s="276"/>
      <c r="K376" s="91"/>
      <c r="L376" s="7"/>
      <c r="O376" s="277"/>
      <c r="P376" s="277"/>
      <c r="W376" s="277"/>
      <c r="X376" s="277"/>
      <c r="AK376" s="280"/>
      <c r="AS376" s="280"/>
    </row>
    <row r="377" customHeight="1" spans="8:45">
      <c r="H377" s="91"/>
      <c r="I377" s="7"/>
      <c r="J377" s="276"/>
      <c r="K377" s="91"/>
      <c r="L377" s="7"/>
      <c r="O377" s="277"/>
      <c r="P377" s="277"/>
      <c r="W377" s="277"/>
      <c r="X377" s="277"/>
      <c r="AK377" s="280"/>
      <c r="AS377" s="280"/>
    </row>
    <row r="378" customHeight="1" spans="8:45">
      <c r="H378" s="91"/>
      <c r="I378" s="7"/>
      <c r="J378" s="276"/>
      <c r="K378" s="91"/>
      <c r="L378" s="7"/>
      <c r="O378" s="277"/>
      <c r="P378" s="277"/>
      <c r="W378" s="277"/>
      <c r="X378" s="277"/>
      <c r="AK378" s="280"/>
      <c r="AS378" s="280"/>
    </row>
    <row r="379" customHeight="1" spans="8:45">
      <c r="H379" s="91"/>
      <c r="I379" s="7"/>
      <c r="J379" s="276"/>
      <c r="K379" s="91"/>
      <c r="L379" s="7"/>
      <c r="O379" s="277"/>
      <c r="P379" s="277"/>
      <c r="W379" s="277"/>
      <c r="X379" s="277"/>
      <c r="AK379" s="280"/>
      <c r="AS379" s="280"/>
    </row>
    <row r="380" customHeight="1" spans="8:45">
      <c r="H380" s="91"/>
      <c r="I380" s="7"/>
      <c r="J380" s="276"/>
      <c r="K380" s="91"/>
      <c r="L380" s="7"/>
      <c r="O380" s="277"/>
      <c r="P380" s="277"/>
      <c r="W380" s="277"/>
      <c r="X380" s="277"/>
      <c r="AK380" s="280"/>
      <c r="AS380" s="280"/>
    </row>
    <row r="381" customHeight="1" spans="8:45">
      <c r="H381" s="91"/>
      <c r="I381" s="7"/>
      <c r="J381" s="276"/>
      <c r="K381" s="91"/>
      <c r="L381" s="7"/>
      <c r="O381" s="277"/>
      <c r="P381" s="277"/>
      <c r="W381" s="277"/>
      <c r="X381" s="277"/>
      <c r="AK381" s="280"/>
      <c r="AS381" s="280"/>
    </row>
    <row r="382" customHeight="1" spans="8:45">
      <c r="H382" s="91"/>
      <c r="I382" s="7"/>
      <c r="J382" s="276"/>
      <c r="K382" s="91"/>
      <c r="L382" s="7"/>
      <c r="O382" s="277"/>
      <c r="P382" s="277"/>
      <c r="W382" s="277"/>
      <c r="X382" s="277"/>
      <c r="AK382" s="280"/>
      <c r="AS382" s="280"/>
    </row>
    <row r="383" customHeight="1" spans="8:45">
      <c r="H383" s="91"/>
      <c r="I383" s="7"/>
      <c r="J383" s="276"/>
      <c r="K383" s="91"/>
      <c r="L383" s="7"/>
      <c r="O383" s="277"/>
      <c r="P383" s="277"/>
      <c r="W383" s="277"/>
      <c r="X383" s="277"/>
      <c r="AK383" s="280"/>
      <c r="AS383" s="280"/>
    </row>
    <row r="384" customHeight="1" spans="8:45">
      <c r="H384" s="91"/>
      <c r="I384" s="7"/>
      <c r="J384" s="276"/>
      <c r="K384" s="91"/>
      <c r="L384" s="7"/>
      <c r="O384" s="277"/>
      <c r="P384" s="277"/>
      <c r="W384" s="277"/>
      <c r="X384" s="277"/>
      <c r="AK384" s="280"/>
      <c r="AS384" s="280"/>
    </row>
    <row r="385" customHeight="1" spans="8:45">
      <c r="H385" s="91"/>
      <c r="I385" s="7"/>
      <c r="J385" s="276"/>
      <c r="K385" s="91"/>
      <c r="L385" s="7"/>
      <c r="O385" s="277"/>
      <c r="P385" s="277"/>
      <c r="W385" s="277"/>
      <c r="X385" s="277"/>
      <c r="AK385" s="280"/>
      <c r="AS385" s="280"/>
    </row>
    <row r="386" customHeight="1" spans="8:45">
      <c r="H386" s="91"/>
      <c r="I386" s="7"/>
      <c r="J386" s="276"/>
      <c r="K386" s="91"/>
      <c r="L386" s="7"/>
      <c r="O386" s="277"/>
      <c r="P386" s="277"/>
      <c r="W386" s="277"/>
      <c r="X386" s="277"/>
      <c r="AK386" s="280"/>
      <c r="AS386" s="280"/>
    </row>
    <row r="387" customHeight="1" spans="8:45">
      <c r="H387" s="91"/>
      <c r="I387" s="7"/>
      <c r="J387" s="276"/>
      <c r="K387" s="91"/>
      <c r="L387" s="7"/>
      <c r="O387" s="277"/>
      <c r="P387" s="277"/>
      <c r="W387" s="277"/>
      <c r="X387" s="277"/>
      <c r="AK387" s="280"/>
      <c r="AS387" s="280"/>
    </row>
    <row r="388" customHeight="1" spans="8:45">
      <c r="H388" s="91"/>
      <c r="I388" s="7"/>
      <c r="J388" s="276"/>
      <c r="K388" s="91"/>
      <c r="L388" s="7"/>
      <c r="O388" s="277"/>
      <c r="P388" s="277"/>
      <c r="W388" s="277"/>
      <c r="X388" s="277"/>
      <c r="AK388" s="280"/>
      <c r="AS388" s="280"/>
    </row>
    <row r="389" customHeight="1" spans="8:45">
      <c r="H389" s="91"/>
      <c r="I389" s="7"/>
      <c r="J389" s="276"/>
      <c r="K389" s="91"/>
      <c r="L389" s="7"/>
      <c r="O389" s="277"/>
      <c r="P389" s="277"/>
      <c r="W389" s="277"/>
      <c r="X389" s="277"/>
      <c r="AK389" s="280"/>
      <c r="AS389" s="280"/>
    </row>
    <row r="390" customHeight="1" spans="8:45">
      <c r="H390" s="91"/>
      <c r="I390" s="7"/>
      <c r="J390" s="276"/>
      <c r="K390" s="91"/>
      <c r="L390" s="7"/>
      <c r="O390" s="277"/>
      <c r="P390" s="277"/>
      <c r="W390" s="277"/>
      <c r="X390" s="277"/>
      <c r="AK390" s="280"/>
      <c r="AS390" s="280"/>
    </row>
    <row r="391" customHeight="1" spans="8:45">
      <c r="H391" s="91"/>
      <c r="I391" s="7"/>
      <c r="J391" s="276"/>
      <c r="K391" s="91"/>
      <c r="L391" s="7"/>
      <c r="O391" s="277"/>
      <c r="P391" s="277"/>
      <c r="W391" s="277"/>
      <c r="X391" s="277"/>
      <c r="AK391" s="280"/>
      <c r="AS391" s="280"/>
    </row>
    <row r="392" customHeight="1" spans="8:45">
      <c r="H392" s="91"/>
      <c r="I392" s="7"/>
      <c r="J392" s="276"/>
      <c r="K392" s="91"/>
      <c r="L392" s="7"/>
      <c r="O392" s="277"/>
      <c r="P392" s="277"/>
      <c r="W392" s="277"/>
      <c r="X392" s="277"/>
      <c r="AK392" s="280"/>
      <c r="AS392" s="280"/>
    </row>
    <row r="393" customHeight="1" spans="8:45">
      <c r="H393" s="91"/>
      <c r="I393" s="7"/>
      <c r="J393" s="276"/>
      <c r="K393" s="91"/>
      <c r="L393" s="7"/>
      <c r="O393" s="277"/>
      <c r="P393" s="277"/>
      <c r="W393" s="277"/>
      <c r="X393" s="277"/>
      <c r="AK393" s="280"/>
      <c r="AS393" s="280"/>
    </row>
    <row r="394" customHeight="1" spans="8:45">
      <c r="H394" s="91"/>
      <c r="I394" s="7"/>
      <c r="J394" s="276"/>
      <c r="K394" s="91"/>
      <c r="L394" s="7"/>
      <c r="O394" s="277"/>
      <c r="P394" s="277"/>
      <c r="W394" s="277"/>
      <c r="X394" s="277"/>
      <c r="AK394" s="280"/>
      <c r="AS394" s="280"/>
    </row>
    <row r="395" customHeight="1" spans="8:45">
      <c r="H395" s="91"/>
      <c r="I395" s="7"/>
      <c r="J395" s="276"/>
      <c r="K395" s="91"/>
      <c r="L395" s="7"/>
      <c r="O395" s="277"/>
      <c r="P395" s="277"/>
      <c r="W395" s="277"/>
      <c r="X395" s="277"/>
      <c r="AK395" s="280"/>
      <c r="AS395" s="280"/>
    </row>
    <row r="396" customHeight="1" spans="8:45">
      <c r="H396" s="91"/>
      <c r="I396" s="7"/>
      <c r="J396" s="276"/>
      <c r="K396" s="91"/>
      <c r="L396" s="7"/>
      <c r="O396" s="277"/>
      <c r="P396" s="277"/>
      <c r="W396" s="277"/>
      <c r="X396" s="277"/>
      <c r="AK396" s="280"/>
      <c r="AS396" s="280"/>
    </row>
    <row r="397" customHeight="1" spans="8:45">
      <c r="H397" s="91"/>
      <c r="I397" s="7"/>
      <c r="J397" s="276"/>
      <c r="K397" s="91"/>
      <c r="L397" s="7"/>
      <c r="O397" s="277"/>
      <c r="P397" s="277"/>
      <c r="W397" s="277"/>
      <c r="X397" s="277"/>
      <c r="AK397" s="280"/>
      <c r="AS397" s="280"/>
    </row>
    <row r="398" customHeight="1" spans="8:45">
      <c r="H398" s="91"/>
      <c r="I398" s="7"/>
      <c r="J398" s="276"/>
      <c r="K398" s="91"/>
      <c r="L398" s="7"/>
      <c r="O398" s="277"/>
      <c r="P398" s="277"/>
      <c r="W398" s="277"/>
      <c r="X398" s="277"/>
      <c r="AK398" s="280"/>
      <c r="AS398" s="280"/>
    </row>
    <row r="399" customHeight="1" spans="8:45">
      <c r="H399" s="91"/>
      <c r="I399" s="7"/>
      <c r="J399" s="276"/>
      <c r="K399" s="91"/>
      <c r="L399" s="7"/>
      <c r="O399" s="277"/>
      <c r="P399" s="277"/>
      <c r="W399" s="277"/>
      <c r="X399" s="277"/>
      <c r="AK399" s="280"/>
      <c r="AS399" s="280"/>
    </row>
    <row r="400" customHeight="1" spans="8:45">
      <c r="H400" s="91"/>
      <c r="I400" s="7"/>
      <c r="J400" s="276"/>
      <c r="K400" s="91"/>
      <c r="L400" s="7"/>
      <c r="O400" s="277"/>
      <c r="P400" s="277"/>
      <c r="W400" s="277"/>
      <c r="X400" s="277"/>
      <c r="AK400" s="280"/>
      <c r="AS400" s="280"/>
    </row>
    <row r="401" customHeight="1" spans="8:45">
      <c r="H401" s="91"/>
      <c r="I401" s="7"/>
      <c r="J401" s="276"/>
      <c r="K401" s="91"/>
      <c r="L401" s="7"/>
      <c r="O401" s="277"/>
      <c r="P401" s="277"/>
      <c r="W401" s="277"/>
      <c r="X401" s="277"/>
      <c r="AK401" s="280"/>
      <c r="AS401" s="280"/>
    </row>
    <row r="402" customHeight="1" spans="8:45">
      <c r="H402" s="91"/>
      <c r="I402" s="7"/>
      <c r="J402" s="276"/>
      <c r="K402" s="91"/>
      <c r="L402" s="7"/>
      <c r="O402" s="277"/>
      <c r="P402" s="277"/>
      <c r="W402" s="277"/>
      <c r="X402" s="277"/>
      <c r="AK402" s="280"/>
      <c r="AS402" s="280"/>
    </row>
    <row r="403" customHeight="1" spans="8:45">
      <c r="H403" s="91"/>
      <c r="I403" s="7"/>
      <c r="J403" s="276"/>
      <c r="K403" s="91"/>
      <c r="L403" s="7"/>
      <c r="O403" s="277"/>
      <c r="P403" s="277"/>
      <c r="W403" s="277"/>
      <c r="X403" s="277"/>
      <c r="AK403" s="280"/>
      <c r="AS403" s="280"/>
    </row>
    <row r="404" customHeight="1" spans="8:45">
      <c r="H404" s="91"/>
      <c r="I404" s="7"/>
      <c r="J404" s="276"/>
      <c r="K404" s="91"/>
      <c r="L404" s="7"/>
      <c r="O404" s="277"/>
      <c r="P404" s="277"/>
      <c r="W404" s="277"/>
      <c r="X404" s="277"/>
      <c r="AK404" s="280"/>
      <c r="AS404" s="280"/>
    </row>
    <row r="405" customHeight="1" spans="8:45">
      <c r="H405" s="91"/>
      <c r="I405" s="7"/>
      <c r="J405" s="276"/>
      <c r="K405" s="91"/>
      <c r="L405" s="7"/>
      <c r="O405" s="277"/>
      <c r="P405" s="277"/>
      <c r="W405" s="277"/>
      <c r="X405" s="277"/>
      <c r="AK405" s="280"/>
      <c r="AS405" s="280"/>
    </row>
    <row r="406" customHeight="1" spans="8:45">
      <c r="H406" s="91"/>
      <c r="I406" s="7"/>
      <c r="J406" s="276"/>
      <c r="K406" s="91"/>
      <c r="L406" s="7"/>
      <c r="O406" s="277"/>
      <c r="P406" s="277"/>
      <c r="W406" s="277"/>
      <c r="X406" s="277"/>
      <c r="AK406" s="280"/>
      <c r="AS406" s="280"/>
    </row>
    <row r="407" customHeight="1" spans="8:45">
      <c r="H407" s="91"/>
      <c r="I407" s="7"/>
      <c r="J407" s="276"/>
      <c r="K407" s="91"/>
      <c r="L407" s="7"/>
      <c r="O407" s="277"/>
      <c r="P407" s="277"/>
      <c r="W407" s="277"/>
      <c r="X407" s="277"/>
      <c r="AK407" s="280"/>
      <c r="AS407" s="280"/>
    </row>
    <row r="408" customHeight="1" spans="8:45">
      <c r="H408" s="91"/>
      <c r="I408" s="7"/>
      <c r="J408" s="276"/>
      <c r="K408" s="91"/>
      <c r="L408" s="7"/>
      <c r="O408" s="277"/>
      <c r="P408" s="277"/>
      <c r="W408" s="277"/>
      <c r="X408" s="277"/>
      <c r="AK408" s="280"/>
      <c r="AS408" s="280"/>
    </row>
    <row r="409" customHeight="1" spans="8:45">
      <c r="H409" s="91"/>
      <c r="I409" s="7"/>
      <c r="J409" s="276"/>
      <c r="K409" s="91"/>
      <c r="L409" s="7"/>
      <c r="O409" s="277"/>
      <c r="P409" s="277"/>
      <c r="W409" s="277"/>
      <c r="X409" s="277"/>
      <c r="AK409" s="280"/>
      <c r="AS409" s="280"/>
    </row>
    <row r="410" customHeight="1" spans="8:45">
      <c r="H410" s="91"/>
      <c r="I410" s="7"/>
      <c r="J410" s="276"/>
      <c r="K410" s="91"/>
      <c r="L410" s="7"/>
      <c r="O410" s="277"/>
      <c r="P410" s="277"/>
      <c r="W410" s="277"/>
      <c r="X410" s="277"/>
      <c r="AK410" s="280"/>
      <c r="AS410" s="280"/>
    </row>
    <row r="411" customHeight="1" spans="8:45">
      <c r="H411" s="91"/>
      <c r="I411" s="7"/>
      <c r="J411" s="276"/>
      <c r="K411" s="91"/>
      <c r="L411" s="7"/>
      <c r="O411" s="277"/>
      <c r="P411" s="277"/>
      <c r="W411" s="277"/>
      <c r="X411" s="277"/>
      <c r="AK411" s="280"/>
      <c r="AS411" s="280"/>
    </row>
    <row r="412" customHeight="1" spans="8:45">
      <c r="H412" s="91"/>
      <c r="I412" s="7"/>
      <c r="J412" s="276"/>
      <c r="K412" s="91"/>
      <c r="L412" s="7"/>
      <c r="O412" s="277"/>
      <c r="P412" s="277"/>
      <c r="W412" s="277"/>
      <c r="X412" s="277"/>
      <c r="AK412" s="280"/>
      <c r="AS412" s="280"/>
    </row>
    <row r="413" customHeight="1" spans="8:45">
      <c r="H413" s="91"/>
      <c r="I413" s="7"/>
      <c r="J413" s="276"/>
      <c r="K413" s="91"/>
      <c r="L413" s="7"/>
      <c r="O413" s="277"/>
      <c r="P413" s="277"/>
      <c r="W413" s="277"/>
      <c r="X413" s="277"/>
      <c r="AK413" s="280"/>
      <c r="AS413" s="280"/>
    </row>
    <row r="414" customHeight="1" spans="8:45">
      <c r="H414" s="91"/>
      <c r="I414" s="7"/>
      <c r="J414" s="276"/>
      <c r="K414" s="91"/>
      <c r="L414" s="7"/>
      <c r="O414" s="277"/>
      <c r="P414" s="277"/>
      <c r="W414" s="277"/>
      <c r="X414" s="277"/>
      <c r="AK414" s="280"/>
      <c r="AS414" s="280"/>
    </row>
    <row r="415" customHeight="1" spans="8:45">
      <c r="H415" s="91"/>
      <c r="I415" s="7"/>
      <c r="J415" s="276"/>
      <c r="K415" s="91"/>
      <c r="L415" s="7"/>
      <c r="O415" s="277"/>
      <c r="P415" s="277"/>
      <c r="W415" s="277"/>
      <c r="X415" s="277"/>
      <c r="AK415" s="280"/>
      <c r="AS415" s="280"/>
    </row>
    <row r="416" customHeight="1" spans="8:45">
      <c r="H416" s="91"/>
      <c r="I416" s="7"/>
      <c r="J416" s="276"/>
      <c r="K416" s="91"/>
      <c r="L416" s="7"/>
      <c r="O416" s="277"/>
      <c r="P416" s="277"/>
      <c r="W416" s="277"/>
      <c r="X416" s="277"/>
      <c r="AK416" s="280"/>
      <c r="AS416" s="280"/>
    </row>
    <row r="417" customHeight="1" spans="8:45">
      <c r="H417" s="91"/>
      <c r="I417" s="7"/>
      <c r="J417" s="276"/>
      <c r="K417" s="91"/>
      <c r="L417" s="7"/>
      <c r="O417" s="277"/>
      <c r="P417" s="277"/>
      <c r="W417" s="277"/>
      <c r="X417" s="277"/>
      <c r="AK417" s="280"/>
      <c r="AS417" s="280"/>
    </row>
    <row r="418" customHeight="1" spans="8:45">
      <c r="H418" s="91"/>
      <c r="I418" s="7"/>
      <c r="J418" s="276"/>
      <c r="K418" s="91"/>
      <c r="L418" s="7"/>
      <c r="O418" s="277"/>
      <c r="P418" s="277"/>
      <c r="W418" s="277"/>
      <c r="X418" s="277"/>
      <c r="AK418" s="280"/>
      <c r="AS418" s="280"/>
    </row>
    <row r="419" customHeight="1" spans="8:45">
      <c r="H419" s="91"/>
      <c r="I419" s="7"/>
      <c r="J419" s="276"/>
      <c r="K419" s="91"/>
      <c r="L419" s="7"/>
      <c r="O419" s="277"/>
      <c r="P419" s="277"/>
      <c r="W419" s="277"/>
      <c r="X419" s="277"/>
      <c r="AK419" s="280"/>
      <c r="AS419" s="280"/>
    </row>
    <row r="420" customHeight="1" spans="8:45">
      <c r="H420" s="91"/>
      <c r="I420" s="7"/>
      <c r="J420" s="276"/>
      <c r="K420" s="91"/>
      <c r="L420" s="7"/>
      <c r="O420" s="277"/>
      <c r="P420" s="277"/>
      <c r="W420" s="277"/>
      <c r="X420" s="277"/>
      <c r="AK420" s="280"/>
      <c r="AS420" s="280"/>
    </row>
    <row r="421" customHeight="1" spans="8:45">
      <c r="H421" s="91"/>
      <c r="I421" s="7"/>
      <c r="J421" s="276"/>
      <c r="K421" s="91"/>
      <c r="L421" s="7"/>
      <c r="O421" s="277"/>
      <c r="P421" s="277"/>
      <c r="W421" s="277"/>
      <c r="X421" s="277"/>
      <c r="AK421" s="280"/>
      <c r="AS421" s="280"/>
    </row>
    <row r="422" customHeight="1" spans="8:45">
      <c r="H422" s="91"/>
      <c r="I422" s="7"/>
      <c r="J422" s="276"/>
      <c r="K422" s="91"/>
      <c r="L422" s="7"/>
      <c r="O422" s="277"/>
      <c r="P422" s="277"/>
      <c r="W422" s="277"/>
      <c r="X422" s="277"/>
      <c r="AK422" s="280"/>
      <c r="AS422" s="280"/>
    </row>
    <row r="423" customHeight="1" spans="8:45">
      <c r="H423" s="91"/>
      <c r="I423" s="7"/>
      <c r="J423" s="276"/>
      <c r="K423" s="91"/>
      <c r="L423" s="7"/>
      <c r="O423" s="277"/>
      <c r="P423" s="277"/>
      <c r="W423" s="277"/>
      <c r="X423" s="277"/>
      <c r="AK423" s="280"/>
      <c r="AS423" s="280"/>
    </row>
    <row r="424" customHeight="1" spans="8:45">
      <c r="H424" s="91"/>
      <c r="I424" s="7"/>
      <c r="J424" s="276"/>
      <c r="K424" s="91"/>
      <c r="L424" s="7"/>
      <c r="O424" s="277"/>
      <c r="P424" s="277"/>
      <c r="W424" s="277"/>
      <c r="X424" s="277"/>
      <c r="AK424" s="280"/>
      <c r="AS424" s="280"/>
    </row>
    <row r="425" customHeight="1" spans="8:45">
      <c r="H425" s="91"/>
      <c r="I425" s="7"/>
      <c r="J425" s="276"/>
      <c r="K425" s="91"/>
      <c r="L425" s="7"/>
      <c r="O425" s="277"/>
      <c r="P425" s="277"/>
      <c r="W425" s="277"/>
      <c r="X425" s="277"/>
      <c r="AK425" s="280"/>
      <c r="AS425" s="280"/>
    </row>
    <row r="426" customHeight="1" spans="8:45">
      <c r="H426" s="91"/>
      <c r="I426" s="7"/>
      <c r="J426" s="276"/>
      <c r="K426" s="91"/>
      <c r="L426" s="7"/>
      <c r="O426" s="277"/>
      <c r="P426" s="277"/>
      <c r="W426" s="277"/>
      <c r="X426" s="277"/>
      <c r="AK426" s="280"/>
      <c r="AS426" s="280"/>
    </row>
    <row r="427" customHeight="1" spans="8:45">
      <c r="H427" s="91"/>
      <c r="I427" s="7"/>
      <c r="J427" s="276"/>
      <c r="K427" s="91"/>
      <c r="L427" s="7"/>
      <c r="O427" s="277"/>
      <c r="P427" s="277"/>
      <c r="W427" s="277"/>
      <c r="X427" s="277"/>
      <c r="AK427" s="280"/>
      <c r="AS427" s="280"/>
    </row>
    <row r="428" customHeight="1" spans="8:45">
      <c r="H428" s="91"/>
      <c r="I428" s="7"/>
      <c r="J428" s="276"/>
      <c r="K428" s="91"/>
      <c r="L428" s="7"/>
      <c r="O428" s="277"/>
      <c r="P428" s="277"/>
      <c r="W428" s="277"/>
      <c r="X428" s="277"/>
      <c r="AK428" s="280"/>
      <c r="AS428" s="280"/>
    </row>
    <row r="429" customHeight="1" spans="8:45">
      <c r="H429" s="91"/>
      <c r="I429" s="7"/>
      <c r="J429" s="276"/>
      <c r="K429" s="91"/>
      <c r="L429" s="7"/>
      <c r="O429" s="277"/>
      <c r="P429" s="277"/>
      <c r="W429" s="277"/>
      <c r="X429" s="277"/>
      <c r="AK429" s="280"/>
      <c r="AS429" s="280"/>
    </row>
    <row r="430" customHeight="1" spans="8:45">
      <c r="H430" s="91"/>
      <c r="I430" s="7"/>
      <c r="J430" s="276"/>
      <c r="K430" s="91"/>
      <c r="L430" s="7"/>
      <c r="O430" s="277"/>
      <c r="P430" s="277"/>
      <c r="W430" s="277"/>
      <c r="X430" s="277"/>
      <c r="AK430" s="280"/>
      <c r="AS430" s="280"/>
    </row>
    <row r="431" customHeight="1" spans="8:45">
      <c r="H431" s="91"/>
      <c r="I431" s="7"/>
      <c r="J431" s="276"/>
      <c r="K431" s="91"/>
      <c r="L431" s="7"/>
      <c r="O431" s="277"/>
      <c r="P431" s="277"/>
      <c r="W431" s="277"/>
      <c r="X431" s="277"/>
      <c r="AK431" s="280"/>
      <c r="AS431" s="280"/>
    </row>
    <row r="432" customHeight="1" spans="8:45">
      <c r="H432" s="91"/>
      <c r="I432" s="7"/>
      <c r="J432" s="276"/>
      <c r="K432" s="91"/>
      <c r="L432" s="7"/>
      <c r="O432" s="277"/>
      <c r="P432" s="277"/>
      <c r="W432" s="277"/>
      <c r="X432" s="277"/>
      <c r="AK432" s="280"/>
      <c r="AS432" s="280"/>
    </row>
    <row r="433" customHeight="1" spans="8:45">
      <c r="H433" s="91"/>
      <c r="I433" s="7"/>
      <c r="J433" s="276"/>
      <c r="K433" s="91"/>
      <c r="L433" s="7"/>
      <c r="O433" s="277"/>
      <c r="P433" s="277"/>
      <c r="W433" s="277"/>
      <c r="X433" s="277"/>
      <c r="AK433" s="280"/>
      <c r="AS433" s="280"/>
    </row>
    <row r="434" customHeight="1" spans="8:45">
      <c r="H434" s="91"/>
      <c r="I434" s="7"/>
      <c r="J434" s="276"/>
      <c r="K434" s="91"/>
      <c r="L434" s="7"/>
      <c r="O434" s="277"/>
      <c r="P434" s="277"/>
      <c r="W434" s="277"/>
      <c r="X434" s="277"/>
      <c r="AK434" s="280"/>
      <c r="AS434" s="280"/>
    </row>
    <row r="435" customHeight="1" spans="8:45">
      <c r="H435" s="91"/>
      <c r="I435" s="7"/>
      <c r="J435" s="276"/>
      <c r="K435" s="91"/>
      <c r="L435" s="7"/>
      <c r="O435" s="277"/>
      <c r="P435" s="277"/>
      <c r="W435" s="277"/>
      <c r="X435" s="277"/>
      <c r="AK435" s="280"/>
      <c r="AS435" s="280"/>
    </row>
    <row r="436" customHeight="1" spans="8:45">
      <c r="H436" s="91"/>
      <c r="I436" s="7"/>
      <c r="J436" s="276"/>
      <c r="K436" s="91"/>
      <c r="L436" s="7"/>
      <c r="O436" s="277"/>
      <c r="P436" s="277"/>
      <c r="W436" s="277"/>
      <c r="X436" s="277"/>
      <c r="AK436" s="280"/>
      <c r="AS436" s="280"/>
    </row>
    <row r="437" customHeight="1" spans="8:45">
      <c r="H437" s="91"/>
      <c r="I437" s="7"/>
      <c r="J437" s="276"/>
      <c r="K437" s="91"/>
      <c r="L437" s="7"/>
      <c r="O437" s="277"/>
      <c r="P437" s="277"/>
      <c r="W437" s="277"/>
      <c r="X437" s="277"/>
      <c r="AK437" s="280"/>
      <c r="AS437" s="280"/>
    </row>
    <row r="438" customHeight="1" spans="8:45">
      <c r="H438" s="91"/>
      <c r="I438" s="7"/>
      <c r="J438" s="276"/>
      <c r="K438" s="91"/>
      <c r="L438" s="7"/>
      <c r="O438" s="277"/>
      <c r="P438" s="277"/>
      <c r="W438" s="277"/>
      <c r="X438" s="277"/>
      <c r="AK438" s="280"/>
      <c r="AS438" s="280"/>
    </row>
    <row r="439" customHeight="1" spans="8:45">
      <c r="H439" s="91"/>
      <c r="I439" s="7"/>
      <c r="J439" s="276"/>
      <c r="K439" s="91"/>
      <c r="L439" s="7"/>
      <c r="O439" s="277"/>
      <c r="P439" s="277"/>
      <c r="W439" s="277"/>
      <c r="X439" s="277"/>
      <c r="AK439" s="280"/>
      <c r="AS439" s="280"/>
    </row>
    <row r="440" customHeight="1" spans="8:45">
      <c r="H440" s="91"/>
      <c r="I440" s="7"/>
      <c r="J440" s="276"/>
      <c r="K440" s="91"/>
      <c r="L440" s="7"/>
      <c r="O440" s="277"/>
      <c r="P440" s="277"/>
      <c r="W440" s="277"/>
      <c r="X440" s="277"/>
      <c r="AK440" s="280"/>
      <c r="AS440" s="280"/>
    </row>
    <row r="441" customHeight="1" spans="8:45">
      <c r="H441" s="91"/>
      <c r="I441" s="7"/>
      <c r="J441" s="276"/>
      <c r="K441" s="91"/>
      <c r="L441" s="7"/>
      <c r="O441" s="277"/>
      <c r="P441" s="277"/>
      <c r="W441" s="277"/>
      <c r="X441" s="277"/>
      <c r="AK441" s="280"/>
      <c r="AS441" s="280"/>
    </row>
    <row r="442" customHeight="1" spans="8:45">
      <c r="H442" s="91"/>
      <c r="I442" s="7"/>
      <c r="J442" s="276"/>
      <c r="K442" s="91"/>
      <c r="L442" s="7"/>
      <c r="O442" s="277"/>
      <c r="P442" s="277"/>
      <c r="W442" s="277"/>
      <c r="X442" s="277"/>
      <c r="AK442" s="280"/>
      <c r="AS442" s="280"/>
    </row>
    <row r="443" customHeight="1" spans="8:45">
      <c r="H443" s="91"/>
      <c r="I443" s="7"/>
      <c r="J443" s="276"/>
      <c r="K443" s="91"/>
      <c r="L443" s="7"/>
      <c r="O443" s="277"/>
      <c r="P443" s="277"/>
      <c r="W443" s="277"/>
      <c r="X443" s="277"/>
      <c r="AK443" s="280"/>
      <c r="AS443" s="280"/>
    </row>
    <row r="444" customHeight="1" spans="8:45">
      <c r="H444" s="91"/>
      <c r="I444" s="7"/>
      <c r="J444" s="276"/>
      <c r="K444" s="91"/>
      <c r="L444" s="7"/>
      <c r="O444" s="277"/>
      <c r="P444" s="277"/>
      <c r="W444" s="277"/>
      <c r="X444" s="277"/>
      <c r="AK444" s="280"/>
      <c r="AS444" s="280"/>
    </row>
    <row r="445" customHeight="1" spans="8:45">
      <c r="H445" s="91"/>
      <c r="I445" s="7"/>
      <c r="J445" s="276"/>
      <c r="K445" s="91"/>
      <c r="L445" s="7"/>
      <c r="O445" s="277"/>
      <c r="P445" s="277"/>
      <c r="W445" s="277"/>
      <c r="X445" s="277"/>
      <c r="AK445" s="280"/>
      <c r="AS445" s="280"/>
    </row>
    <row r="446" customHeight="1" spans="8:45">
      <c r="H446" s="91"/>
      <c r="I446" s="7"/>
      <c r="J446" s="276"/>
      <c r="K446" s="91"/>
      <c r="L446" s="7"/>
      <c r="O446" s="277"/>
      <c r="P446" s="277"/>
      <c r="W446" s="277"/>
      <c r="X446" s="277"/>
      <c r="AK446" s="280"/>
      <c r="AS446" s="280"/>
    </row>
    <row r="447" customHeight="1" spans="8:45">
      <c r="H447" s="91"/>
      <c r="I447" s="7"/>
      <c r="J447" s="276"/>
      <c r="K447" s="91"/>
      <c r="L447" s="7"/>
      <c r="O447" s="277"/>
      <c r="P447" s="277"/>
      <c r="W447" s="277"/>
      <c r="X447" s="277"/>
      <c r="AK447" s="280"/>
      <c r="AS447" s="280"/>
    </row>
    <row r="448" customHeight="1" spans="8:45">
      <c r="H448" s="91"/>
      <c r="I448" s="7"/>
      <c r="J448" s="276"/>
      <c r="K448" s="91"/>
      <c r="L448" s="7"/>
      <c r="O448" s="277"/>
      <c r="P448" s="277"/>
      <c r="W448" s="277"/>
      <c r="X448" s="277"/>
      <c r="AK448" s="280"/>
      <c r="AS448" s="280"/>
    </row>
    <row r="449" customHeight="1" spans="8:45">
      <c r="H449" s="91"/>
      <c r="I449" s="7"/>
      <c r="J449" s="276"/>
      <c r="K449" s="91"/>
      <c r="L449" s="7"/>
      <c r="O449" s="277"/>
      <c r="P449" s="277"/>
      <c r="W449" s="277"/>
      <c r="X449" s="277"/>
      <c r="AK449" s="280"/>
      <c r="AS449" s="280"/>
    </row>
    <row r="450" customHeight="1" spans="8:45">
      <c r="H450" s="91"/>
      <c r="I450" s="7"/>
      <c r="J450" s="276"/>
      <c r="K450" s="91"/>
      <c r="L450" s="7"/>
      <c r="O450" s="277"/>
      <c r="P450" s="277"/>
      <c r="W450" s="277"/>
      <c r="X450" s="277"/>
      <c r="AK450" s="280"/>
      <c r="AS450" s="280"/>
    </row>
    <row r="451" customHeight="1" spans="8:45">
      <c r="H451" s="91"/>
      <c r="I451" s="7"/>
      <c r="J451" s="276"/>
      <c r="K451" s="91"/>
      <c r="L451" s="7"/>
      <c r="O451" s="277"/>
      <c r="P451" s="277"/>
      <c r="W451" s="277"/>
      <c r="X451" s="277"/>
      <c r="AK451" s="280"/>
      <c r="AS451" s="280"/>
    </row>
    <row r="452" customHeight="1" spans="8:45">
      <c r="H452" s="91"/>
      <c r="I452" s="7"/>
      <c r="J452" s="276"/>
      <c r="K452" s="91"/>
      <c r="L452" s="7"/>
      <c r="O452" s="277"/>
      <c r="P452" s="277"/>
      <c r="W452" s="277"/>
      <c r="X452" s="277"/>
      <c r="AK452" s="280"/>
      <c r="AS452" s="280"/>
    </row>
    <row r="453" customHeight="1" spans="8:45">
      <c r="H453" s="91"/>
      <c r="I453" s="7"/>
      <c r="J453" s="276"/>
      <c r="K453" s="91"/>
      <c r="L453" s="7"/>
      <c r="O453" s="277"/>
      <c r="P453" s="277"/>
      <c r="W453" s="277"/>
      <c r="X453" s="277"/>
      <c r="AK453" s="280"/>
      <c r="AS453" s="280"/>
    </row>
    <row r="454" customHeight="1" spans="8:45">
      <c r="H454" s="91"/>
      <c r="I454" s="7"/>
      <c r="J454" s="276"/>
      <c r="K454" s="91"/>
      <c r="L454" s="7"/>
      <c r="O454" s="277"/>
      <c r="P454" s="277"/>
      <c r="W454" s="277"/>
      <c r="X454" s="277"/>
      <c r="AK454" s="280"/>
      <c r="AS454" s="280"/>
    </row>
    <row r="455" customHeight="1" spans="8:45">
      <c r="H455" s="91"/>
      <c r="I455" s="7"/>
      <c r="J455" s="276"/>
      <c r="K455" s="91"/>
      <c r="L455" s="7"/>
      <c r="O455" s="277"/>
      <c r="P455" s="277"/>
      <c r="W455" s="277"/>
      <c r="X455" s="277"/>
      <c r="AK455" s="280"/>
      <c r="AS455" s="280"/>
    </row>
    <row r="456" customHeight="1" spans="8:45">
      <c r="H456" s="91"/>
      <c r="I456" s="7"/>
      <c r="J456" s="276"/>
      <c r="K456" s="91"/>
      <c r="L456" s="7"/>
      <c r="O456" s="277"/>
      <c r="P456" s="277"/>
      <c r="W456" s="277"/>
      <c r="X456" s="277"/>
      <c r="AK456" s="280"/>
      <c r="AS456" s="280"/>
    </row>
    <row r="457" customHeight="1" spans="8:45">
      <c r="H457" s="91"/>
      <c r="I457" s="7"/>
      <c r="J457" s="276"/>
      <c r="K457" s="91"/>
      <c r="L457" s="7"/>
      <c r="O457" s="277"/>
      <c r="P457" s="277"/>
      <c r="W457" s="277"/>
      <c r="X457" s="277"/>
      <c r="AK457" s="280"/>
      <c r="AS457" s="280"/>
    </row>
    <row r="458" customHeight="1" spans="8:45">
      <c r="H458" s="91"/>
      <c r="I458" s="7"/>
      <c r="J458" s="276"/>
      <c r="K458" s="91"/>
      <c r="L458" s="7"/>
      <c r="O458" s="277"/>
      <c r="P458" s="277"/>
      <c r="W458" s="277"/>
      <c r="X458" s="277"/>
      <c r="AK458" s="280"/>
      <c r="AS458" s="280"/>
    </row>
    <row r="459" customHeight="1" spans="8:45">
      <c r="H459" s="91"/>
      <c r="I459" s="7"/>
      <c r="J459" s="276"/>
      <c r="K459" s="91"/>
      <c r="L459" s="7"/>
      <c r="O459" s="277"/>
      <c r="P459" s="277"/>
      <c r="W459" s="277"/>
      <c r="X459" s="277"/>
      <c r="AK459" s="280"/>
      <c r="AS459" s="280"/>
    </row>
    <row r="460" customHeight="1" spans="8:45">
      <c r="H460" s="91"/>
      <c r="I460" s="7"/>
      <c r="J460" s="276"/>
      <c r="K460" s="91"/>
      <c r="L460" s="7"/>
      <c r="O460" s="277"/>
      <c r="P460" s="277"/>
      <c r="W460" s="277"/>
      <c r="X460" s="277"/>
      <c r="AK460" s="280"/>
      <c r="AS460" s="280"/>
    </row>
    <row r="461" customHeight="1" spans="8:45">
      <c r="H461" s="91"/>
      <c r="I461" s="7"/>
      <c r="J461" s="276"/>
      <c r="K461" s="91"/>
      <c r="L461" s="7"/>
      <c r="O461" s="277"/>
      <c r="P461" s="277"/>
      <c r="W461" s="277"/>
      <c r="X461" s="277"/>
      <c r="AK461" s="280"/>
      <c r="AS461" s="280"/>
    </row>
    <row r="462" customHeight="1" spans="8:45">
      <c r="H462" s="91"/>
      <c r="I462" s="7"/>
      <c r="J462" s="276"/>
      <c r="K462" s="91"/>
      <c r="L462" s="7"/>
      <c r="O462" s="277"/>
      <c r="P462" s="277"/>
      <c r="W462" s="277"/>
      <c r="X462" s="277"/>
      <c r="AK462" s="280"/>
      <c r="AS462" s="280"/>
    </row>
    <row r="463" customHeight="1" spans="8:45">
      <c r="H463" s="91"/>
      <c r="I463" s="7"/>
      <c r="J463" s="276"/>
      <c r="K463" s="91"/>
      <c r="L463" s="7"/>
      <c r="O463" s="277"/>
      <c r="P463" s="277"/>
      <c r="W463" s="277"/>
      <c r="X463" s="277"/>
      <c r="AK463" s="280"/>
      <c r="AS463" s="280"/>
    </row>
    <row r="464" customHeight="1" spans="8:45">
      <c r="H464" s="91"/>
      <c r="I464" s="7"/>
      <c r="J464" s="276"/>
      <c r="K464" s="91"/>
      <c r="L464" s="7"/>
      <c r="O464" s="277"/>
      <c r="P464" s="277"/>
      <c r="W464" s="277"/>
      <c r="X464" s="277"/>
      <c r="AK464" s="280"/>
      <c r="AS464" s="280"/>
    </row>
    <row r="465" customHeight="1" spans="8:45">
      <c r="H465" s="91"/>
      <c r="I465" s="7"/>
      <c r="J465" s="276"/>
      <c r="K465" s="91"/>
      <c r="L465" s="7"/>
      <c r="O465" s="277"/>
      <c r="P465" s="277"/>
      <c r="W465" s="277"/>
      <c r="X465" s="277"/>
      <c r="AK465" s="280"/>
      <c r="AS465" s="280"/>
    </row>
    <row r="466" customHeight="1" spans="8:45">
      <c r="H466" s="91"/>
      <c r="I466" s="7"/>
      <c r="J466" s="276"/>
      <c r="K466" s="91"/>
      <c r="L466" s="7"/>
      <c r="O466" s="277"/>
      <c r="P466" s="277"/>
      <c r="W466" s="277"/>
      <c r="X466" s="277"/>
      <c r="AK466" s="280"/>
      <c r="AS466" s="280"/>
    </row>
    <row r="467" customHeight="1" spans="8:45">
      <c r="H467" s="91"/>
      <c r="I467" s="7"/>
      <c r="J467" s="276"/>
      <c r="K467" s="91"/>
      <c r="L467" s="7"/>
      <c r="O467" s="277"/>
      <c r="P467" s="277"/>
      <c r="W467" s="277"/>
      <c r="X467" s="277"/>
      <c r="AK467" s="280"/>
      <c r="AS467" s="280"/>
    </row>
    <row r="468" customHeight="1" spans="8:45">
      <c r="H468" s="91"/>
      <c r="I468" s="7"/>
      <c r="J468" s="276"/>
      <c r="K468" s="91"/>
      <c r="L468" s="7"/>
      <c r="O468" s="277"/>
      <c r="P468" s="277"/>
      <c r="W468" s="277"/>
      <c r="X468" s="277"/>
      <c r="AK468" s="280"/>
      <c r="AS468" s="280"/>
    </row>
    <row r="469" customHeight="1" spans="8:45">
      <c r="H469" s="91"/>
      <c r="I469" s="7"/>
      <c r="J469" s="276"/>
      <c r="K469" s="91"/>
      <c r="L469" s="7"/>
      <c r="O469" s="277"/>
      <c r="P469" s="277"/>
      <c r="W469" s="277"/>
      <c r="X469" s="277"/>
      <c r="AK469" s="280"/>
      <c r="AS469" s="280"/>
    </row>
    <row r="470" customHeight="1" spans="8:45">
      <c r="H470" s="91"/>
      <c r="I470" s="7"/>
      <c r="J470" s="276"/>
      <c r="K470" s="91"/>
      <c r="L470" s="7"/>
      <c r="O470" s="277"/>
      <c r="P470" s="277"/>
      <c r="W470" s="277"/>
      <c r="X470" s="277"/>
      <c r="AK470" s="280"/>
      <c r="AS470" s="280"/>
    </row>
    <row r="471" customHeight="1" spans="8:45">
      <c r="H471" s="91"/>
      <c r="I471" s="7"/>
      <c r="J471" s="276"/>
      <c r="K471" s="91"/>
      <c r="L471" s="7"/>
      <c r="O471" s="277"/>
      <c r="P471" s="277"/>
      <c r="W471" s="277"/>
      <c r="X471" s="277"/>
      <c r="AK471" s="280"/>
      <c r="AS471" s="280"/>
    </row>
    <row r="472" customHeight="1" spans="8:45">
      <c r="H472" s="91"/>
      <c r="I472" s="7"/>
      <c r="J472" s="276"/>
      <c r="K472" s="91"/>
      <c r="L472" s="7"/>
      <c r="O472" s="277"/>
      <c r="P472" s="277"/>
      <c r="W472" s="277"/>
      <c r="X472" s="277"/>
      <c r="AK472" s="280"/>
      <c r="AS472" s="280"/>
    </row>
    <row r="473" customHeight="1" spans="8:45">
      <c r="H473" s="91"/>
      <c r="I473" s="7"/>
      <c r="J473" s="276"/>
      <c r="K473" s="91"/>
      <c r="L473" s="7"/>
      <c r="O473" s="277"/>
      <c r="P473" s="277"/>
      <c r="W473" s="277"/>
      <c r="X473" s="277"/>
      <c r="AK473" s="280"/>
      <c r="AS473" s="280"/>
    </row>
    <row r="474" customHeight="1" spans="8:45">
      <c r="H474" s="91"/>
      <c r="I474" s="7"/>
      <c r="J474" s="276"/>
      <c r="K474" s="91"/>
      <c r="L474" s="7"/>
      <c r="O474" s="277"/>
      <c r="P474" s="277"/>
      <c r="W474" s="277"/>
      <c r="X474" s="277"/>
      <c r="AK474" s="280"/>
      <c r="AS474" s="280"/>
    </row>
    <row r="475" customHeight="1" spans="8:45">
      <c r="H475" s="91"/>
      <c r="I475" s="7"/>
      <c r="J475" s="276"/>
      <c r="K475" s="91"/>
      <c r="L475" s="7"/>
      <c r="O475" s="277"/>
      <c r="P475" s="277"/>
      <c r="W475" s="277"/>
      <c r="X475" s="277"/>
      <c r="AK475" s="280"/>
      <c r="AS475" s="280"/>
    </row>
    <row r="476" customHeight="1" spans="8:45">
      <c r="H476" s="91"/>
      <c r="I476" s="7"/>
      <c r="J476" s="276"/>
      <c r="K476" s="91"/>
      <c r="L476" s="7"/>
      <c r="O476" s="277"/>
      <c r="P476" s="277"/>
      <c r="W476" s="277"/>
      <c r="X476" s="277"/>
      <c r="AK476" s="280"/>
      <c r="AS476" s="280"/>
    </row>
    <row r="477" customHeight="1" spans="8:45">
      <c r="H477" s="91"/>
      <c r="I477" s="7"/>
      <c r="J477" s="276"/>
      <c r="K477" s="91"/>
      <c r="L477" s="7"/>
      <c r="O477" s="277"/>
      <c r="P477" s="277"/>
      <c r="W477" s="277"/>
      <c r="X477" s="277"/>
      <c r="AK477" s="280"/>
      <c r="AS477" s="280"/>
    </row>
    <row r="478" customHeight="1" spans="8:45">
      <c r="H478" s="91"/>
      <c r="I478" s="7"/>
      <c r="J478" s="276"/>
      <c r="K478" s="91"/>
      <c r="L478" s="7"/>
      <c r="O478" s="277"/>
      <c r="P478" s="277"/>
      <c r="W478" s="277"/>
      <c r="X478" s="277"/>
      <c r="AK478" s="280"/>
      <c r="AS478" s="280"/>
    </row>
    <row r="479" customHeight="1" spans="8:45">
      <c r="H479" s="91"/>
      <c r="I479" s="7"/>
      <c r="J479" s="276"/>
      <c r="K479" s="91"/>
      <c r="L479" s="7"/>
      <c r="O479" s="277"/>
      <c r="P479" s="277"/>
      <c r="W479" s="277"/>
      <c r="X479" s="277"/>
      <c r="AK479" s="280"/>
      <c r="AS479" s="280"/>
    </row>
    <row r="480" customHeight="1" spans="8:45">
      <c r="H480" s="91"/>
      <c r="I480" s="7"/>
      <c r="J480" s="276"/>
      <c r="K480" s="91"/>
      <c r="L480" s="7"/>
      <c r="O480" s="277"/>
      <c r="P480" s="277"/>
      <c r="W480" s="277"/>
      <c r="X480" s="277"/>
      <c r="AK480" s="280"/>
      <c r="AS480" s="280"/>
    </row>
    <row r="481" customHeight="1" spans="8:45">
      <c r="H481" s="91"/>
      <c r="I481" s="7"/>
      <c r="J481" s="276"/>
      <c r="K481" s="91"/>
      <c r="L481" s="7"/>
      <c r="O481" s="277"/>
      <c r="P481" s="277"/>
      <c r="W481" s="277"/>
      <c r="X481" s="277"/>
      <c r="AK481" s="280"/>
      <c r="AS481" s="280"/>
    </row>
    <row r="482" customHeight="1" spans="8:45">
      <c r="H482" s="91"/>
      <c r="I482" s="7"/>
      <c r="J482" s="276"/>
      <c r="K482" s="91"/>
      <c r="L482" s="7"/>
      <c r="O482" s="277"/>
      <c r="P482" s="277"/>
      <c r="W482" s="277"/>
      <c r="X482" s="277"/>
      <c r="AK482" s="280"/>
      <c r="AS482" s="280"/>
    </row>
    <row r="483" customHeight="1" spans="8:45">
      <c r="H483" s="91"/>
      <c r="I483" s="7"/>
      <c r="J483" s="276"/>
      <c r="K483" s="91"/>
      <c r="L483" s="7"/>
      <c r="O483" s="277"/>
      <c r="P483" s="277"/>
      <c r="W483" s="277"/>
      <c r="X483" s="277"/>
      <c r="AK483" s="280"/>
      <c r="AS483" s="280"/>
    </row>
    <row r="484" customHeight="1" spans="8:45">
      <c r="H484" s="91"/>
      <c r="I484" s="7"/>
      <c r="J484" s="276"/>
      <c r="K484" s="91"/>
      <c r="L484" s="7"/>
      <c r="O484" s="277"/>
      <c r="P484" s="277"/>
      <c r="W484" s="277"/>
      <c r="X484" s="277"/>
      <c r="AK484" s="280"/>
      <c r="AS484" s="280"/>
    </row>
    <row r="485" customHeight="1" spans="8:45">
      <c r="H485" s="91"/>
      <c r="I485" s="7"/>
      <c r="J485" s="276"/>
      <c r="K485" s="91"/>
      <c r="L485" s="7"/>
      <c r="O485" s="277"/>
      <c r="P485" s="277"/>
      <c r="W485" s="277"/>
      <c r="X485" s="277"/>
      <c r="AK485" s="280"/>
      <c r="AS485" s="280"/>
    </row>
    <row r="486" customHeight="1" spans="8:45">
      <c r="H486" s="91"/>
      <c r="I486" s="7"/>
      <c r="J486" s="276"/>
      <c r="K486" s="91"/>
      <c r="L486" s="7"/>
      <c r="O486" s="277"/>
      <c r="P486" s="277"/>
      <c r="W486" s="277"/>
      <c r="X486" s="277"/>
      <c r="AK486" s="280"/>
      <c r="AS486" s="280"/>
    </row>
    <row r="487" customHeight="1" spans="8:45">
      <c r="H487" s="91"/>
      <c r="I487" s="7"/>
      <c r="J487" s="276"/>
      <c r="K487" s="91"/>
      <c r="L487" s="7"/>
      <c r="O487" s="277"/>
      <c r="P487" s="277"/>
      <c r="W487" s="277"/>
      <c r="X487" s="277"/>
      <c r="AK487" s="280"/>
      <c r="AS487" s="280"/>
    </row>
    <row r="488" customHeight="1" spans="8:45">
      <c r="H488" s="91"/>
      <c r="I488" s="7"/>
      <c r="J488" s="276"/>
      <c r="K488" s="91"/>
      <c r="L488" s="7"/>
      <c r="O488" s="277"/>
      <c r="P488" s="277"/>
      <c r="W488" s="277"/>
      <c r="X488" s="277"/>
      <c r="AK488" s="280"/>
      <c r="AS488" s="280"/>
    </row>
    <row r="489" customHeight="1" spans="8:45">
      <c r="H489" s="91"/>
      <c r="I489" s="7"/>
      <c r="J489" s="276"/>
      <c r="K489" s="91"/>
      <c r="L489" s="7"/>
      <c r="O489" s="277"/>
      <c r="P489" s="277"/>
      <c r="W489" s="277"/>
      <c r="X489" s="277"/>
      <c r="AK489" s="280"/>
      <c r="AS489" s="280"/>
    </row>
    <row r="490" customHeight="1" spans="8:45">
      <c r="H490" s="91"/>
      <c r="I490" s="7"/>
      <c r="J490" s="276"/>
      <c r="K490" s="91"/>
      <c r="L490" s="7"/>
      <c r="O490" s="277"/>
      <c r="P490" s="277"/>
      <c r="W490" s="277"/>
      <c r="X490" s="277"/>
      <c r="AK490" s="280"/>
      <c r="AS490" s="280"/>
    </row>
    <row r="491" customHeight="1" spans="8:45">
      <c r="H491" s="91"/>
      <c r="I491" s="7"/>
      <c r="J491" s="276"/>
      <c r="K491" s="91"/>
      <c r="L491" s="7"/>
      <c r="O491" s="277"/>
      <c r="P491" s="277"/>
      <c r="W491" s="277"/>
      <c r="X491" s="277"/>
      <c r="AK491" s="280"/>
      <c r="AS491" s="280"/>
    </row>
    <row r="492" customHeight="1" spans="8:45">
      <c r="H492" s="91"/>
      <c r="I492" s="7"/>
      <c r="J492" s="276"/>
      <c r="K492" s="91"/>
      <c r="L492" s="7"/>
      <c r="O492" s="277"/>
      <c r="P492" s="277"/>
      <c r="W492" s="277"/>
      <c r="X492" s="277"/>
      <c r="AK492" s="280"/>
      <c r="AS492" s="280"/>
    </row>
    <row r="493" customHeight="1" spans="8:45">
      <c r="H493" s="91"/>
      <c r="I493" s="7"/>
      <c r="J493" s="276"/>
      <c r="K493" s="91"/>
      <c r="L493" s="7"/>
      <c r="O493" s="277"/>
      <c r="P493" s="277"/>
      <c r="W493" s="277"/>
      <c r="X493" s="277"/>
      <c r="AK493" s="280"/>
      <c r="AS493" s="280"/>
    </row>
    <row r="494" customHeight="1" spans="8:45">
      <c r="H494" s="91"/>
      <c r="I494" s="7"/>
      <c r="J494" s="276"/>
      <c r="K494" s="91"/>
      <c r="L494" s="7"/>
      <c r="O494" s="277"/>
      <c r="P494" s="277"/>
      <c r="W494" s="277"/>
      <c r="X494" s="277"/>
      <c r="AK494" s="280"/>
      <c r="AS494" s="280"/>
    </row>
    <row r="495" customHeight="1" spans="8:45">
      <c r="H495" s="91"/>
      <c r="I495" s="7"/>
      <c r="J495" s="276"/>
      <c r="K495" s="91"/>
      <c r="L495" s="7"/>
      <c r="O495" s="277"/>
      <c r="P495" s="277"/>
      <c r="W495" s="277"/>
      <c r="X495" s="277"/>
      <c r="AK495" s="280"/>
      <c r="AS495" s="280"/>
    </row>
    <row r="496" customHeight="1" spans="8:45">
      <c r="H496" s="91"/>
      <c r="I496" s="7"/>
      <c r="J496" s="276"/>
      <c r="K496" s="91"/>
      <c r="L496" s="7"/>
      <c r="O496" s="277"/>
      <c r="P496" s="277"/>
      <c r="W496" s="277"/>
      <c r="X496" s="277"/>
      <c r="AK496" s="280"/>
      <c r="AS496" s="280"/>
    </row>
    <row r="497" customHeight="1" spans="8:45">
      <c r="H497" s="91"/>
      <c r="I497" s="7"/>
      <c r="J497" s="276"/>
      <c r="K497" s="91"/>
      <c r="L497" s="7"/>
      <c r="O497" s="277"/>
      <c r="P497" s="277"/>
      <c r="W497" s="277"/>
      <c r="X497" s="277"/>
      <c r="AK497" s="280"/>
      <c r="AS497" s="280"/>
    </row>
    <row r="498" customHeight="1" spans="8:45">
      <c r="H498" s="91"/>
      <c r="I498" s="7"/>
      <c r="J498" s="276"/>
      <c r="K498" s="91"/>
      <c r="L498" s="7"/>
      <c r="O498" s="277"/>
      <c r="P498" s="277"/>
      <c r="W498" s="277"/>
      <c r="X498" s="277"/>
      <c r="AK498" s="280"/>
      <c r="AS498" s="280"/>
    </row>
    <row r="499" customHeight="1" spans="8:45">
      <c r="H499" s="91"/>
      <c r="I499" s="7"/>
      <c r="J499" s="276"/>
      <c r="K499" s="91"/>
      <c r="L499" s="7"/>
      <c r="O499" s="277"/>
      <c r="P499" s="277"/>
      <c r="W499" s="277"/>
      <c r="X499" s="277"/>
      <c r="AK499" s="280"/>
      <c r="AS499" s="280"/>
    </row>
    <row r="500" customHeight="1" spans="8:45">
      <c r="H500" s="91"/>
      <c r="I500" s="7"/>
      <c r="J500" s="276"/>
      <c r="K500" s="91"/>
      <c r="L500" s="7"/>
      <c r="O500" s="277"/>
      <c r="P500" s="277"/>
      <c r="W500" s="277"/>
      <c r="X500" s="277"/>
      <c r="AK500" s="280"/>
      <c r="AS500" s="280"/>
    </row>
    <row r="501" customHeight="1" spans="8:45">
      <c r="H501" s="91"/>
      <c r="I501" s="7"/>
      <c r="J501" s="276"/>
      <c r="K501" s="91"/>
      <c r="L501" s="7"/>
      <c r="O501" s="277"/>
      <c r="P501" s="277"/>
      <c r="W501" s="277"/>
      <c r="X501" s="277"/>
      <c r="AK501" s="280"/>
      <c r="AS501" s="280"/>
    </row>
    <row r="502" customHeight="1" spans="8:45">
      <c r="H502" s="91"/>
      <c r="I502" s="7"/>
      <c r="J502" s="276"/>
      <c r="K502" s="91"/>
      <c r="L502" s="7"/>
      <c r="O502" s="277"/>
      <c r="P502" s="277"/>
      <c r="W502" s="277"/>
      <c r="X502" s="277"/>
      <c r="AK502" s="280"/>
      <c r="AS502" s="280"/>
    </row>
    <row r="503" customHeight="1" spans="8:45">
      <c r="H503" s="91"/>
      <c r="I503" s="7"/>
      <c r="J503" s="276"/>
      <c r="K503" s="91"/>
      <c r="L503" s="7"/>
      <c r="O503" s="277"/>
      <c r="P503" s="277"/>
      <c r="W503" s="277"/>
      <c r="X503" s="277"/>
      <c r="AK503" s="280"/>
      <c r="AS503" s="280"/>
    </row>
    <row r="504" customHeight="1" spans="8:45">
      <c r="H504" s="91"/>
      <c r="I504" s="7"/>
      <c r="J504" s="276"/>
      <c r="K504" s="91"/>
      <c r="L504" s="7"/>
      <c r="O504" s="277"/>
      <c r="P504" s="277"/>
      <c r="W504" s="277"/>
      <c r="X504" s="277"/>
      <c r="AK504" s="280"/>
      <c r="AS504" s="280"/>
    </row>
    <row r="505" customHeight="1" spans="8:45">
      <c r="H505" s="91"/>
      <c r="I505" s="7"/>
      <c r="J505" s="276"/>
      <c r="K505" s="91"/>
      <c r="L505" s="7"/>
      <c r="O505" s="277"/>
      <c r="P505" s="277"/>
      <c r="W505" s="277"/>
      <c r="X505" s="277"/>
      <c r="AK505" s="280"/>
      <c r="AS505" s="280"/>
    </row>
    <row r="506" customHeight="1" spans="8:45">
      <c r="H506" s="91"/>
      <c r="I506" s="7"/>
      <c r="J506" s="276"/>
      <c r="K506" s="91"/>
      <c r="L506" s="7"/>
      <c r="O506" s="277"/>
      <c r="P506" s="277"/>
      <c r="W506" s="277"/>
      <c r="X506" s="277"/>
      <c r="AK506" s="280"/>
      <c r="AS506" s="280"/>
    </row>
    <row r="507" customHeight="1" spans="8:45">
      <c r="H507" s="91"/>
      <c r="I507" s="7"/>
      <c r="J507" s="276"/>
      <c r="K507" s="91"/>
      <c r="L507" s="7"/>
      <c r="O507" s="277"/>
      <c r="P507" s="277"/>
      <c r="W507" s="277"/>
      <c r="X507" s="277"/>
      <c r="AK507" s="280"/>
      <c r="AS507" s="280"/>
    </row>
    <row r="508" customHeight="1" spans="8:45">
      <c r="H508" s="91"/>
      <c r="I508" s="7"/>
      <c r="J508" s="276"/>
      <c r="K508" s="91"/>
      <c r="L508" s="7"/>
      <c r="O508" s="277"/>
      <c r="P508" s="277"/>
      <c r="W508" s="277"/>
      <c r="X508" s="277"/>
      <c r="AK508" s="280"/>
      <c r="AS508" s="280"/>
    </row>
    <row r="509" customHeight="1" spans="8:45">
      <c r="H509" s="91"/>
      <c r="I509" s="7"/>
      <c r="J509" s="276"/>
      <c r="K509" s="91"/>
      <c r="L509" s="7"/>
      <c r="O509" s="277"/>
      <c r="P509" s="277"/>
      <c r="W509" s="277"/>
      <c r="X509" s="277"/>
      <c r="AK509" s="280"/>
      <c r="AS509" s="280"/>
    </row>
    <row r="510" customHeight="1" spans="8:45">
      <c r="H510" s="91"/>
      <c r="I510" s="7"/>
      <c r="J510" s="276"/>
      <c r="K510" s="91"/>
      <c r="L510" s="7"/>
      <c r="O510" s="277"/>
      <c r="P510" s="277"/>
      <c r="W510" s="277"/>
      <c r="X510" s="277"/>
      <c r="AK510" s="280"/>
      <c r="AS510" s="280"/>
    </row>
    <row r="511" customHeight="1" spans="8:45">
      <c r="H511" s="91"/>
      <c r="I511" s="7"/>
      <c r="J511" s="276"/>
      <c r="K511" s="91"/>
      <c r="L511" s="7"/>
      <c r="O511" s="277"/>
      <c r="P511" s="277"/>
      <c r="W511" s="277"/>
      <c r="X511" s="277"/>
      <c r="AK511" s="280"/>
      <c r="AS511" s="280"/>
    </row>
    <row r="512" customHeight="1" spans="8:45">
      <c r="H512" s="91"/>
      <c r="I512" s="7"/>
      <c r="J512" s="276"/>
      <c r="K512" s="91"/>
      <c r="L512" s="7"/>
      <c r="O512" s="277"/>
      <c r="P512" s="277"/>
      <c r="W512" s="277"/>
      <c r="X512" s="277"/>
      <c r="AK512" s="280"/>
      <c r="AS512" s="280"/>
    </row>
    <row r="513" customHeight="1" spans="8:45">
      <c r="H513" s="91"/>
      <c r="I513" s="7"/>
      <c r="J513" s="276"/>
      <c r="K513" s="91"/>
      <c r="L513" s="7"/>
      <c r="O513" s="277"/>
      <c r="P513" s="277"/>
      <c r="W513" s="277"/>
      <c r="X513" s="277"/>
      <c r="AK513" s="280"/>
      <c r="AS513" s="280"/>
    </row>
    <row r="514" customHeight="1" spans="8:45">
      <c r="H514" s="91"/>
      <c r="I514" s="7"/>
      <c r="J514" s="276"/>
      <c r="K514" s="91"/>
      <c r="L514" s="7"/>
      <c r="O514" s="277"/>
      <c r="P514" s="277"/>
      <c r="W514" s="277"/>
      <c r="X514" s="277"/>
      <c r="AK514" s="280"/>
      <c r="AS514" s="280"/>
    </row>
    <row r="515" customHeight="1" spans="8:45">
      <c r="H515" s="91"/>
      <c r="I515" s="7"/>
      <c r="J515" s="276"/>
      <c r="K515" s="91"/>
      <c r="L515" s="7"/>
      <c r="O515" s="277"/>
      <c r="P515" s="277"/>
      <c r="W515" s="277"/>
      <c r="X515" s="277"/>
      <c r="AK515" s="280"/>
      <c r="AS515" s="280"/>
    </row>
    <row r="516" customHeight="1" spans="8:45">
      <c r="H516" s="91"/>
      <c r="I516" s="7"/>
      <c r="J516" s="276"/>
      <c r="K516" s="91"/>
      <c r="L516" s="7"/>
      <c r="O516" s="277"/>
      <c r="P516" s="277"/>
      <c r="W516" s="277"/>
      <c r="X516" s="277"/>
      <c r="AK516" s="280"/>
      <c r="AS516" s="280"/>
    </row>
    <row r="517" customHeight="1" spans="8:45">
      <c r="H517" s="91"/>
      <c r="I517" s="7"/>
      <c r="J517" s="276"/>
      <c r="K517" s="91"/>
      <c r="L517" s="7"/>
      <c r="O517" s="277"/>
      <c r="P517" s="277"/>
      <c r="W517" s="277"/>
      <c r="X517" s="277"/>
      <c r="AK517" s="280"/>
      <c r="AS517" s="280"/>
    </row>
    <row r="518" customHeight="1" spans="8:45">
      <c r="H518" s="91"/>
      <c r="I518" s="7"/>
      <c r="J518" s="276"/>
      <c r="K518" s="91"/>
      <c r="L518" s="7"/>
      <c r="O518" s="277"/>
      <c r="P518" s="277"/>
      <c r="W518" s="277"/>
      <c r="X518" s="277"/>
      <c r="AK518" s="280"/>
      <c r="AS518" s="280"/>
    </row>
    <row r="519" customHeight="1" spans="8:45">
      <c r="H519" s="91"/>
      <c r="I519" s="7"/>
      <c r="J519" s="276"/>
      <c r="K519" s="91"/>
      <c r="L519" s="7"/>
      <c r="O519" s="277"/>
      <c r="P519" s="277"/>
      <c r="W519" s="277"/>
      <c r="X519" s="277"/>
      <c r="AK519" s="280"/>
      <c r="AS519" s="280"/>
    </row>
    <row r="520" customHeight="1" spans="8:45">
      <c r="H520" s="91"/>
      <c r="I520" s="7"/>
      <c r="J520" s="276"/>
      <c r="K520" s="91"/>
      <c r="L520" s="7"/>
      <c r="O520" s="277"/>
      <c r="P520" s="277"/>
      <c r="W520" s="277"/>
      <c r="X520" s="277"/>
      <c r="AK520" s="280"/>
      <c r="AS520" s="280"/>
    </row>
    <row r="521" customHeight="1" spans="8:45">
      <c r="H521" s="91"/>
      <c r="I521" s="7"/>
      <c r="J521" s="276"/>
      <c r="K521" s="91"/>
      <c r="L521" s="7"/>
      <c r="O521" s="277"/>
      <c r="P521" s="277"/>
      <c r="W521" s="277"/>
      <c r="X521" s="277"/>
      <c r="AK521" s="280"/>
      <c r="AS521" s="280"/>
    </row>
    <row r="522" customHeight="1" spans="8:45">
      <c r="H522" s="91"/>
      <c r="I522" s="7"/>
      <c r="J522" s="276"/>
      <c r="K522" s="91"/>
      <c r="L522" s="7"/>
      <c r="O522" s="277"/>
      <c r="P522" s="277"/>
      <c r="W522" s="277"/>
      <c r="X522" s="277"/>
      <c r="AK522" s="280"/>
      <c r="AS522" s="280"/>
    </row>
    <row r="523" customHeight="1" spans="8:45">
      <c r="H523" s="91"/>
      <c r="I523" s="7"/>
      <c r="J523" s="276"/>
      <c r="K523" s="91"/>
      <c r="L523" s="7"/>
      <c r="O523" s="277"/>
      <c r="P523" s="277"/>
      <c r="W523" s="277"/>
      <c r="X523" s="277"/>
      <c r="AK523" s="280"/>
      <c r="AS523" s="280"/>
    </row>
    <row r="524" customHeight="1" spans="8:45">
      <c r="H524" s="91"/>
      <c r="I524" s="7"/>
      <c r="J524" s="276"/>
      <c r="K524" s="91"/>
      <c r="L524" s="7"/>
      <c r="O524" s="277"/>
      <c r="P524" s="277"/>
      <c r="W524" s="277"/>
      <c r="X524" s="277"/>
      <c r="AK524" s="280"/>
      <c r="AS524" s="280"/>
    </row>
    <row r="525" customHeight="1" spans="8:45">
      <c r="H525" s="91"/>
      <c r="I525" s="7"/>
      <c r="J525" s="276"/>
      <c r="K525" s="91"/>
      <c r="L525" s="7"/>
      <c r="O525" s="277"/>
      <c r="P525" s="277"/>
      <c r="W525" s="277"/>
      <c r="X525" s="277"/>
      <c r="AK525" s="280"/>
      <c r="AS525" s="280"/>
    </row>
    <row r="526" customHeight="1" spans="8:45">
      <c r="H526" s="91"/>
      <c r="I526" s="7"/>
      <c r="J526" s="276"/>
      <c r="K526" s="91"/>
      <c r="L526" s="7"/>
      <c r="O526" s="277"/>
      <c r="P526" s="277"/>
      <c r="W526" s="277"/>
      <c r="X526" s="277"/>
      <c r="AK526" s="280"/>
      <c r="AS526" s="280"/>
    </row>
    <row r="527" customHeight="1" spans="8:45">
      <c r="H527" s="91"/>
      <c r="I527" s="7"/>
      <c r="J527" s="276"/>
      <c r="K527" s="91"/>
      <c r="L527" s="7"/>
      <c r="O527" s="277"/>
      <c r="P527" s="277"/>
      <c r="W527" s="277"/>
      <c r="X527" s="277"/>
      <c r="AK527" s="280"/>
      <c r="AS527" s="280"/>
    </row>
    <row r="528" customHeight="1" spans="8:45">
      <c r="H528" s="91"/>
      <c r="I528" s="7"/>
      <c r="J528" s="276"/>
      <c r="K528" s="91"/>
      <c r="L528" s="7"/>
      <c r="O528" s="277"/>
      <c r="P528" s="277"/>
      <c r="W528" s="277"/>
      <c r="X528" s="277"/>
      <c r="AK528" s="280"/>
      <c r="AS528" s="280"/>
    </row>
    <row r="529" customHeight="1" spans="8:45">
      <c r="H529" s="91"/>
      <c r="I529" s="7"/>
      <c r="J529" s="276"/>
      <c r="K529" s="91"/>
      <c r="L529" s="7"/>
      <c r="O529" s="277"/>
      <c r="P529" s="277"/>
      <c r="W529" s="277"/>
      <c r="X529" s="277"/>
      <c r="AK529" s="280"/>
      <c r="AS529" s="280"/>
    </row>
    <row r="530" customHeight="1" spans="8:45">
      <c r="H530" s="91"/>
      <c r="I530" s="7"/>
      <c r="J530" s="276"/>
      <c r="K530" s="91"/>
      <c r="L530" s="7"/>
      <c r="O530" s="277"/>
      <c r="P530" s="277"/>
      <c r="W530" s="277"/>
      <c r="X530" s="277"/>
      <c r="AK530" s="280"/>
      <c r="AS530" s="280"/>
    </row>
    <row r="531" customHeight="1" spans="8:45">
      <c r="H531" s="91"/>
      <c r="I531" s="7"/>
      <c r="J531" s="276"/>
      <c r="K531" s="91"/>
      <c r="L531" s="7"/>
      <c r="O531" s="277"/>
      <c r="P531" s="277"/>
      <c r="W531" s="277"/>
      <c r="X531" s="277"/>
      <c r="AK531" s="280"/>
      <c r="AS531" s="280"/>
    </row>
    <row r="532" customHeight="1" spans="8:45">
      <c r="H532" s="91"/>
      <c r="I532" s="7"/>
      <c r="J532" s="276"/>
      <c r="K532" s="91"/>
      <c r="L532" s="7"/>
      <c r="O532" s="277"/>
      <c r="P532" s="277"/>
      <c r="W532" s="277"/>
      <c r="X532" s="277"/>
      <c r="AK532" s="280"/>
      <c r="AS532" s="280"/>
    </row>
    <row r="533" customHeight="1" spans="8:45">
      <c r="H533" s="91"/>
      <c r="I533" s="7"/>
      <c r="J533" s="276"/>
      <c r="K533" s="91"/>
      <c r="L533" s="7"/>
      <c r="O533" s="277"/>
      <c r="P533" s="277"/>
      <c r="W533" s="277"/>
      <c r="X533" s="277"/>
      <c r="AK533" s="280"/>
      <c r="AS533" s="280"/>
    </row>
    <row r="534" customHeight="1" spans="8:45">
      <c r="H534" s="91"/>
      <c r="I534" s="7"/>
      <c r="J534" s="276"/>
      <c r="K534" s="91"/>
      <c r="L534" s="7"/>
      <c r="O534" s="277"/>
      <c r="P534" s="277"/>
      <c r="W534" s="277"/>
      <c r="X534" s="277"/>
      <c r="AK534" s="280"/>
      <c r="AS534" s="280"/>
    </row>
    <row r="535" customHeight="1" spans="8:45">
      <c r="H535" s="91"/>
      <c r="I535" s="7"/>
      <c r="J535" s="276"/>
      <c r="K535" s="91"/>
      <c r="L535" s="7"/>
      <c r="O535" s="277"/>
      <c r="P535" s="277"/>
      <c r="W535" s="277"/>
      <c r="X535" s="277"/>
      <c r="AK535" s="280"/>
      <c r="AS535" s="280"/>
    </row>
    <row r="536" customHeight="1" spans="8:45">
      <c r="H536" s="91"/>
      <c r="I536" s="7"/>
      <c r="J536" s="276"/>
      <c r="K536" s="91"/>
      <c r="L536" s="7"/>
      <c r="O536" s="277"/>
      <c r="P536" s="277"/>
      <c r="W536" s="277"/>
      <c r="X536" s="277"/>
      <c r="AK536" s="280"/>
      <c r="AS536" s="280"/>
    </row>
    <row r="537" customHeight="1" spans="8:45">
      <c r="H537" s="91"/>
      <c r="I537" s="7"/>
      <c r="J537" s="276"/>
      <c r="K537" s="91"/>
      <c r="L537" s="7"/>
      <c r="O537" s="277"/>
      <c r="P537" s="277"/>
      <c r="W537" s="277"/>
      <c r="X537" s="277"/>
      <c r="AK537" s="280"/>
      <c r="AS537" s="280"/>
    </row>
    <row r="538" customHeight="1" spans="8:45">
      <c r="H538" s="91"/>
      <c r="I538" s="7"/>
      <c r="J538" s="276"/>
      <c r="K538" s="91"/>
      <c r="L538" s="7"/>
      <c r="O538" s="277"/>
      <c r="P538" s="277"/>
      <c r="W538" s="277"/>
      <c r="X538" s="277"/>
      <c r="AK538" s="280"/>
      <c r="AS538" s="280"/>
    </row>
    <row r="539" customHeight="1" spans="8:45">
      <c r="H539" s="91"/>
      <c r="I539" s="7"/>
      <c r="J539" s="276"/>
      <c r="K539" s="91"/>
      <c r="L539" s="7"/>
      <c r="O539" s="277"/>
      <c r="P539" s="277"/>
      <c r="W539" s="277"/>
      <c r="X539" s="277"/>
      <c r="AK539" s="280"/>
      <c r="AS539" s="280"/>
    </row>
    <row r="540" customHeight="1" spans="8:45">
      <c r="H540" s="91"/>
      <c r="I540" s="7"/>
      <c r="J540" s="276"/>
      <c r="K540" s="91"/>
      <c r="L540" s="7"/>
      <c r="O540" s="277"/>
      <c r="P540" s="277"/>
      <c r="W540" s="277"/>
      <c r="X540" s="277"/>
      <c r="AK540" s="280"/>
      <c r="AS540" s="280"/>
    </row>
    <row r="541" customHeight="1" spans="8:45">
      <c r="H541" s="91"/>
      <c r="I541" s="7"/>
      <c r="J541" s="276"/>
      <c r="K541" s="91"/>
      <c r="L541" s="7"/>
      <c r="O541" s="277"/>
      <c r="P541" s="277"/>
      <c r="W541" s="277"/>
      <c r="X541" s="277"/>
      <c r="AK541" s="280"/>
      <c r="AS541" s="280"/>
    </row>
    <row r="542" customHeight="1" spans="8:45">
      <c r="H542" s="91"/>
      <c r="I542" s="7"/>
      <c r="J542" s="276"/>
      <c r="K542" s="91"/>
      <c r="L542" s="7"/>
      <c r="O542" s="277"/>
      <c r="P542" s="277"/>
      <c r="W542" s="277"/>
      <c r="X542" s="277"/>
      <c r="AK542" s="280"/>
      <c r="AS542" s="280"/>
    </row>
    <row r="543" customHeight="1" spans="8:45">
      <c r="H543" s="91"/>
      <c r="I543" s="7"/>
      <c r="J543" s="276"/>
      <c r="K543" s="91"/>
      <c r="L543" s="7"/>
      <c r="O543" s="277"/>
      <c r="P543" s="277"/>
      <c r="W543" s="277"/>
      <c r="X543" s="277"/>
      <c r="AK543" s="280"/>
      <c r="AS543" s="280"/>
    </row>
    <row r="544" customHeight="1" spans="8:45">
      <c r="H544" s="91"/>
      <c r="I544" s="7"/>
      <c r="J544" s="276"/>
      <c r="K544" s="91"/>
      <c r="L544" s="7"/>
      <c r="O544" s="277"/>
      <c r="P544" s="277"/>
      <c r="W544" s="277"/>
      <c r="X544" s="277"/>
      <c r="AK544" s="280"/>
      <c r="AS544" s="280"/>
    </row>
    <row r="545" customHeight="1" spans="8:45">
      <c r="H545" s="91"/>
      <c r="I545" s="7"/>
      <c r="J545" s="276"/>
      <c r="K545" s="91"/>
      <c r="L545" s="7"/>
      <c r="O545" s="277"/>
      <c r="P545" s="277"/>
      <c r="W545" s="277"/>
      <c r="X545" s="277"/>
      <c r="AK545" s="280"/>
      <c r="AS545" s="280"/>
    </row>
    <row r="546" customHeight="1" spans="8:45">
      <c r="H546" s="91"/>
      <c r="I546" s="7"/>
      <c r="J546" s="276"/>
      <c r="K546" s="91"/>
      <c r="L546" s="7"/>
      <c r="O546" s="277"/>
      <c r="P546" s="277"/>
      <c r="W546" s="277"/>
      <c r="X546" s="277"/>
      <c r="AK546" s="280"/>
      <c r="AS546" s="280"/>
    </row>
    <row r="547" customHeight="1" spans="8:45">
      <c r="H547" s="91"/>
      <c r="I547" s="7"/>
      <c r="J547" s="276"/>
      <c r="K547" s="91"/>
      <c r="L547" s="7"/>
      <c r="O547" s="277"/>
      <c r="P547" s="277"/>
      <c r="W547" s="277"/>
      <c r="X547" s="277"/>
      <c r="AK547" s="280"/>
      <c r="AS547" s="280"/>
    </row>
    <row r="548" customHeight="1" spans="8:45">
      <c r="H548" s="91"/>
      <c r="I548" s="7"/>
      <c r="J548" s="276"/>
      <c r="K548" s="91"/>
      <c r="L548" s="7"/>
      <c r="O548" s="277"/>
      <c r="P548" s="277"/>
      <c r="W548" s="277"/>
      <c r="X548" s="277"/>
      <c r="AK548" s="280"/>
      <c r="AS548" s="280"/>
    </row>
    <row r="549" customHeight="1" spans="8:45">
      <c r="H549" s="91"/>
      <c r="I549" s="7"/>
      <c r="J549" s="276"/>
      <c r="K549" s="91"/>
      <c r="L549" s="7"/>
      <c r="O549" s="277"/>
      <c r="P549" s="277"/>
      <c r="W549" s="277"/>
      <c r="X549" s="277"/>
      <c r="AK549" s="280"/>
      <c r="AS549" s="280"/>
    </row>
    <row r="550" customHeight="1" spans="8:45">
      <c r="H550" s="91"/>
      <c r="I550" s="7"/>
      <c r="J550" s="276"/>
      <c r="K550" s="91"/>
      <c r="L550" s="7"/>
      <c r="O550" s="277"/>
      <c r="P550" s="277"/>
      <c r="W550" s="277"/>
      <c r="X550" s="277"/>
      <c r="AK550" s="280"/>
      <c r="AS550" s="280"/>
    </row>
    <row r="551" customHeight="1" spans="8:45">
      <c r="H551" s="91"/>
      <c r="I551" s="7"/>
      <c r="J551" s="276"/>
      <c r="K551" s="91"/>
      <c r="L551" s="7"/>
      <c r="O551" s="277"/>
      <c r="P551" s="277"/>
      <c r="W551" s="277"/>
      <c r="X551" s="277"/>
      <c r="AK551" s="280"/>
      <c r="AS551" s="280"/>
    </row>
    <row r="552" customHeight="1" spans="8:45">
      <c r="H552" s="91"/>
      <c r="I552" s="7"/>
      <c r="J552" s="276"/>
      <c r="K552" s="91"/>
      <c r="L552" s="7"/>
      <c r="O552" s="277"/>
      <c r="P552" s="277"/>
      <c r="W552" s="277"/>
      <c r="X552" s="277"/>
      <c r="AK552" s="280"/>
      <c r="AS552" s="280"/>
    </row>
    <row r="553" customHeight="1" spans="8:45">
      <c r="H553" s="91"/>
      <c r="I553" s="7"/>
      <c r="J553" s="276"/>
      <c r="K553" s="91"/>
      <c r="L553" s="7"/>
      <c r="O553" s="277"/>
      <c r="P553" s="277"/>
      <c r="W553" s="277"/>
      <c r="X553" s="277"/>
      <c r="AK553" s="280"/>
      <c r="AS553" s="280"/>
    </row>
    <row r="554" customHeight="1" spans="8:45">
      <c r="H554" s="91"/>
      <c r="I554" s="7"/>
      <c r="J554" s="276"/>
      <c r="K554" s="91"/>
      <c r="L554" s="7"/>
      <c r="O554" s="277"/>
      <c r="P554" s="277"/>
      <c r="W554" s="277"/>
      <c r="X554" s="277"/>
      <c r="AK554" s="280"/>
      <c r="AS554" s="280"/>
    </row>
    <row r="555" customHeight="1" spans="8:45">
      <c r="H555" s="91"/>
      <c r="I555" s="7"/>
      <c r="J555" s="276"/>
      <c r="K555" s="91"/>
      <c r="L555" s="7"/>
      <c r="O555" s="277"/>
      <c r="P555" s="277"/>
      <c r="W555" s="277"/>
      <c r="X555" s="277"/>
      <c r="AK555" s="280"/>
      <c r="AS555" s="280"/>
    </row>
    <row r="556" customHeight="1" spans="8:45">
      <c r="H556" s="91"/>
      <c r="I556" s="7"/>
      <c r="J556" s="276"/>
      <c r="K556" s="91"/>
      <c r="L556" s="7"/>
      <c r="O556" s="277"/>
      <c r="P556" s="277"/>
      <c r="W556" s="277"/>
      <c r="X556" s="277"/>
      <c r="AK556" s="280"/>
      <c r="AS556" s="280"/>
    </row>
    <row r="557" customHeight="1" spans="8:45">
      <c r="H557" s="91"/>
      <c r="I557" s="7"/>
      <c r="J557" s="276"/>
      <c r="K557" s="91"/>
      <c r="L557" s="7"/>
      <c r="O557" s="277"/>
      <c r="P557" s="277"/>
      <c r="W557" s="277"/>
      <c r="X557" s="277"/>
      <c r="AK557" s="280"/>
      <c r="AS557" s="280"/>
    </row>
    <row r="558" customHeight="1" spans="8:45">
      <c r="H558" s="91"/>
      <c r="I558" s="7"/>
      <c r="J558" s="276"/>
      <c r="K558" s="91"/>
      <c r="L558" s="7"/>
      <c r="O558" s="277"/>
      <c r="P558" s="277"/>
      <c r="W558" s="277"/>
      <c r="X558" s="277"/>
      <c r="AK558" s="280"/>
      <c r="AS558" s="280"/>
    </row>
    <row r="559" customHeight="1" spans="8:45">
      <c r="H559" s="91"/>
      <c r="I559" s="7"/>
      <c r="J559" s="276"/>
      <c r="K559" s="91"/>
      <c r="L559" s="7"/>
      <c r="O559" s="277"/>
      <c r="P559" s="277"/>
      <c r="W559" s="277"/>
      <c r="X559" s="277"/>
      <c r="AK559" s="280"/>
      <c r="AS559" s="280"/>
    </row>
    <row r="560" customHeight="1" spans="8:45">
      <c r="H560" s="91"/>
      <c r="I560" s="7"/>
      <c r="J560" s="276"/>
      <c r="K560" s="91"/>
      <c r="L560" s="7"/>
      <c r="O560" s="277"/>
      <c r="P560" s="277"/>
      <c r="W560" s="277"/>
      <c r="X560" s="277"/>
      <c r="AK560" s="280"/>
      <c r="AS560" s="280"/>
    </row>
    <row r="561" customHeight="1" spans="8:45">
      <c r="H561" s="91"/>
      <c r="I561" s="7"/>
      <c r="J561" s="276"/>
      <c r="K561" s="91"/>
      <c r="L561" s="7"/>
      <c r="O561" s="277"/>
      <c r="P561" s="277"/>
      <c r="W561" s="277"/>
      <c r="X561" s="277"/>
      <c r="AK561" s="280"/>
      <c r="AS561" s="280"/>
    </row>
    <row r="562" customHeight="1" spans="8:45">
      <c r="H562" s="91"/>
      <c r="I562" s="7"/>
      <c r="J562" s="276"/>
      <c r="K562" s="91"/>
      <c r="L562" s="7"/>
      <c r="O562" s="277"/>
      <c r="P562" s="277"/>
      <c r="W562" s="277"/>
      <c r="X562" s="277"/>
      <c r="AK562" s="280"/>
      <c r="AS562" s="280"/>
    </row>
    <row r="563" customHeight="1" spans="8:45">
      <c r="H563" s="91"/>
      <c r="I563" s="7"/>
      <c r="J563" s="276"/>
      <c r="K563" s="91"/>
      <c r="L563" s="7"/>
      <c r="O563" s="277"/>
      <c r="P563" s="277"/>
      <c r="W563" s="277"/>
      <c r="X563" s="277"/>
      <c r="AK563" s="280"/>
      <c r="AS563" s="280"/>
    </row>
    <row r="564" customHeight="1" spans="8:45">
      <c r="H564" s="91"/>
      <c r="I564" s="7"/>
      <c r="J564" s="276"/>
      <c r="K564" s="91"/>
      <c r="L564" s="7"/>
      <c r="O564" s="277"/>
      <c r="P564" s="277"/>
      <c r="W564" s="277"/>
      <c r="X564" s="277"/>
      <c r="AK564" s="280"/>
      <c r="AS564" s="280"/>
    </row>
    <row r="565" customHeight="1" spans="8:45">
      <c r="H565" s="91"/>
      <c r="I565" s="7"/>
      <c r="J565" s="276"/>
      <c r="K565" s="91"/>
      <c r="L565" s="7"/>
      <c r="O565" s="277"/>
      <c r="P565" s="277"/>
      <c r="W565" s="277"/>
      <c r="X565" s="277"/>
      <c r="AK565" s="280"/>
      <c r="AS565" s="280"/>
    </row>
    <row r="566" customHeight="1" spans="8:45">
      <c r="H566" s="91"/>
      <c r="I566" s="7"/>
      <c r="J566" s="276"/>
      <c r="K566" s="91"/>
      <c r="L566" s="7"/>
      <c r="O566" s="277"/>
      <c r="P566" s="277"/>
      <c r="W566" s="277"/>
      <c r="X566" s="277"/>
      <c r="AK566" s="280"/>
      <c r="AS566" s="280"/>
    </row>
    <row r="567" customHeight="1" spans="8:45">
      <c r="H567" s="91"/>
      <c r="I567" s="7"/>
      <c r="J567" s="276"/>
      <c r="K567" s="91"/>
      <c r="L567" s="7"/>
      <c r="O567" s="277"/>
      <c r="P567" s="277"/>
      <c r="W567" s="277"/>
      <c r="X567" s="277"/>
      <c r="AK567" s="280"/>
      <c r="AS567" s="280"/>
    </row>
    <row r="568" customHeight="1" spans="8:45">
      <c r="H568" s="91"/>
      <c r="I568" s="7"/>
      <c r="J568" s="276"/>
      <c r="K568" s="91"/>
      <c r="L568" s="7"/>
      <c r="O568" s="277"/>
      <c r="P568" s="277"/>
      <c r="W568" s="277"/>
      <c r="X568" s="277"/>
      <c r="AK568" s="280"/>
      <c r="AS568" s="280"/>
    </row>
    <row r="569" customHeight="1" spans="8:45">
      <c r="H569" s="91"/>
      <c r="I569" s="7"/>
      <c r="J569" s="276"/>
      <c r="K569" s="91"/>
      <c r="L569" s="7"/>
      <c r="O569" s="277"/>
      <c r="P569" s="277"/>
      <c r="W569" s="277"/>
      <c r="X569" s="277"/>
      <c r="AK569" s="280"/>
      <c r="AS569" s="280"/>
    </row>
    <row r="570" customHeight="1" spans="8:45">
      <c r="H570" s="91"/>
      <c r="I570" s="7"/>
      <c r="J570" s="276"/>
      <c r="K570" s="91"/>
      <c r="L570" s="7"/>
      <c r="O570" s="277"/>
      <c r="P570" s="277"/>
      <c r="W570" s="277"/>
      <c r="X570" s="277"/>
      <c r="AK570" s="280"/>
      <c r="AS570" s="280"/>
    </row>
    <row r="571" customHeight="1" spans="8:45">
      <c r="H571" s="91"/>
      <c r="I571" s="7"/>
      <c r="J571" s="276"/>
      <c r="K571" s="91"/>
      <c r="L571" s="7"/>
      <c r="O571" s="277"/>
      <c r="P571" s="277"/>
      <c r="W571" s="277"/>
      <c r="X571" s="277"/>
      <c r="AK571" s="280"/>
      <c r="AS571" s="280"/>
    </row>
    <row r="572" customHeight="1" spans="8:45">
      <c r="H572" s="91"/>
      <c r="I572" s="7"/>
      <c r="J572" s="276"/>
      <c r="K572" s="91"/>
      <c r="L572" s="7"/>
      <c r="O572" s="277"/>
      <c r="P572" s="277"/>
      <c r="W572" s="277"/>
      <c r="X572" s="277"/>
      <c r="AK572" s="280"/>
      <c r="AS572" s="280"/>
    </row>
    <row r="573" customHeight="1" spans="8:45">
      <c r="H573" s="91"/>
      <c r="I573" s="7"/>
      <c r="J573" s="276"/>
      <c r="K573" s="91"/>
      <c r="L573" s="7"/>
      <c r="O573" s="277"/>
      <c r="P573" s="277"/>
      <c r="W573" s="277"/>
      <c r="X573" s="277"/>
      <c r="AK573" s="280"/>
      <c r="AS573" s="280"/>
    </row>
    <row r="574" customHeight="1" spans="8:45">
      <c r="H574" s="91"/>
      <c r="I574" s="7"/>
      <c r="J574" s="276"/>
      <c r="K574" s="91"/>
      <c r="L574" s="7"/>
      <c r="O574" s="277"/>
      <c r="P574" s="277"/>
      <c r="W574" s="277"/>
      <c r="X574" s="277"/>
      <c r="AK574" s="280"/>
      <c r="AS574" s="280"/>
    </row>
    <row r="575" customHeight="1" spans="8:45">
      <c r="H575" s="91"/>
      <c r="I575" s="7"/>
      <c r="J575" s="276"/>
      <c r="K575" s="91"/>
      <c r="L575" s="7"/>
      <c r="O575" s="277"/>
      <c r="P575" s="277"/>
      <c r="W575" s="277"/>
      <c r="X575" s="277"/>
      <c r="AK575" s="280"/>
      <c r="AS575" s="280"/>
    </row>
    <row r="576" customHeight="1" spans="8:45">
      <c r="H576" s="91"/>
      <c r="I576" s="7"/>
      <c r="J576" s="276"/>
      <c r="K576" s="91"/>
      <c r="L576" s="7"/>
      <c r="O576" s="277"/>
      <c r="P576" s="277"/>
      <c r="W576" s="277"/>
      <c r="X576" s="277"/>
      <c r="AK576" s="280"/>
      <c r="AS576" s="280"/>
    </row>
    <row r="577" customHeight="1" spans="8:45">
      <c r="H577" s="91"/>
      <c r="I577" s="7"/>
      <c r="J577" s="276"/>
      <c r="K577" s="91"/>
      <c r="L577" s="7"/>
      <c r="O577" s="277"/>
      <c r="P577" s="277"/>
      <c r="W577" s="277"/>
      <c r="X577" s="277"/>
      <c r="AK577" s="280"/>
      <c r="AS577" s="280"/>
    </row>
    <row r="578" customHeight="1" spans="8:45">
      <c r="H578" s="91"/>
      <c r="I578" s="7"/>
      <c r="J578" s="276"/>
      <c r="K578" s="91"/>
      <c r="L578" s="7"/>
      <c r="O578" s="277"/>
      <c r="P578" s="277"/>
      <c r="W578" s="277"/>
      <c r="X578" s="277"/>
      <c r="AK578" s="280"/>
      <c r="AS578" s="280"/>
    </row>
    <row r="579" customHeight="1" spans="8:45">
      <c r="H579" s="91"/>
      <c r="I579" s="7"/>
      <c r="J579" s="276"/>
      <c r="K579" s="91"/>
      <c r="L579" s="7"/>
      <c r="O579" s="277"/>
      <c r="P579" s="277"/>
      <c r="W579" s="277"/>
      <c r="X579" s="277"/>
      <c r="AK579" s="280"/>
      <c r="AS579" s="280"/>
    </row>
    <row r="580" customHeight="1" spans="8:45">
      <c r="H580" s="91"/>
      <c r="I580" s="7"/>
      <c r="J580" s="276"/>
      <c r="K580" s="91"/>
      <c r="L580" s="7"/>
      <c r="O580" s="277"/>
      <c r="P580" s="277"/>
      <c r="W580" s="277"/>
      <c r="X580" s="277"/>
      <c r="AK580" s="280"/>
      <c r="AS580" s="280"/>
    </row>
    <row r="581" customHeight="1" spans="8:45">
      <c r="H581" s="91"/>
      <c r="I581" s="7"/>
      <c r="J581" s="276"/>
      <c r="K581" s="91"/>
      <c r="L581" s="7"/>
      <c r="O581" s="277"/>
      <c r="P581" s="277"/>
      <c r="W581" s="277"/>
      <c r="X581" s="277"/>
      <c r="AK581" s="280"/>
      <c r="AS581" s="280"/>
    </row>
    <row r="582" customHeight="1" spans="8:45">
      <c r="H582" s="91"/>
      <c r="I582" s="7"/>
      <c r="J582" s="276"/>
      <c r="K582" s="91"/>
      <c r="L582" s="7"/>
      <c r="O582" s="277"/>
      <c r="P582" s="277"/>
      <c r="W582" s="277"/>
      <c r="X582" s="277"/>
      <c r="AK582" s="280"/>
      <c r="AS582" s="280"/>
    </row>
    <row r="583" customHeight="1" spans="8:45">
      <c r="H583" s="91"/>
      <c r="I583" s="7"/>
      <c r="J583" s="276"/>
      <c r="K583" s="91"/>
      <c r="L583" s="7"/>
      <c r="O583" s="277"/>
      <c r="P583" s="277"/>
      <c r="W583" s="277"/>
      <c r="X583" s="277"/>
      <c r="AK583" s="280"/>
      <c r="AS583" s="280"/>
    </row>
    <row r="584" customHeight="1" spans="8:45">
      <c r="H584" s="91"/>
      <c r="I584" s="7"/>
      <c r="J584" s="276"/>
      <c r="K584" s="91"/>
      <c r="L584" s="7"/>
      <c r="O584" s="277"/>
      <c r="P584" s="277"/>
      <c r="W584" s="277"/>
      <c r="X584" s="277"/>
      <c r="AK584" s="280"/>
      <c r="AS584" s="280"/>
    </row>
    <row r="585" customHeight="1" spans="8:45">
      <c r="H585" s="91"/>
      <c r="I585" s="7"/>
      <c r="J585" s="276"/>
      <c r="K585" s="91"/>
      <c r="L585" s="7"/>
      <c r="O585" s="277"/>
      <c r="P585" s="277"/>
      <c r="W585" s="277"/>
      <c r="X585" s="277"/>
      <c r="AK585" s="280"/>
      <c r="AS585" s="280"/>
    </row>
    <row r="586" customHeight="1" spans="8:45">
      <c r="H586" s="91"/>
      <c r="I586" s="7"/>
      <c r="J586" s="276"/>
      <c r="K586" s="91"/>
      <c r="L586" s="7"/>
      <c r="O586" s="277"/>
      <c r="P586" s="277"/>
      <c r="W586" s="277"/>
      <c r="X586" s="277"/>
      <c r="AK586" s="280"/>
      <c r="AS586" s="280"/>
    </row>
    <row r="587" customHeight="1" spans="8:45">
      <c r="H587" s="91"/>
      <c r="I587" s="7"/>
      <c r="J587" s="276"/>
      <c r="K587" s="91"/>
      <c r="L587" s="7"/>
      <c r="O587" s="277"/>
      <c r="P587" s="277"/>
      <c r="W587" s="277"/>
      <c r="X587" s="277"/>
      <c r="AK587" s="280"/>
      <c r="AS587" s="280"/>
    </row>
    <row r="588" customHeight="1" spans="8:45">
      <c r="H588" s="91"/>
      <c r="I588" s="7"/>
      <c r="J588" s="276"/>
      <c r="K588" s="91"/>
      <c r="L588" s="7"/>
      <c r="O588" s="277"/>
      <c r="P588" s="277"/>
      <c r="W588" s="277"/>
      <c r="X588" s="277"/>
      <c r="AK588" s="280"/>
      <c r="AS588" s="280"/>
    </row>
    <row r="589" customHeight="1" spans="8:45">
      <c r="H589" s="91"/>
      <c r="I589" s="7"/>
      <c r="J589" s="276"/>
      <c r="K589" s="91"/>
      <c r="L589" s="7"/>
      <c r="O589" s="277"/>
      <c r="P589" s="277"/>
      <c r="W589" s="277"/>
      <c r="X589" s="277"/>
      <c r="AK589" s="280"/>
      <c r="AS589" s="280"/>
    </row>
    <row r="590" customHeight="1" spans="8:45">
      <c r="H590" s="91"/>
      <c r="I590" s="7"/>
      <c r="J590" s="276"/>
      <c r="K590" s="91"/>
      <c r="L590" s="7"/>
      <c r="O590" s="277"/>
      <c r="P590" s="277"/>
      <c r="W590" s="277"/>
      <c r="X590" s="277"/>
      <c r="AK590" s="280"/>
      <c r="AS590" s="280"/>
    </row>
    <row r="591" customHeight="1" spans="8:45">
      <c r="H591" s="91"/>
      <c r="I591" s="7"/>
      <c r="J591" s="276"/>
      <c r="K591" s="91"/>
      <c r="L591" s="7"/>
      <c r="O591" s="277"/>
      <c r="P591" s="277"/>
      <c r="W591" s="277"/>
      <c r="X591" s="277"/>
      <c r="AK591" s="280"/>
      <c r="AS591" s="280"/>
    </row>
    <row r="592" customHeight="1" spans="8:45">
      <c r="H592" s="91"/>
      <c r="I592" s="7"/>
      <c r="J592" s="276"/>
      <c r="K592" s="91"/>
      <c r="L592" s="7"/>
      <c r="O592" s="277"/>
      <c r="P592" s="277"/>
      <c r="W592" s="277"/>
      <c r="X592" s="277"/>
      <c r="AK592" s="280"/>
      <c r="AS592" s="280"/>
    </row>
    <row r="593" customHeight="1" spans="8:45">
      <c r="H593" s="91"/>
      <c r="I593" s="7"/>
      <c r="J593" s="276"/>
      <c r="K593" s="91"/>
      <c r="L593" s="7"/>
      <c r="O593" s="277"/>
      <c r="P593" s="277"/>
      <c r="W593" s="277"/>
      <c r="X593" s="277"/>
      <c r="AK593" s="280"/>
      <c r="AS593" s="280"/>
    </row>
    <row r="594" customHeight="1" spans="8:45">
      <c r="H594" s="91"/>
      <c r="I594" s="7"/>
      <c r="J594" s="276"/>
      <c r="K594" s="91"/>
      <c r="L594" s="7"/>
      <c r="O594" s="277"/>
      <c r="P594" s="277"/>
      <c r="W594" s="277"/>
      <c r="X594" s="277"/>
      <c r="AK594" s="280"/>
      <c r="AS594" s="280"/>
    </row>
    <row r="595" customHeight="1" spans="8:45">
      <c r="H595" s="91"/>
      <c r="I595" s="7"/>
      <c r="J595" s="276"/>
      <c r="K595" s="91"/>
      <c r="L595" s="7"/>
      <c r="O595" s="277"/>
      <c r="P595" s="277"/>
      <c r="W595" s="277"/>
      <c r="X595" s="277"/>
      <c r="AK595" s="280"/>
      <c r="AS595" s="280"/>
    </row>
    <row r="596" customHeight="1" spans="8:45">
      <c r="H596" s="91"/>
      <c r="I596" s="7"/>
      <c r="J596" s="276"/>
      <c r="K596" s="91"/>
      <c r="L596" s="7"/>
      <c r="O596" s="277"/>
      <c r="P596" s="277"/>
      <c r="W596" s="277"/>
      <c r="X596" s="277"/>
      <c r="AK596" s="280"/>
      <c r="AS596" s="280"/>
    </row>
    <row r="597" customHeight="1" spans="8:45">
      <c r="H597" s="91"/>
      <c r="I597" s="7"/>
      <c r="J597" s="276"/>
      <c r="K597" s="91"/>
      <c r="L597" s="7"/>
      <c r="O597" s="277"/>
      <c r="P597" s="277"/>
      <c r="W597" s="277"/>
      <c r="X597" s="277"/>
      <c r="AK597" s="280"/>
      <c r="AS597" s="280"/>
    </row>
    <row r="598" customHeight="1" spans="8:45">
      <c r="H598" s="91"/>
      <c r="I598" s="7"/>
      <c r="J598" s="276"/>
      <c r="K598" s="91"/>
      <c r="L598" s="7"/>
      <c r="O598" s="277"/>
      <c r="P598" s="277"/>
      <c r="W598" s="277"/>
      <c r="X598" s="277"/>
      <c r="AK598" s="280"/>
      <c r="AS598" s="280"/>
    </row>
    <row r="599" customHeight="1" spans="8:45">
      <c r="H599" s="91"/>
      <c r="I599" s="7"/>
      <c r="J599" s="276"/>
      <c r="K599" s="91"/>
      <c r="L599" s="7"/>
      <c r="O599" s="277"/>
      <c r="P599" s="277"/>
      <c r="W599" s="277"/>
      <c r="X599" s="277"/>
      <c r="AK599" s="280"/>
      <c r="AS599" s="280"/>
    </row>
    <row r="600" customHeight="1" spans="8:45">
      <c r="H600" s="91"/>
      <c r="I600" s="7"/>
      <c r="J600" s="276"/>
      <c r="K600" s="91"/>
      <c r="L600" s="7"/>
      <c r="O600" s="277"/>
      <c r="P600" s="277"/>
      <c r="W600" s="277"/>
      <c r="X600" s="277"/>
      <c r="AK600" s="280"/>
      <c r="AS600" s="280"/>
    </row>
    <row r="601" customHeight="1" spans="8:45">
      <c r="H601" s="91"/>
      <c r="I601" s="7"/>
      <c r="J601" s="276"/>
      <c r="K601" s="91"/>
      <c r="L601" s="7"/>
      <c r="O601" s="277"/>
      <c r="P601" s="277"/>
      <c r="W601" s="277"/>
      <c r="X601" s="277"/>
      <c r="AK601" s="280"/>
      <c r="AS601" s="280"/>
    </row>
    <row r="602" customHeight="1" spans="8:45">
      <c r="H602" s="91"/>
      <c r="I602" s="7"/>
      <c r="J602" s="276"/>
      <c r="K602" s="91"/>
      <c r="L602" s="7"/>
      <c r="O602" s="277"/>
      <c r="P602" s="277"/>
      <c r="W602" s="277"/>
      <c r="X602" s="277"/>
      <c r="AK602" s="280"/>
      <c r="AS602" s="280"/>
    </row>
    <row r="603" customHeight="1" spans="8:45">
      <c r="H603" s="91"/>
      <c r="I603" s="7"/>
      <c r="J603" s="276"/>
      <c r="K603" s="91"/>
      <c r="L603" s="7"/>
      <c r="O603" s="277"/>
      <c r="P603" s="277"/>
      <c r="W603" s="277"/>
      <c r="X603" s="277"/>
      <c r="AK603" s="280"/>
      <c r="AS603" s="280"/>
    </row>
    <row r="604" customHeight="1" spans="8:45">
      <c r="H604" s="91"/>
      <c r="I604" s="7"/>
      <c r="J604" s="276"/>
      <c r="K604" s="91"/>
      <c r="L604" s="7"/>
      <c r="O604" s="277"/>
      <c r="P604" s="277"/>
      <c r="W604" s="277"/>
      <c r="X604" s="277"/>
      <c r="AK604" s="280"/>
      <c r="AS604" s="280"/>
    </row>
    <row r="605" customHeight="1" spans="8:45">
      <c r="H605" s="91"/>
      <c r="I605" s="7"/>
      <c r="J605" s="276"/>
      <c r="K605" s="91"/>
      <c r="L605" s="7"/>
      <c r="O605" s="277"/>
      <c r="P605" s="277"/>
      <c r="W605" s="277"/>
      <c r="X605" s="277"/>
      <c r="AK605" s="280"/>
      <c r="AS605" s="280"/>
    </row>
    <row r="606" customHeight="1" spans="8:45">
      <c r="H606" s="91"/>
      <c r="I606" s="7"/>
      <c r="J606" s="276"/>
      <c r="K606" s="91"/>
      <c r="L606" s="7"/>
      <c r="O606" s="277"/>
      <c r="P606" s="277"/>
      <c r="W606" s="277"/>
      <c r="X606" s="277"/>
      <c r="AK606" s="280"/>
      <c r="AS606" s="280"/>
    </row>
    <row r="607" customHeight="1" spans="8:45">
      <c r="H607" s="91"/>
      <c r="I607" s="7"/>
      <c r="J607" s="276"/>
      <c r="K607" s="91"/>
      <c r="L607" s="7"/>
      <c r="O607" s="277"/>
      <c r="P607" s="277"/>
      <c r="W607" s="277"/>
      <c r="X607" s="277"/>
      <c r="AK607" s="280"/>
      <c r="AS607" s="280"/>
    </row>
    <row r="608" customHeight="1" spans="8:45">
      <c r="H608" s="91"/>
      <c r="I608" s="7"/>
      <c r="J608" s="276"/>
      <c r="K608" s="91"/>
      <c r="L608" s="7"/>
      <c r="O608" s="277"/>
      <c r="P608" s="277"/>
      <c r="W608" s="277"/>
      <c r="X608" s="277"/>
      <c r="AK608" s="280"/>
      <c r="AS608" s="280"/>
    </row>
    <row r="609" customHeight="1" spans="8:45">
      <c r="H609" s="91"/>
      <c r="I609" s="7"/>
      <c r="J609" s="276"/>
      <c r="K609" s="91"/>
      <c r="L609" s="7"/>
      <c r="O609" s="277"/>
      <c r="P609" s="277"/>
      <c r="W609" s="277"/>
      <c r="X609" s="277"/>
      <c r="AK609" s="280"/>
      <c r="AS609" s="280"/>
    </row>
    <row r="610" customHeight="1" spans="8:45">
      <c r="H610" s="91"/>
      <c r="I610" s="7"/>
      <c r="J610" s="276"/>
      <c r="K610" s="91"/>
      <c r="L610" s="7"/>
      <c r="O610" s="277"/>
      <c r="P610" s="277"/>
      <c r="W610" s="277"/>
      <c r="X610" s="277"/>
      <c r="AK610" s="280"/>
      <c r="AS610" s="280"/>
    </row>
    <row r="611" customHeight="1" spans="8:45">
      <c r="H611" s="91"/>
      <c r="I611" s="7"/>
      <c r="J611" s="276"/>
      <c r="K611" s="91"/>
      <c r="L611" s="7"/>
      <c r="O611" s="277"/>
      <c r="P611" s="277"/>
      <c r="W611" s="277"/>
      <c r="X611" s="277"/>
      <c r="AK611" s="280"/>
      <c r="AS611" s="280"/>
    </row>
    <row r="612" customHeight="1" spans="8:45">
      <c r="H612" s="91"/>
      <c r="I612" s="7"/>
      <c r="J612" s="276"/>
      <c r="K612" s="91"/>
      <c r="L612" s="7"/>
      <c r="O612" s="277"/>
      <c r="P612" s="277"/>
      <c r="W612" s="277"/>
      <c r="X612" s="277"/>
      <c r="AK612" s="280"/>
      <c r="AS612" s="280"/>
    </row>
    <row r="613" customHeight="1" spans="8:45">
      <c r="H613" s="91"/>
      <c r="I613" s="7"/>
      <c r="J613" s="276"/>
      <c r="K613" s="91"/>
      <c r="L613" s="7"/>
      <c r="O613" s="277"/>
      <c r="P613" s="277"/>
      <c r="W613" s="277"/>
      <c r="X613" s="277"/>
      <c r="AK613" s="280"/>
      <c r="AS613" s="280"/>
    </row>
    <row r="614" customHeight="1" spans="8:45">
      <c r="H614" s="91"/>
      <c r="I614" s="7"/>
      <c r="J614" s="276"/>
      <c r="K614" s="91"/>
      <c r="L614" s="7"/>
      <c r="O614" s="277"/>
      <c r="P614" s="277"/>
      <c r="W614" s="277"/>
      <c r="X614" s="277"/>
      <c r="AK614" s="280"/>
      <c r="AS614" s="280"/>
    </row>
    <row r="615" customHeight="1" spans="8:45">
      <c r="H615" s="91"/>
      <c r="I615" s="7"/>
      <c r="J615" s="276"/>
      <c r="K615" s="91"/>
      <c r="L615" s="7"/>
      <c r="O615" s="277"/>
      <c r="P615" s="277"/>
      <c r="W615" s="277"/>
      <c r="X615" s="277"/>
      <c r="AK615" s="280"/>
      <c r="AS615" s="280"/>
    </row>
    <row r="616" customHeight="1" spans="8:45">
      <c r="H616" s="91"/>
      <c r="I616" s="7"/>
      <c r="J616" s="276"/>
      <c r="K616" s="91"/>
      <c r="L616" s="7"/>
      <c r="O616" s="277"/>
      <c r="P616" s="277"/>
      <c r="W616" s="277"/>
      <c r="X616" s="277"/>
      <c r="AK616" s="280"/>
      <c r="AS616" s="280"/>
    </row>
    <row r="617" customHeight="1" spans="8:45">
      <c r="H617" s="91"/>
      <c r="I617" s="7"/>
      <c r="J617" s="276"/>
      <c r="K617" s="91"/>
      <c r="L617" s="7"/>
      <c r="O617" s="277"/>
      <c r="P617" s="277"/>
      <c r="W617" s="277"/>
      <c r="X617" s="277"/>
      <c r="AK617" s="280"/>
      <c r="AS617" s="280"/>
    </row>
    <row r="618" customHeight="1" spans="8:45">
      <c r="H618" s="91"/>
      <c r="I618" s="7"/>
      <c r="J618" s="276"/>
      <c r="K618" s="91"/>
      <c r="L618" s="7"/>
      <c r="O618" s="277"/>
      <c r="P618" s="277"/>
      <c r="W618" s="277"/>
      <c r="X618" s="277"/>
      <c r="AK618" s="280"/>
      <c r="AS618" s="280"/>
    </row>
    <row r="619" customHeight="1" spans="8:45">
      <c r="H619" s="91"/>
      <c r="I619" s="7"/>
      <c r="J619" s="276"/>
      <c r="K619" s="91"/>
      <c r="L619" s="7"/>
      <c r="O619" s="277"/>
      <c r="P619" s="277"/>
      <c r="W619" s="277"/>
      <c r="X619" s="277"/>
      <c r="AK619" s="280"/>
      <c r="AS619" s="280"/>
    </row>
    <row r="620" customHeight="1" spans="8:45">
      <c r="H620" s="91"/>
      <c r="I620" s="7"/>
      <c r="J620" s="276"/>
      <c r="K620" s="91"/>
      <c r="L620" s="7"/>
      <c r="O620" s="277"/>
      <c r="P620" s="277"/>
      <c r="W620" s="277"/>
      <c r="X620" s="277"/>
      <c r="AK620" s="280"/>
      <c r="AS620" s="280"/>
    </row>
    <row r="621" customHeight="1" spans="8:45">
      <c r="H621" s="91"/>
      <c r="I621" s="7"/>
      <c r="J621" s="276"/>
      <c r="K621" s="91"/>
      <c r="L621" s="7"/>
      <c r="O621" s="277"/>
      <c r="P621" s="277"/>
      <c r="W621" s="277"/>
      <c r="X621" s="277"/>
      <c r="AK621" s="280"/>
      <c r="AS621" s="280"/>
    </row>
    <row r="622" customHeight="1" spans="8:45">
      <c r="H622" s="91"/>
      <c r="I622" s="7"/>
      <c r="J622" s="276"/>
      <c r="K622" s="91"/>
      <c r="L622" s="7"/>
      <c r="O622" s="277"/>
      <c r="P622" s="277"/>
      <c r="W622" s="277"/>
      <c r="X622" s="277"/>
      <c r="AK622" s="280"/>
      <c r="AS622" s="280"/>
    </row>
    <row r="623" customHeight="1" spans="8:45">
      <c r="H623" s="91"/>
      <c r="I623" s="7"/>
      <c r="J623" s="276"/>
      <c r="K623" s="91"/>
      <c r="L623" s="7"/>
      <c r="O623" s="277"/>
      <c r="P623" s="277"/>
      <c r="W623" s="277"/>
      <c r="X623" s="277"/>
      <c r="AK623" s="280"/>
      <c r="AS623" s="280"/>
    </row>
    <row r="624" customHeight="1" spans="8:45">
      <c r="H624" s="91"/>
      <c r="I624" s="7"/>
      <c r="J624" s="276"/>
      <c r="K624" s="91"/>
      <c r="L624" s="7"/>
      <c r="O624" s="277"/>
      <c r="P624" s="277"/>
      <c r="W624" s="277"/>
      <c r="X624" s="277"/>
      <c r="AK624" s="280"/>
      <c r="AS624" s="280"/>
    </row>
    <row r="625" customHeight="1" spans="8:45">
      <c r="H625" s="91"/>
      <c r="I625" s="7"/>
      <c r="J625" s="276"/>
      <c r="K625" s="91"/>
      <c r="L625" s="7"/>
      <c r="O625" s="277"/>
      <c r="P625" s="277"/>
      <c r="W625" s="277"/>
      <c r="X625" s="277"/>
      <c r="AK625" s="280"/>
      <c r="AS625" s="280"/>
    </row>
    <row r="626" customHeight="1" spans="8:45">
      <c r="H626" s="91"/>
      <c r="I626" s="7"/>
      <c r="J626" s="276"/>
      <c r="K626" s="91"/>
      <c r="L626" s="7"/>
      <c r="O626" s="277"/>
      <c r="P626" s="277"/>
      <c r="W626" s="277"/>
      <c r="X626" s="277"/>
      <c r="AK626" s="280"/>
      <c r="AS626" s="280"/>
    </row>
    <row r="627" customHeight="1" spans="8:45">
      <c r="H627" s="91"/>
      <c r="I627" s="7"/>
      <c r="J627" s="276"/>
      <c r="K627" s="91"/>
      <c r="L627" s="7"/>
      <c r="O627" s="277"/>
      <c r="P627" s="277"/>
      <c r="W627" s="277"/>
      <c r="X627" s="277"/>
      <c r="AK627" s="280"/>
      <c r="AS627" s="280"/>
    </row>
    <row r="628" customHeight="1" spans="8:45">
      <c r="H628" s="91"/>
      <c r="I628" s="7"/>
      <c r="J628" s="276"/>
      <c r="K628" s="91"/>
      <c r="L628" s="7"/>
      <c r="O628" s="277"/>
      <c r="P628" s="277"/>
      <c r="W628" s="277"/>
      <c r="X628" s="277"/>
      <c r="AK628" s="280"/>
      <c r="AS628" s="280"/>
    </row>
    <row r="629" customHeight="1" spans="8:45">
      <c r="H629" s="91"/>
      <c r="I629" s="7"/>
      <c r="J629" s="276"/>
      <c r="K629" s="91"/>
      <c r="L629" s="7"/>
      <c r="O629" s="277"/>
      <c r="P629" s="277"/>
      <c r="W629" s="277"/>
      <c r="X629" s="277"/>
      <c r="AK629" s="280"/>
      <c r="AS629" s="280"/>
    </row>
    <row r="630" customHeight="1" spans="8:45">
      <c r="H630" s="91"/>
      <c r="I630" s="7"/>
      <c r="J630" s="276"/>
      <c r="K630" s="91"/>
      <c r="L630" s="7"/>
      <c r="O630" s="277"/>
      <c r="P630" s="277"/>
      <c r="W630" s="277"/>
      <c r="X630" s="277"/>
      <c r="AK630" s="280"/>
      <c r="AS630" s="280"/>
    </row>
    <row r="631" customHeight="1" spans="8:45">
      <c r="H631" s="91"/>
      <c r="I631" s="7"/>
      <c r="J631" s="276"/>
      <c r="K631" s="91"/>
      <c r="L631" s="7"/>
      <c r="O631" s="277"/>
      <c r="P631" s="277"/>
      <c r="W631" s="277"/>
      <c r="X631" s="277"/>
      <c r="AK631" s="280"/>
      <c r="AS631" s="280"/>
    </row>
    <row r="632" customHeight="1" spans="8:45">
      <c r="H632" s="91"/>
      <c r="I632" s="7"/>
      <c r="J632" s="276"/>
      <c r="K632" s="91"/>
      <c r="L632" s="7"/>
      <c r="O632" s="277"/>
      <c r="P632" s="277"/>
      <c r="W632" s="277"/>
      <c r="X632" s="277"/>
      <c r="AK632" s="280"/>
      <c r="AS632" s="280"/>
    </row>
    <row r="633" customHeight="1" spans="8:45">
      <c r="H633" s="91"/>
      <c r="I633" s="7"/>
      <c r="J633" s="276"/>
      <c r="K633" s="91"/>
      <c r="L633" s="7"/>
      <c r="O633" s="277"/>
      <c r="P633" s="277"/>
      <c r="W633" s="277"/>
      <c r="X633" s="277"/>
      <c r="AK633" s="280"/>
      <c r="AS633" s="280"/>
    </row>
    <row r="634" customHeight="1" spans="8:45">
      <c r="H634" s="91"/>
      <c r="I634" s="7"/>
      <c r="J634" s="276"/>
      <c r="K634" s="91"/>
      <c r="L634" s="7"/>
      <c r="O634" s="277"/>
      <c r="P634" s="277"/>
      <c r="W634" s="277"/>
      <c r="X634" s="277"/>
      <c r="AK634" s="280"/>
      <c r="AS634" s="280"/>
    </row>
    <row r="635" customHeight="1" spans="8:45">
      <c r="H635" s="91"/>
      <c r="I635" s="7"/>
      <c r="J635" s="276"/>
      <c r="K635" s="91"/>
      <c r="L635" s="7"/>
      <c r="O635" s="277"/>
      <c r="P635" s="277"/>
      <c r="W635" s="277"/>
      <c r="X635" s="277"/>
      <c r="AK635" s="280"/>
      <c r="AS635" s="280"/>
    </row>
    <row r="636" customHeight="1" spans="8:45">
      <c r="H636" s="91"/>
      <c r="I636" s="7"/>
      <c r="J636" s="276"/>
      <c r="K636" s="91"/>
      <c r="L636" s="7"/>
      <c r="O636" s="277"/>
      <c r="P636" s="277"/>
      <c r="W636" s="277"/>
      <c r="X636" s="277"/>
      <c r="AK636" s="280"/>
      <c r="AS636" s="280"/>
    </row>
    <row r="637" customHeight="1" spans="8:45">
      <c r="H637" s="91"/>
      <c r="I637" s="7"/>
      <c r="J637" s="276"/>
      <c r="K637" s="91"/>
      <c r="L637" s="7"/>
      <c r="O637" s="277"/>
      <c r="P637" s="277"/>
      <c r="W637" s="277"/>
      <c r="X637" s="277"/>
      <c r="AK637" s="280"/>
      <c r="AS637" s="280"/>
    </row>
    <row r="638" customHeight="1" spans="8:45">
      <c r="H638" s="91"/>
      <c r="I638" s="7"/>
      <c r="J638" s="276"/>
      <c r="K638" s="91"/>
      <c r="L638" s="7"/>
      <c r="O638" s="277"/>
      <c r="P638" s="277"/>
      <c r="W638" s="277"/>
      <c r="X638" s="277"/>
      <c r="AK638" s="280"/>
      <c r="AS638" s="280"/>
    </row>
    <row r="639" customHeight="1" spans="8:45">
      <c r="H639" s="91"/>
      <c r="I639" s="7"/>
      <c r="J639" s="276"/>
      <c r="K639" s="91"/>
      <c r="L639" s="7"/>
      <c r="O639" s="277"/>
      <c r="P639" s="277"/>
      <c r="W639" s="277"/>
      <c r="X639" s="277"/>
      <c r="AK639" s="280"/>
      <c r="AS639" s="280"/>
    </row>
    <row r="640" customHeight="1" spans="8:45">
      <c r="H640" s="91"/>
      <c r="I640" s="7"/>
      <c r="J640" s="276"/>
      <c r="K640" s="91"/>
      <c r="L640" s="7"/>
      <c r="O640" s="277"/>
      <c r="P640" s="277"/>
      <c r="W640" s="277"/>
      <c r="X640" s="277"/>
      <c r="AK640" s="280"/>
      <c r="AS640" s="280"/>
    </row>
    <row r="641" customHeight="1" spans="8:45">
      <c r="H641" s="91"/>
      <c r="I641" s="7"/>
      <c r="J641" s="276"/>
      <c r="K641" s="91"/>
      <c r="L641" s="7"/>
      <c r="O641" s="277"/>
      <c r="P641" s="277"/>
      <c r="W641" s="277"/>
      <c r="X641" s="277"/>
      <c r="AK641" s="280"/>
      <c r="AS641" s="280"/>
    </row>
    <row r="642" customHeight="1" spans="8:45">
      <c r="H642" s="91"/>
      <c r="I642" s="7"/>
      <c r="J642" s="276"/>
      <c r="K642" s="91"/>
      <c r="L642" s="7"/>
      <c r="O642" s="277"/>
      <c r="P642" s="277"/>
      <c r="W642" s="277"/>
      <c r="X642" s="277"/>
      <c r="AK642" s="280"/>
      <c r="AS642" s="280"/>
    </row>
    <row r="643" customHeight="1" spans="8:45">
      <c r="H643" s="91"/>
      <c r="I643" s="7"/>
      <c r="J643" s="276"/>
      <c r="K643" s="91"/>
      <c r="L643" s="7"/>
      <c r="O643" s="277"/>
      <c r="P643" s="277"/>
      <c r="W643" s="277"/>
      <c r="X643" s="277"/>
      <c r="AK643" s="280"/>
      <c r="AS643" s="280"/>
    </row>
    <row r="644" customHeight="1" spans="8:45">
      <c r="H644" s="91"/>
      <c r="I644" s="7"/>
      <c r="J644" s="276"/>
      <c r="K644" s="91"/>
      <c r="L644" s="7"/>
      <c r="O644" s="277"/>
      <c r="P644" s="277"/>
      <c r="W644" s="277"/>
      <c r="X644" s="277"/>
      <c r="AK644" s="280"/>
      <c r="AS644" s="280"/>
    </row>
    <row r="645" customHeight="1" spans="8:45">
      <c r="H645" s="91"/>
      <c r="I645" s="7"/>
      <c r="J645" s="276"/>
      <c r="K645" s="91"/>
      <c r="L645" s="7"/>
      <c r="O645" s="277"/>
      <c r="P645" s="277"/>
      <c r="W645" s="277"/>
      <c r="X645" s="277"/>
      <c r="AK645" s="280"/>
      <c r="AS645" s="280"/>
    </row>
    <row r="646" customHeight="1" spans="8:45">
      <c r="H646" s="91"/>
      <c r="I646" s="7"/>
      <c r="J646" s="276"/>
      <c r="K646" s="91"/>
      <c r="L646" s="7"/>
      <c r="O646" s="277"/>
      <c r="P646" s="277"/>
      <c r="W646" s="277"/>
      <c r="X646" s="277"/>
      <c r="AK646" s="280"/>
      <c r="AS646" s="280"/>
    </row>
    <row r="647" customHeight="1" spans="8:45">
      <c r="H647" s="91"/>
      <c r="I647" s="7"/>
      <c r="J647" s="276"/>
      <c r="K647" s="91"/>
      <c r="L647" s="7"/>
      <c r="O647" s="277"/>
      <c r="P647" s="277"/>
      <c r="W647" s="277"/>
      <c r="X647" s="277"/>
      <c r="AK647" s="280"/>
      <c r="AS647" s="280"/>
    </row>
    <row r="648" customHeight="1" spans="8:45">
      <c r="H648" s="91"/>
      <c r="I648" s="7"/>
      <c r="J648" s="276"/>
      <c r="K648" s="91"/>
      <c r="L648" s="7"/>
      <c r="O648" s="277"/>
      <c r="P648" s="277"/>
      <c r="W648" s="277"/>
      <c r="X648" s="277"/>
      <c r="AK648" s="280"/>
      <c r="AS648" s="280"/>
    </row>
    <row r="649" customHeight="1" spans="8:45">
      <c r="H649" s="91"/>
      <c r="I649" s="7"/>
      <c r="J649" s="276"/>
      <c r="K649" s="91"/>
      <c r="L649" s="7"/>
      <c r="O649" s="277"/>
      <c r="P649" s="277"/>
      <c r="W649" s="277"/>
      <c r="X649" s="277"/>
      <c r="AK649" s="280"/>
      <c r="AS649" s="280"/>
    </row>
    <row r="650" customHeight="1" spans="8:45">
      <c r="H650" s="91"/>
      <c r="I650" s="7"/>
      <c r="J650" s="276"/>
      <c r="K650" s="91"/>
      <c r="L650" s="7"/>
      <c r="O650" s="277"/>
      <c r="P650" s="277"/>
      <c r="W650" s="277"/>
      <c r="X650" s="277"/>
      <c r="AK650" s="280"/>
      <c r="AS650" s="280"/>
    </row>
    <row r="651" customHeight="1" spans="8:45">
      <c r="H651" s="91"/>
      <c r="I651" s="7"/>
      <c r="J651" s="276"/>
      <c r="K651" s="91"/>
      <c r="L651" s="7"/>
      <c r="O651" s="277"/>
      <c r="P651" s="277"/>
      <c r="W651" s="277"/>
      <c r="X651" s="277"/>
      <c r="AK651" s="280"/>
      <c r="AS651" s="280"/>
    </row>
    <row r="652" customHeight="1" spans="8:45">
      <c r="H652" s="91"/>
      <c r="I652" s="7"/>
      <c r="J652" s="276"/>
      <c r="K652" s="91"/>
      <c r="L652" s="7"/>
      <c r="O652" s="277"/>
      <c r="P652" s="277"/>
      <c r="W652" s="277"/>
      <c r="X652" s="277"/>
      <c r="AK652" s="280"/>
      <c r="AS652" s="280"/>
    </row>
    <row r="653" customHeight="1" spans="8:45">
      <c r="H653" s="91"/>
      <c r="I653" s="7"/>
      <c r="J653" s="276"/>
      <c r="K653" s="91"/>
      <c r="L653" s="7"/>
      <c r="O653" s="277"/>
      <c r="P653" s="277"/>
      <c r="W653" s="277"/>
      <c r="X653" s="277"/>
      <c r="AK653" s="280"/>
      <c r="AS653" s="280"/>
    </row>
    <row r="654" customHeight="1" spans="8:45">
      <c r="H654" s="91"/>
      <c r="I654" s="7"/>
      <c r="J654" s="276"/>
      <c r="K654" s="91"/>
      <c r="L654" s="7"/>
      <c r="O654" s="277"/>
      <c r="P654" s="277"/>
      <c r="W654" s="277"/>
      <c r="X654" s="277"/>
      <c r="AK654" s="280"/>
      <c r="AS654" s="280"/>
    </row>
    <row r="655" customHeight="1" spans="8:45">
      <c r="H655" s="91"/>
      <c r="I655" s="7"/>
      <c r="J655" s="276"/>
      <c r="K655" s="91"/>
      <c r="L655" s="7"/>
      <c r="O655" s="277"/>
      <c r="P655" s="277"/>
      <c r="W655" s="277"/>
      <c r="X655" s="277"/>
      <c r="AK655" s="280"/>
      <c r="AS655" s="280"/>
    </row>
    <row r="656" customHeight="1" spans="8:45">
      <c r="H656" s="91"/>
      <c r="I656" s="7"/>
      <c r="J656" s="276"/>
      <c r="K656" s="91"/>
      <c r="L656" s="7"/>
      <c r="O656" s="277"/>
      <c r="P656" s="277"/>
      <c r="W656" s="277"/>
      <c r="X656" s="277"/>
      <c r="AK656" s="280"/>
      <c r="AS656" s="280"/>
    </row>
    <row r="657" customHeight="1" spans="8:45">
      <c r="H657" s="91"/>
      <c r="I657" s="7"/>
      <c r="J657" s="276"/>
      <c r="K657" s="91"/>
      <c r="L657" s="7"/>
      <c r="O657" s="277"/>
      <c r="P657" s="277"/>
      <c r="W657" s="277"/>
      <c r="X657" s="277"/>
      <c r="AK657" s="280"/>
      <c r="AS657" s="280"/>
    </row>
    <row r="658" customHeight="1" spans="8:45">
      <c r="H658" s="91"/>
      <c r="I658" s="7"/>
      <c r="J658" s="276"/>
      <c r="K658" s="91"/>
      <c r="L658" s="7"/>
      <c r="O658" s="277"/>
      <c r="P658" s="277"/>
      <c r="W658" s="277"/>
      <c r="X658" s="277"/>
      <c r="AK658" s="280"/>
      <c r="AS658" s="280"/>
    </row>
    <row r="659" customHeight="1" spans="8:45">
      <c r="H659" s="91"/>
      <c r="I659" s="7"/>
      <c r="J659" s="276"/>
      <c r="K659" s="91"/>
      <c r="L659" s="7"/>
      <c r="O659" s="277"/>
      <c r="P659" s="277"/>
      <c r="W659" s="277"/>
      <c r="X659" s="277"/>
      <c r="AK659" s="280"/>
      <c r="AS659" s="280"/>
    </row>
    <row r="660" customHeight="1" spans="8:45">
      <c r="H660" s="91"/>
      <c r="I660" s="7"/>
      <c r="J660" s="276"/>
      <c r="K660" s="91"/>
      <c r="L660" s="7"/>
      <c r="O660" s="277"/>
      <c r="P660" s="277"/>
      <c r="W660" s="277"/>
      <c r="X660" s="277"/>
      <c r="AK660" s="280"/>
      <c r="AS660" s="280"/>
    </row>
    <row r="661" customHeight="1" spans="8:45">
      <c r="H661" s="91"/>
      <c r="I661" s="7"/>
      <c r="J661" s="276"/>
      <c r="K661" s="91"/>
      <c r="L661" s="7"/>
      <c r="O661" s="277"/>
      <c r="P661" s="277"/>
      <c r="W661" s="277"/>
      <c r="X661" s="277"/>
      <c r="AK661" s="280"/>
      <c r="AS661" s="280"/>
    </row>
    <row r="662" customHeight="1" spans="8:45">
      <c r="H662" s="91"/>
      <c r="I662" s="7"/>
      <c r="J662" s="276"/>
      <c r="K662" s="91"/>
      <c r="L662" s="7"/>
      <c r="O662" s="277"/>
      <c r="P662" s="277"/>
      <c r="W662" s="277"/>
      <c r="X662" s="277"/>
      <c r="AK662" s="280"/>
      <c r="AS662" s="280"/>
    </row>
    <row r="663" customHeight="1" spans="8:45">
      <c r="H663" s="91"/>
      <c r="I663" s="7"/>
      <c r="J663" s="276"/>
      <c r="K663" s="91"/>
      <c r="L663" s="7"/>
      <c r="O663" s="277"/>
      <c r="P663" s="277"/>
      <c r="W663" s="277"/>
      <c r="X663" s="277"/>
      <c r="AK663" s="280"/>
      <c r="AS663" s="280"/>
    </row>
    <row r="664" customHeight="1" spans="8:45">
      <c r="H664" s="91"/>
      <c r="I664" s="7"/>
      <c r="J664" s="276"/>
      <c r="K664" s="91"/>
      <c r="L664" s="7"/>
      <c r="O664" s="277"/>
      <c r="P664" s="277"/>
      <c r="W664" s="277"/>
      <c r="X664" s="277"/>
      <c r="AK664" s="280"/>
      <c r="AS664" s="280"/>
    </row>
    <row r="665" customHeight="1" spans="8:45">
      <c r="H665" s="91"/>
      <c r="I665" s="7"/>
      <c r="J665" s="276"/>
      <c r="K665" s="91"/>
      <c r="L665" s="7"/>
      <c r="O665" s="277"/>
      <c r="P665" s="277"/>
      <c r="W665" s="277"/>
      <c r="X665" s="277"/>
      <c r="AK665" s="280"/>
      <c r="AS665" s="280"/>
    </row>
    <row r="666" customHeight="1" spans="8:45">
      <c r="H666" s="91"/>
      <c r="I666" s="7"/>
      <c r="J666" s="276"/>
      <c r="K666" s="91"/>
      <c r="L666" s="7"/>
      <c r="O666" s="277"/>
      <c r="P666" s="277"/>
      <c r="W666" s="277"/>
      <c r="X666" s="277"/>
      <c r="AK666" s="280"/>
      <c r="AS666" s="280"/>
    </row>
    <row r="667" customHeight="1" spans="8:45">
      <c r="H667" s="91"/>
      <c r="I667" s="7"/>
      <c r="J667" s="276"/>
      <c r="K667" s="91"/>
      <c r="L667" s="7"/>
      <c r="O667" s="277"/>
      <c r="P667" s="277"/>
      <c r="W667" s="277"/>
      <c r="X667" s="277"/>
      <c r="AK667" s="280"/>
      <c r="AS667" s="280"/>
    </row>
    <row r="668" customHeight="1" spans="8:45">
      <c r="H668" s="91"/>
      <c r="I668" s="7"/>
      <c r="J668" s="276"/>
      <c r="K668" s="91"/>
      <c r="L668" s="7"/>
      <c r="O668" s="277"/>
      <c r="P668" s="277"/>
      <c r="W668" s="277"/>
      <c r="X668" s="277"/>
      <c r="AK668" s="280"/>
      <c r="AS668" s="280"/>
    </row>
    <row r="669" customHeight="1" spans="8:45">
      <c r="H669" s="91"/>
      <c r="I669" s="7"/>
      <c r="J669" s="276"/>
      <c r="K669" s="91"/>
      <c r="L669" s="7"/>
      <c r="O669" s="277"/>
      <c r="P669" s="277"/>
      <c r="W669" s="277"/>
      <c r="X669" s="277"/>
      <c r="AK669" s="280"/>
      <c r="AS669" s="280"/>
    </row>
    <row r="670" customHeight="1" spans="8:45">
      <c r="H670" s="91"/>
      <c r="I670" s="7"/>
      <c r="J670" s="276"/>
      <c r="K670" s="91"/>
      <c r="L670" s="7"/>
      <c r="O670" s="277"/>
      <c r="P670" s="277"/>
      <c r="W670" s="277"/>
      <c r="X670" s="277"/>
      <c r="AK670" s="280"/>
      <c r="AS670" s="280"/>
    </row>
    <row r="671" customHeight="1" spans="8:45">
      <c r="H671" s="91"/>
      <c r="I671" s="7"/>
      <c r="J671" s="276"/>
      <c r="K671" s="91"/>
      <c r="L671" s="7"/>
      <c r="O671" s="277"/>
      <c r="P671" s="277"/>
      <c r="W671" s="277"/>
      <c r="X671" s="277"/>
      <c r="AK671" s="280"/>
      <c r="AS671" s="280"/>
    </row>
    <row r="672" customHeight="1" spans="8:45">
      <c r="H672" s="91"/>
      <c r="I672" s="7"/>
      <c r="J672" s="276"/>
      <c r="K672" s="91"/>
      <c r="L672" s="7"/>
      <c r="O672" s="277"/>
      <c r="P672" s="277"/>
      <c r="W672" s="277"/>
      <c r="X672" s="277"/>
      <c r="AK672" s="280"/>
      <c r="AS672" s="280"/>
    </row>
    <row r="673" customHeight="1" spans="8:45">
      <c r="H673" s="91"/>
      <c r="I673" s="7"/>
      <c r="J673" s="276"/>
      <c r="K673" s="91"/>
      <c r="L673" s="7"/>
      <c r="O673" s="277"/>
      <c r="P673" s="277"/>
      <c r="W673" s="277"/>
      <c r="X673" s="277"/>
      <c r="AK673" s="280"/>
      <c r="AS673" s="280"/>
    </row>
    <row r="674" customHeight="1" spans="8:45">
      <c r="H674" s="91"/>
      <c r="I674" s="7"/>
      <c r="J674" s="276"/>
      <c r="K674" s="91"/>
      <c r="L674" s="7"/>
      <c r="O674" s="277"/>
      <c r="P674" s="277"/>
      <c r="W674" s="277"/>
      <c r="X674" s="277"/>
      <c r="AK674" s="280"/>
      <c r="AS674" s="280"/>
    </row>
    <row r="675" customHeight="1" spans="8:45">
      <c r="H675" s="91"/>
      <c r="I675" s="7"/>
      <c r="J675" s="276"/>
      <c r="K675" s="91"/>
      <c r="L675" s="7"/>
      <c r="O675" s="277"/>
      <c r="P675" s="277"/>
      <c r="W675" s="277"/>
      <c r="X675" s="277"/>
      <c r="AK675" s="280"/>
      <c r="AS675" s="280"/>
    </row>
    <row r="676" customHeight="1" spans="8:45">
      <c r="H676" s="91"/>
      <c r="I676" s="7"/>
      <c r="J676" s="276"/>
      <c r="K676" s="91"/>
      <c r="L676" s="7"/>
      <c r="O676" s="277"/>
      <c r="P676" s="277"/>
      <c r="W676" s="277"/>
      <c r="X676" s="277"/>
      <c r="AK676" s="280"/>
      <c r="AS676" s="280"/>
    </row>
    <row r="677" customHeight="1" spans="8:45">
      <c r="H677" s="91"/>
      <c r="I677" s="7"/>
      <c r="J677" s="276"/>
      <c r="K677" s="91"/>
      <c r="L677" s="7"/>
      <c r="O677" s="277"/>
      <c r="P677" s="277"/>
      <c r="W677" s="277"/>
      <c r="X677" s="277"/>
      <c r="AK677" s="280"/>
      <c r="AS677" s="280"/>
    </row>
    <row r="678" customHeight="1" spans="8:45">
      <c r="H678" s="91"/>
      <c r="I678" s="7"/>
      <c r="J678" s="276"/>
      <c r="K678" s="91"/>
      <c r="L678" s="7"/>
      <c r="O678" s="277"/>
      <c r="P678" s="277"/>
      <c r="W678" s="277"/>
      <c r="X678" s="277"/>
      <c r="AK678" s="280"/>
      <c r="AS678" s="280"/>
    </row>
    <row r="679" customHeight="1" spans="8:45">
      <c r="H679" s="91"/>
      <c r="I679" s="7"/>
      <c r="J679" s="276"/>
      <c r="K679" s="91"/>
      <c r="L679" s="7"/>
      <c r="O679" s="277"/>
      <c r="P679" s="277"/>
      <c r="W679" s="277"/>
      <c r="X679" s="277"/>
      <c r="AK679" s="280"/>
      <c r="AS679" s="280"/>
    </row>
    <row r="680" customHeight="1" spans="8:45">
      <c r="H680" s="91"/>
      <c r="I680" s="7"/>
      <c r="J680" s="276"/>
      <c r="K680" s="91"/>
      <c r="L680" s="7"/>
      <c r="O680" s="277"/>
      <c r="P680" s="277"/>
      <c r="W680" s="277"/>
      <c r="X680" s="277"/>
      <c r="AK680" s="280"/>
      <c r="AS680" s="280"/>
    </row>
    <row r="681" customHeight="1" spans="8:45">
      <c r="H681" s="91"/>
      <c r="I681" s="7"/>
      <c r="J681" s="276"/>
      <c r="K681" s="91"/>
      <c r="L681" s="7"/>
      <c r="O681" s="277"/>
      <c r="P681" s="277"/>
      <c r="W681" s="277"/>
      <c r="X681" s="277"/>
      <c r="AK681" s="280"/>
      <c r="AS681" s="280"/>
    </row>
    <row r="682" customHeight="1" spans="8:45">
      <c r="H682" s="91"/>
      <c r="I682" s="7"/>
      <c r="J682" s="276"/>
      <c r="K682" s="91"/>
      <c r="L682" s="7"/>
      <c r="O682" s="277"/>
      <c r="P682" s="277"/>
      <c r="W682" s="277"/>
      <c r="X682" s="277"/>
      <c r="AK682" s="280"/>
      <c r="AS682" s="280"/>
    </row>
    <row r="683" customHeight="1" spans="8:45">
      <c r="H683" s="91"/>
      <c r="I683" s="7"/>
      <c r="J683" s="276"/>
      <c r="K683" s="91"/>
      <c r="L683" s="7"/>
      <c r="O683" s="277"/>
      <c r="P683" s="277"/>
      <c r="W683" s="277"/>
      <c r="X683" s="277"/>
      <c r="AK683" s="280"/>
      <c r="AS683" s="280"/>
    </row>
    <row r="684" customHeight="1" spans="8:45">
      <c r="H684" s="91"/>
      <c r="I684" s="7"/>
      <c r="J684" s="276"/>
      <c r="K684" s="91"/>
      <c r="L684" s="7"/>
      <c r="O684" s="277"/>
      <c r="P684" s="277"/>
      <c r="W684" s="277"/>
      <c r="X684" s="277"/>
      <c r="AK684" s="280"/>
      <c r="AS684" s="280"/>
    </row>
    <row r="685" customHeight="1" spans="8:45">
      <c r="H685" s="91"/>
      <c r="I685" s="7"/>
      <c r="J685" s="276"/>
      <c r="K685" s="91"/>
      <c r="L685" s="7"/>
      <c r="O685" s="277"/>
      <c r="P685" s="277"/>
      <c r="W685" s="277"/>
      <c r="X685" s="277"/>
      <c r="AK685" s="280"/>
      <c r="AS685" s="280"/>
    </row>
    <row r="686" customHeight="1" spans="8:45">
      <c r="H686" s="91"/>
      <c r="I686" s="7"/>
      <c r="J686" s="276"/>
      <c r="K686" s="91"/>
      <c r="L686" s="7"/>
      <c r="O686" s="277"/>
      <c r="P686" s="277"/>
      <c r="W686" s="277"/>
      <c r="X686" s="277"/>
      <c r="AK686" s="280"/>
      <c r="AS686" s="280"/>
    </row>
    <row r="687" customHeight="1" spans="8:45">
      <c r="H687" s="91"/>
      <c r="I687" s="7"/>
      <c r="J687" s="276"/>
      <c r="K687" s="91"/>
      <c r="L687" s="7"/>
      <c r="O687" s="277"/>
      <c r="P687" s="277"/>
      <c r="W687" s="277"/>
      <c r="X687" s="277"/>
      <c r="AK687" s="280"/>
      <c r="AS687" s="280"/>
    </row>
    <row r="688" customHeight="1" spans="8:45">
      <c r="H688" s="91"/>
      <c r="I688" s="7"/>
      <c r="J688" s="276"/>
      <c r="K688" s="91"/>
      <c r="L688" s="7"/>
      <c r="O688" s="277"/>
      <c r="P688" s="277"/>
      <c r="W688" s="277"/>
      <c r="X688" s="277"/>
      <c r="AK688" s="280"/>
      <c r="AS688" s="280"/>
    </row>
    <row r="689" customHeight="1" spans="8:45">
      <c r="H689" s="91"/>
      <c r="I689" s="7"/>
      <c r="J689" s="276"/>
      <c r="K689" s="91"/>
      <c r="L689" s="7"/>
      <c r="O689" s="277"/>
      <c r="P689" s="277"/>
      <c r="W689" s="277"/>
      <c r="X689" s="277"/>
      <c r="AK689" s="280"/>
      <c r="AS689" s="280"/>
    </row>
    <row r="690" customHeight="1" spans="8:45">
      <c r="H690" s="91"/>
      <c r="I690" s="7"/>
      <c r="J690" s="276"/>
      <c r="K690" s="91"/>
      <c r="L690" s="7"/>
      <c r="O690" s="277"/>
      <c r="P690" s="277"/>
      <c r="W690" s="277"/>
      <c r="X690" s="277"/>
      <c r="AK690" s="280"/>
      <c r="AS690" s="280"/>
    </row>
    <row r="691" customHeight="1" spans="8:45">
      <c r="H691" s="91"/>
      <c r="I691" s="7"/>
      <c r="J691" s="276"/>
      <c r="K691" s="91"/>
      <c r="L691" s="7"/>
      <c r="O691" s="277"/>
      <c r="P691" s="277"/>
      <c r="W691" s="277"/>
      <c r="X691" s="277"/>
      <c r="AK691" s="280"/>
      <c r="AS691" s="280"/>
    </row>
    <row r="692" customHeight="1" spans="8:45">
      <c r="H692" s="91"/>
      <c r="I692" s="7"/>
      <c r="J692" s="276"/>
      <c r="K692" s="91"/>
      <c r="L692" s="7"/>
      <c r="O692" s="277"/>
      <c r="P692" s="277"/>
      <c r="W692" s="277"/>
      <c r="X692" s="277"/>
      <c r="AK692" s="280"/>
      <c r="AS692" s="280"/>
    </row>
    <row r="693" customHeight="1" spans="8:45">
      <c r="H693" s="91"/>
      <c r="I693" s="7"/>
      <c r="J693" s="276"/>
      <c r="K693" s="91"/>
      <c r="L693" s="7"/>
      <c r="O693" s="277"/>
      <c r="P693" s="277"/>
      <c r="W693" s="277"/>
      <c r="X693" s="277"/>
      <c r="AK693" s="280"/>
      <c r="AS693" s="280"/>
    </row>
    <row r="694" customHeight="1" spans="8:45">
      <c r="H694" s="91"/>
      <c r="I694" s="7"/>
      <c r="J694" s="276"/>
      <c r="K694" s="91"/>
      <c r="L694" s="7"/>
      <c r="O694" s="277"/>
      <c r="P694" s="277"/>
      <c r="W694" s="277"/>
      <c r="X694" s="277"/>
      <c r="AK694" s="280"/>
      <c r="AS694" s="280"/>
    </row>
    <row r="695" customHeight="1" spans="8:45">
      <c r="H695" s="91"/>
      <c r="I695" s="7"/>
      <c r="J695" s="276"/>
      <c r="K695" s="91"/>
      <c r="L695" s="7"/>
      <c r="O695" s="277"/>
      <c r="P695" s="277"/>
      <c r="W695" s="277"/>
      <c r="X695" s="277"/>
      <c r="AK695" s="280"/>
      <c r="AS695" s="280"/>
    </row>
    <row r="696" customHeight="1" spans="8:45">
      <c r="H696" s="91"/>
      <c r="I696" s="7"/>
      <c r="J696" s="276"/>
      <c r="K696" s="91"/>
      <c r="L696" s="7"/>
      <c r="O696" s="277"/>
      <c r="P696" s="277"/>
      <c r="W696" s="277"/>
      <c r="X696" s="277"/>
      <c r="AK696" s="280"/>
      <c r="AS696" s="280"/>
    </row>
    <row r="697" customHeight="1" spans="8:45">
      <c r="H697" s="91"/>
      <c r="I697" s="7"/>
      <c r="J697" s="276"/>
      <c r="K697" s="91"/>
      <c r="L697" s="7"/>
      <c r="O697" s="277"/>
      <c r="P697" s="277"/>
      <c r="W697" s="277"/>
      <c r="X697" s="277"/>
      <c r="AK697" s="280"/>
      <c r="AS697" s="280"/>
    </row>
    <row r="698" customHeight="1" spans="8:45">
      <c r="H698" s="91"/>
      <c r="I698" s="7"/>
      <c r="J698" s="276"/>
      <c r="K698" s="91"/>
      <c r="L698" s="7"/>
      <c r="O698" s="277"/>
      <c r="P698" s="277"/>
      <c r="W698" s="277"/>
      <c r="X698" s="277"/>
      <c r="AK698" s="280"/>
      <c r="AS698" s="280"/>
    </row>
    <row r="699" customHeight="1" spans="8:45">
      <c r="H699" s="91"/>
      <c r="I699" s="7"/>
      <c r="J699" s="276"/>
      <c r="K699" s="91"/>
      <c r="L699" s="7"/>
      <c r="O699" s="277"/>
      <c r="P699" s="277"/>
      <c r="W699" s="277"/>
      <c r="X699" s="277"/>
      <c r="AK699" s="280"/>
      <c r="AS699" s="280"/>
    </row>
    <row r="700" customHeight="1" spans="8:45">
      <c r="H700" s="91"/>
      <c r="I700" s="7"/>
      <c r="J700" s="276"/>
      <c r="K700" s="91"/>
      <c r="L700" s="7"/>
      <c r="O700" s="277"/>
      <c r="P700" s="277"/>
      <c r="W700" s="277"/>
      <c r="X700" s="277"/>
      <c r="AK700" s="280"/>
      <c r="AS700" s="280"/>
    </row>
    <row r="701" customHeight="1" spans="8:45">
      <c r="H701" s="91"/>
      <c r="I701" s="7"/>
      <c r="J701" s="276"/>
      <c r="K701" s="91"/>
      <c r="L701" s="7"/>
      <c r="O701" s="277"/>
      <c r="P701" s="277"/>
      <c r="W701" s="277"/>
      <c r="X701" s="277"/>
      <c r="AK701" s="280"/>
      <c r="AS701" s="280"/>
    </row>
    <row r="702" customHeight="1" spans="8:45">
      <c r="H702" s="91"/>
      <c r="I702" s="7"/>
      <c r="J702" s="276"/>
      <c r="K702" s="91"/>
      <c r="L702" s="7"/>
      <c r="O702" s="277"/>
      <c r="P702" s="277"/>
      <c r="W702" s="277"/>
      <c r="X702" s="277"/>
      <c r="AK702" s="280"/>
      <c r="AS702" s="280"/>
    </row>
    <row r="703" customHeight="1" spans="8:45">
      <c r="H703" s="91"/>
      <c r="I703" s="7"/>
      <c r="J703" s="276"/>
      <c r="K703" s="91"/>
      <c r="L703" s="7"/>
      <c r="O703" s="277"/>
      <c r="P703" s="277"/>
      <c r="W703" s="277"/>
      <c r="X703" s="277"/>
      <c r="AK703" s="280"/>
      <c r="AS703" s="280"/>
    </row>
    <row r="704" customHeight="1" spans="8:45">
      <c r="H704" s="91"/>
      <c r="I704" s="7"/>
      <c r="J704" s="276"/>
      <c r="K704" s="91"/>
      <c r="L704" s="7"/>
      <c r="O704" s="277"/>
      <c r="P704" s="277"/>
      <c r="W704" s="277"/>
      <c r="X704" s="277"/>
      <c r="AK704" s="280"/>
      <c r="AS704" s="280"/>
    </row>
    <row r="705" customHeight="1" spans="8:45">
      <c r="H705" s="91"/>
      <c r="I705" s="7"/>
      <c r="J705" s="276"/>
      <c r="K705" s="91"/>
      <c r="L705" s="7"/>
      <c r="O705" s="277"/>
      <c r="P705" s="277"/>
      <c r="W705" s="277"/>
      <c r="X705" s="277"/>
      <c r="AK705" s="280"/>
      <c r="AS705" s="280"/>
    </row>
    <row r="706" customHeight="1" spans="8:45">
      <c r="H706" s="91"/>
      <c r="I706" s="7"/>
      <c r="J706" s="276"/>
      <c r="K706" s="91"/>
      <c r="L706" s="7"/>
      <c r="O706" s="277"/>
      <c r="P706" s="277"/>
      <c r="W706" s="277"/>
      <c r="X706" s="277"/>
      <c r="AK706" s="280"/>
      <c r="AS706" s="280"/>
    </row>
    <row r="707" customHeight="1" spans="8:45">
      <c r="H707" s="91"/>
      <c r="I707" s="7"/>
      <c r="J707" s="276"/>
      <c r="K707" s="91"/>
      <c r="L707" s="7"/>
      <c r="O707" s="277"/>
      <c r="P707" s="277"/>
      <c r="W707" s="277"/>
      <c r="X707" s="277"/>
      <c r="AK707" s="280"/>
      <c r="AS707" s="280"/>
    </row>
    <row r="708" customHeight="1" spans="8:45">
      <c r="H708" s="91"/>
      <c r="I708" s="7"/>
      <c r="J708" s="276"/>
      <c r="K708" s="91"/>
      <c r="L708" s="7"/>
      <c r="O708" s="277"/>
      <c r="P708" s="277"/>
      <c r="W708" s="277"/>
      <c r="X708" s="277"/>
      <c r="AK708" s="280"/>
      <c r="AS708" s="280"/>
    </row>
    <row r="709" customHeight="1" spans="8:45">
      <c r="H709" s="91"/>
      <c r="I709" s="7"/>
      <c r="J709" s="276"/>
      <c r="K709" s="91"/>
      <c r="L709" s="7"/>
      <c r="O709" s="277"/>
      <c r="P709" s="277"/>
      <c r="W709" s="277"/>
      <c r="X709" s="277"/>
      <c r="AK709" s="280"/>
      <c r="AS709" s="280"/>
    </row>
    <row r="710" customHeight="1" spans="8:45">
      <c r="H710" s="91"/>
      <c r="I710" s="7"/>
      <c r="J710" s="276"/>
      <c r="K710" s="91"/>
      <c r="L710" s="7"/>
      <c r="O710" s="277"/>
      <c r="P710" s="277"/>
      <c r="W710" s="277"/>
      <c r="X710" s="277"/>
      <c r="AK710" s="280"/>
      <c r="AS710" s="280"/>
    </row>
    <row r="711" customHeight="1" spans="8:45">
      <c r="H711" s="91"/>
      <c r="I711" s="7"/>
      <c r="J711" s="276"/>
      <c r="K711" s="91"/>
      <c r="L711" s="7"/>
      <c r="O711" s="277"/>
      <c r="P711" s="277"/>
      <c r="W711" s="277"/>
      <c r="X711" s="277"/>
      <c r="AK711" s="280"/>
      <c r="AS711" s="280"/>
    </row>
    <row r="712" customHeight="1" spans="8:45">
      <c r="H712" s="91"/>
      <c r="I712" s="7"/>
      <c r="J712" s="276"/>
      <c r="K712" s="91"/>
      <c r="L712" s="7"/>
      <c r="O712" s="277"/>
      <c r="P712" s="277"/>
      <c r="W712" s="277"/>
      <c r="X712" s="277"/>
      <c r="AK712" s="280"/>
      <c r="AS712" s="280"/>
    </row>
    <row r="713" customHeight="1" spans="8:45">
      <c r="H713" s="91"/>
      <c r="I713" s="7"/>
      <c r="J713" s="276"/>
      <c r="K713" s="91"/>
      <c r="L713" s="7"/>
      <c r="O713" s="277"/>
      <c r="P713" s="277"/>
      <c r="W713" s="277"/>
      <c r="X713" s="277"/>
      <c r="AK713" s="280"/>
      <c r="AS713" s="280"/>
    </row>
    <row r="714" customHeight="1" spans="8:45">
      <c r="H714" s="91"/>
      <c r="I714" s="7"/>
      <c r="J714" s="276"/>
      <c r="K714" s="91"/>
      <c r="L714" s="7"/>
      <c r="O714" s="277"/>
      <c r="P714" s="277"/>
      <c r="W714" s="277"/>
      <c r="X714" s="277"/>
      <c r="AK714" s="280"/>
      <c r="AS714" s="280"/>
    </row>
    <row r="715" customHeight="1" spans="8:45">
      <c r="H715" s="91"/>
      <c r="I715" s="7"/>
      <c r="J715" s="276"/>
      <c r="K715" s="91"/>
      <c r="L715" s="7"/>
      <c r="O715" s="277"/>
      <c r="P715" s="277"/>
      <c r="W715" s="277"/>
      <c r="X715" s="277"/>
      <c r="AK715" s="280"/>
      <c r="AS715" s="280"/>
    </row>
    <row r="716" customHeight="1" spans="8:45">
      <c r="H716" s="91"/>
      <c r="I716" s="7"/>
      <c r="J716" s="276"/>
      <c r="K716" s="91"/>
      <c r="L716" s="7"/>
      <c r="O716" s="277"/>
      <c r="P716" s="277"/>
      <c r="W716" s="277"/>
      <c r="X716" s="277"/>
      <c r="AK716" s="280"/>
      <c r="AS716" s="280"/>
    </row>
    <row r="717" customHeight="1" spans="8:45">
      <c r="H717" s="91"/>
      <c r="I717" s="7"/>
      <c r="J717" s="276"/>
      <c r="K717" s="91"/>
      <c r="L717" s="7"/>
      <c r="O717" s="277"/>
      <c r="P717" s="277"/>
      <c r="W717" s="277"/>
      <c r="X717" s="277"/>
      <c r="AK717" s="280"/>
      <c r="AS717" s="280"/>
    </row>
    <row r="718" customHeight="1" spans="8:45">
      <c r="H718" s="91"/>
      <c r="I718" s="7"/>
      <c r="J718" s="276"/>
      <c r="K718" s="91"/>
      <c r="L718" s="7"/>
      <c r="O718" s="277"/>
      <c r="P718" s="277"/>
      <c r="W718" s="277"/>
      <c r="X718" s="277"/>
      <c r="AK718" s="280"/>
      <c r="AS718" s="280"/>
    </row>
    <row r="719" customHeight="1" spans="8:45">
      <c r="H719" s="91"/>
      <c r="I719" s="7"/>
      <c r="J719" s="276"/>
      <c r="K719" s="91"/>
      <c r="L719" s="7"/>
      <c r="O719" s="277"/>
      <c r="P719" s="277"/>
      <c r="W719" s="277"/>
      <c r="X719" s="277"/>
      <c r="AK719" s="280"/>
      <c r="AS719" s="280"/>
    </row>
    <row r="720" customHeight="1" spans="8:45">
      <c r="H720" s="91"/>
      <c r="I720" s="7"/>
      <c r="J720" s="276"/>
      <c r="K720" s="91"/>
      <c r="L720" s="7"/>
      <c r="O720" s="277"/>
      <c r="P720" s="277"/>
      <c r="W720" s="277"/>
      <c r="X720" s="277"/>
      <c r="AK720" s="280"/>
      <c r="AS720" s="280"/>
    </row>
    <row r="721" customHeight="1" spans="8:45">
      <c r="H721" s="91"/>
      <c r="I721" s="7"/>
      <c r="J721" s="276"/>
      <c r="K721" s="91"/>
      <c r="L721" s="7"/>
      <c r="O721" s="277"/>
      <c r="P721" s="277"/>
      <c r="W721" s="277"/>
      <c r="X721" s="277"/>
      <c r="AK721" s="280"/>
      <c r="AS721" s="280"/>
    </row>
    <row r="722" customHeight="1" spans="8:45">
      <c r="H722" s="91"/>
      <c r="I722" s="7"/>
      <c r="J722" s="276"/>
      <c r="K722" s="91"/>
      <c r="L722" s="7"/>
      <c r="O722" s="277"/>
      <c r="P722" s="277"/>
      <c r="W722" s="277"/>
      <c r="X722" s="277"/>
      <c r="AK722" s="280"/>
      <c r="AS722" s="280"/>
    </row>
    <row r="723" customHeight="1" spans="8:45">
      <c r="H723" s="91"/>
      <c r="I723" s="7"/>
      <c r="J723" s="276"/>
      <c r="K723" s="91"/>
      <c r="L723" s="7"/>
      <c r="O723" s="277"/>
      <c r="P723" s="277"/>
      <c r="W723" s="277"/>
      <c r="X723" s="277"/>
      <c r="AK723" s="280"/>
      <c r="AS723" s="280"/>
    </row>
    <row r="724" customHeight="1" spans="8:45">
      <c r="H724" s="91"/>
      <c r="I724" s="7"/>
      <c r="J724" s="276"/>
      <c r="K724" s="91"/>
      <c r="L724" s="7"/>
      <c r="O724" s="277"/>
      <c r="P724" s="277"/>
      <c r="W724" s="277"/>
      <c r="X724" s="277"/>
      <c r="AK724" s="280"/>
      <c r="AS724" s="280"/>
    </row>
    <row r="725" customHeight="1" spans="8:45">
      <c r="H725" s="91"/>
      <c r="I725" s="7"/>
      <c r="J725" s="276"/>
      <c r="K725" s="91"/>
      <c r="L725" s="7"/>
      <c r="O725" s="277"/>
      <c r="P725" s="277"/>
      <c r="W725" s="277"/>
      <c r="X725" s="277"/>
      <c r="AK725" s="280"/>
      <c r="AS725" s="280"/>
    </row>
    <row r="726" customHeight="1" spans="8:45">
      <c r="H726" s="91"/>
      <c r="I726" s="7"/>
      <c r="J726" s="276"/>
      <c r="K726" s="91"/>
      <c r="L726" s="7"/>
      <c r="O726" s="277"/>
      <c r="P726" s="277"/>
      <c r="W726" s="277"/>
      <c r="X726" s="277"/>
      <c r="AK726" s="280"/>
      <c r="AS726" s="280"/>
    </row>
    <row r="727" customHeight="1" spans="8:45">
      <c r="H727" s="91"/>
      <c r="I727" s="7"/>
      <c r="J727" s="276"/>
      <c r="K727" s="91"/>
      <c r="L727" s="7"/>
      <c r="O727" s="277"/>
      <c r="P727" s="277"/>
      <c r="W727" s="277"/>
      <c r="X727" s="277"/>
      <c r="AK727" s="280"/>
      <c r="AS727" s="280"/>
    </row>
    <row r="728" customHeight="1" spans="8:45">
      <c r="H728" s="91"/>
      <c r="I728" s="7"/>
      <c r="J728" s="276"/>
      <c r="K728" s="91"/>
      <c r="L728" s="7"/>
      <c r="O728" s="277"/>
      <c r="P728" s="277"/>
      <c r="W728" s="277"/>
      <c r="X728" s="277"/>
      <c r="AK728" s="280"/>
      <c r="AS728" s="280"/>
    </row>
    <row r="729" customHeight="1" spans="8:45">
      <c r="H729" s="91"/>
      <c r="I729" s="7"/>
      <c r="J729" s="276"/>
      <c r="K729" s="91"/>
      <c r="L729" s="7"/>
      <c r="O729" s="277"/>
      <c r="P729" s="277"/>
      <c r="W729" s="277"/>
      <c r="X729" s="277"/>
      <c r="AK729" s="280"/>
      <c r="AS729" s="280"/>
    </row>
    <row r="730" customHeight="1" spans="8:45">
      <c r="H730" s="91"/>
      <c r="I730" s="7"/>
      <c r="J730" s="276"/>
      <c r="K730" s="91"/>
      <c r="L730" s="7"/>
      <c r="O730" s="277"/>
      <c r="P730" s="277"/>
      <c r="W730" s="277"/>
      <c r="X730" s="277"/>
      <c r="AK730" s="280"/>
      <c r="AS730" s="280"/>
    </row>
    <row r="731" customHeight="1" spans="8:45">
      <c r="H731" s="91"/>
      <c r="I731" s="7"/>
      <c r="J731" s="276"/>
      <c r="K731" s="91"/>
      <c r="L731" s="7"/>
      <c r="O731" s="277"/>
      <c r="P731" s="277"/>
      <c r="W731" s="277"/>
      <c r="X731" s="277"/>
      <c r="AK731" s="280"/>
      <c r="AS731" s="280"/>
    </row>
    <row r="732" customHeight="1" spans="8:45">
      <c r="H732" s="91"/>
      <c r="I732" s="7"/>
      <c r="J732" s="276"/>
      <c r="K732" s="91"/>
      <c r="L732" s="7"/>
      <c r="O732" s="277"/>
      <c r="P732" s="277"/>
      <c r="W732" s="277"/>
      <c r="X732" s="277"/>
      <c r="AK732" s="280"/>
      <c r="AS732" s="280"/>
    </row>
    <row r="733" customHeight="1" spans="8:45">
      <c r="H733" s="91"/>
      <c r="I733" s="7"/>
      <c r="J733" s="276"/>
      <c r="K733" s="91"/>
      <c r="L733" s="7"/>
      <c r="O733" s="277"/>
      <c r="P733" s="277"/>
      <c r="W733" s="277"/>
      <c r="X733" s="277"/>
      <c r="AK733" s="280"/>
      <c r="AS733" s="280"/>
    </row>
    <row r="734" customHeight="1" spans="8:45">
      <c r="H734" s="91"/>
      <c r="I734" s="7"/>
      <c r="J734" s="276"/>
      <c r="K734" s="91"/>
      <c r="L734" s="7"/>
      <c r="O734" s="277"/>
      <c r="P734" s="277"/>
      <c r="W734" s="277"/>
      <c r="X734" s="277"/>
      <c r="AK734" s="280"/>
      <c r="AS734" s="280"/>
    </row>
    <row r="735" customHeight="1" spans="8:45">
      <c r="H735" s="91"/>
      <c r="I735" s="7"/>
      <c r="J735" s="276"/>
      <c r="K735" s="91"/>
      <c r="L735" s="7"/>
      <c r="O735" s="277"/>
      <c r="P735" s="277"/>
      <c r="W735" s="277"/>
      <c r="X735" s="277"/>
      <c r="AK735" s="280"/>
      <c r="AS735" s="280"/>
    </row>
    <row r="736" customHeight="1" spans="8:45">
      <c r="H736" s="91"/>
      <c r="I736" s="7"/>
      <c r="J736" s="276"/>
      <c r="K736" s="91"/>
      <c r="L736" s="7"/>
      <c r="O736" s="277"/>
      <c r="P736" s="277"/>
      <c r="W736" s="277"/>
      <c r="X736" s="277"/>
      <c r="AK736" s="280"/>
      <c r="AS736" s="280"/>
    </row>
    <row r="737" customHeight="1" spans="8:45">
      <c r="H737" s="91"/>
      <c r="I737" s="7"/>
      <c r="J737" s="276"/>
      <c r="K737" s="91"/>
      <c r="L737" s="7"/>
      <c r="O737" s="277"/>
      <c r="P737" s="277"/>
      <c r="W737" s="277"/>
      <c r="X737" s="277"/>
      <c r="AK737" s="280"/>
      <c r="AS737" s="280"/>
    </row>
    <row r="738" customHeight="1" spans="8:45">
      <c r="H738" s="91"/>
      <c r="I738" s="7"/>
      <c r="J738" s="276"/>
      <c r="K738" s="91"/>
      <c r="L738" s="7"/>
      <c r="O738" s="277"/>
      <c r="P738" s="277"/>
      <c r="W738" s="277"/>
      <c r="X738" s="277"/>
      <c r="AK738" s="280"/>
      <c r="AS738" s="280"/>
    </row>
    <row r="739" customHeight="1" spans="8:45">
      <c r="H739" s="91"/>
      <c r="I739" s="7"/>
      <c r="J739" s="276"/>
      <c r="K739" s="91"/>
      <c r="L739" s="7"/>
      <c r="O739" s="277"/>
      <c r="P739" s="277"/>
      <c r="W739" s="277"/>
      <c r="X739" s="277"/>
      <c r="AK739" s="280"/>
      <c r="AS739" s="280"/>
    </row>
    <row r="740" customHeight="1" spans="8:45">
      <c r="H740" s="91"/>
      <c r="I740" s="7"/>
      <c r="J740" s="276"/>
      <c r="K740" s="91"/>
      <c r="L740" s="7"/>
      <c r="O740" s="277"/>
      <c r="P740" s="277"/>
      <c r="W740" s="277"/>
      <c r="X740" s="277"/>
      <c r="AK740" s="280"/>
      <c r="AS740" s="280"/>
    </row>
    <row r="741" customHeight="1" spans="8:45">
      <c r="H741" s="91"/>
      <c r="I741" s="7"/>
      <c r="J741" s="276"/>
      <c r="K741" s="91"/>
      <c r="L741" s="7"/>
      <c r="O741" s="277"/>
      <c r="P741" s="277"/>
      <c r="W741" s="277"/>
      <c r="X741" s="277"/>
      <c r="AK741" s="280"/>
      <c r="AS741" s="280"/>
    </row>
    <row r="742" customHeight="1" spans="8:45">
      <c r="H742" s="91"/>
      <c r="I742" s="7"/>
      <c r="J742" s="276"/>
      <c r="K742" s="91"/>
      <c r="L742" s="7"/>
      <c r="O742" s="277"/>
      <c r="P742" s="277"/>
      <c r="W742" s="277"/>
      <c r="X742" s="277"/>
      <c r="AK742" s="280"/>
      <c r="AS742" s="280"/>
    </row>
    <row r="743" customHeight="1" spans="8:45">
      <c r="H743" s="91"/>
      <c r="I743" s="7"/>
      <c r="J743" s="276"/>
      <c r="K743" s="91"/>
      <c r="L743" s="7"/>
      <c r="O743" s="277"/>
      <c r="P743" s="277"/>
      <c r="W743" s="277"/>
      <c r="X743" s="277"/>
      <c r="AK743" s="280"/>
      <c r="AS743" s="280"/>
    </row>
    <row r="744" customHeight="1" spans="8:45">
      <c r="H744" s="91"/>
      <c r="I744" s="7"/>
      <c r="J744" s="276"/>
      <c r="K744" s="91"/>
      <c r="L744" s="7"/>
      <c r="O744" s="277"/>
      <c r="P744" s="277"/>
      <c r="W744" s="277"/>
      <c r="X744" s="277"/>
      <c r="AK744" s="280"/>
      <c r="AS744" s="280"/>
    </row>
    <row r="745" customHeight="1" spans="8:45">
      <c r="H745" s="91"/>
      <c r="I745" s="7"/>
      <c r="J745" s="276"/>
      <c r="K745" s="91"/>
      <c r="L745" s="7"/>
      <c r="O745" s="277"/>
      <c r="P745" s="277"/>
      <c r="W745" s="277"/>
      <c r="X745" s="277"/>
      <c r="AK745" s="280"/>
      <c r="AS745" s="280"/>
    </row>
    <row r="746" customHeight="1" spans="8:45">
      <c r="H746" s="91"/>
      <c r="I746" s="7"/>
      <c r="J746" s="276"/>
      <c r="K746" s="91"/>
      <c r="L746" s="7"/>
      <c r="O746" s="277"/>
      <c r="P746" s="277"/>
      <c r="W746" s="277"/>
      <c r="X746" s="277"/>
      <c r="AK746" s="280"/>
      <c r="AS746" s="280"/>
    </row>
    <row r="747" customHeight="1" spans="8:45">
      <c r="H747" s="91"/>
      <c r="I747" s="7"/>
      <c r="J747" s="276"/>
      <c r="K747" s="91"/>
      <c r="L747" s="7"/>
      <c r="O747" s="277"/>
      <c r="P747" s="277"/>
      <c r="W747" s="277"/>
      <c r="X747" s="277"/>
      <c r="AK747" s="280"/>
      <c r="AS747" s="280"/>
    </row>
    <row r="748" customHeight="1" spans="8:45">
      <c r="H748" s="91"/>
      <c r="I748" s="7"/>
      <c r="J748" s="276"/>
      <c r="K748" s="91"/>
      <c r="L748" s="7"/>
      <c r="O748" s="277"/>
      <c r="P748" s="277"/>
      <c r="W748" s="277"/>
      <c r="X748" s="277"/>
      <c r="AK748" s="280"/>
      <c r="AS748" s="280"/>
    </row>
    <row r="749" customHeight="1" spans="8:45">
      <c r="H749" s="91"/>
      <c r="I749" s="7"/>
      <c r="J749" s="276"/>
      <c r="K749" s="91"/>
      <c r="L749" s="7"/>
      <c r="O749" s="277"/>
      <c r="P749" s="277"/>
      <c r="W749" s="277"/>
      <c r="X749" s="277"/>
      <c r="AK749" s="280"/>
      <c r="AS749" s="280"/>
    </row>
    <row r="750" customHeight="1" spans="8:45">
      <c r="H750" s="91"/>
      <c r="I750" s="7"/>
      <c r="J750" s="276"/>
      <c r="K750" s="91"/>
      <c r="L750" s="7"/>
      <c r="O750" s="277"/>
      <c r="P750" s="277"/>
      <c r="W750" s="277"/>
      <c r="X750" s="277"/>
      <c r="AK750" s="280"/>
      <c r="AS750" s="280"/>
    </row>
    <row r="751" customHeight="1" spans="8:45">
      <c r="H751" s="91"/>
      <c r="I751" s="7"/>
      <c r="J751" s="276"/>
      <c r="K751" s="91"/>
      <c r="L751" s="7"/>
      <c r="O751" s="277"/>
      <c r="P751" s="277"/>
      <c r="W751" s="277"/>
      <c r="X751" s="277"/>
      <c r="AK751" s="280"/>
      <c r="AS751" s="280"/>
    </row>
    <row r="752" customHeight="1" spans="8:45">
      <c r="H752" s="91"/>
      <c r="I752" s="7"/>
      <c r="J752" s="276"/>
      <c r="K752" s="91"/>
      <c r="L752" s="7"/>
      <c r="O752" s="277"/>
      <c r="P752" s="277"/>
      <c r="W752" s="277"/>
      <c r="X752" s="277"/>
      <c r="AK752" s="280"/>
      <c r="AS752" s="280"/>
    </row>
    <row r="753" customHeight="1" spans="8:45">
      <c r="H753" s="91"/>
      <c r="I753" s="7"/>
      <c r="J753" s="276"/>
      <c r="K753" s="91"/>
      <c r="L753" s="7"/>
      <c r="O753" s="277"/>
      <c r="P753" s="277"/>
      <c r="W753" s="277"/>
      <c r="X753" s="277"/>
      <c r="AK753" s="280"/>
      <c r="AS753" s="280"/>
    </row>
    <row r="754" customHeight="1" spans="8:45">
      <c r="H754" s="91"/>
      <c r="I754" s="7"/>
      <c r="J754" s="276"/>
      <c r="K754" s="91"/>
      <c r="L754" s="7"/>
      <c r="O754" s="277"/>
      <c r="P754" s="277"/>
      <c r="W754" s="277"/>
      <c r="X754" s="277"/>
      <c r="AK754" s="280"/>
      <c r="AS754" s="280"/>
    </row>
    <row r="755" customHeight="1" spans="8:45">
      <c r="H755" s="91"/>
      <c r="I755" s="7"/>
      <c r="J755" s="276"/>
      <c r="K755" s="91"/>
      <c r="L755" s="7"/>
      <c r="O755" s="277"/>
      <c r="P755" s="277"/>
      <c r="W755" s="277"/>
      <c r="X755" s="277"/>
      <c r="AK755" s="280"/>
      <c r="AS755" s="280"/>
    </row>
    <row r="756" customHeight="1" spans="8:45">
      <c r="H756" s="91"/>
      <c r="I756" s="7"/>
      <c r="J756" s="276"/>
      <c r="K756" s="91"/>
      <c r="L756" s="7"/>
      <c r="O756" s="277"/>
      <c r="P756" s="277"/>
      <c r="W756" s="277"/>
      <c r="X756" s="277"/>
      <c r="AK756" s="280"/>
      <c r="AS756" s="280"/>
    </row>
    <row r="757" customHeight="1" spans="8:45">
      <c r="H757" s="91"/>
      <c r="I757" s="7"/>
      <c r="J757" s="276"/>
      <c r="K757" s="91"/>
      <c r="L757" s="7"/>
      <c r="O757" s="277"/>
      <c r="P757" s="277"/>
      <c r="W757" s="277"/>
      <c r="X757" s="277"/>
      <c r="AK757" s="280"/>
      <c r="AS757" s="280"/>
    </row>
    <row r="758" customHeight="1" spans="8:45">
      <c r="H758" s="91"/>
      <c r="I758" s="7"/>
      <c r="J758" s="276"/>
      <c r="K758" s="91"/>
      <c r="L758" s="7"/>
      <c r="O758" s="277"/>
      <c r="P758" s="277"/>
      <c r="W758" s="277"/>
      <c r="X758" s="277"/>
      <c r="AK758" s="280"/>
      <c r="AS758" s="280"/>
    </row>
    <row r="759" customHeight="1" spans="8:45">
      <c r="H759" s="91"/>
      <c r="I759" s="7"/>
      <c r="J759" s="276"/>
      <c r="K759" s="91"/>
      <c r="L759" s="7"/>
      <c r="O759" s="277"/>
      <c r="P759" s="277"/>
      <c r="W759" s="277"/>
      <c r="X759" s="277"/>
      <c r="AK759" s="280"/>
      <c r="AS759" s="280"/>
    </row>
    <row r="760" customHeight="1" spans="8:45">
      <c r="H760" s="91"/>
      <c r="I760" s="7"/>
      <c r="J760" s="276"/>
      <c r="K760" s="91"/>
      <c r="L760" s="7"/>
      <c r="O760" s="277"/>
      <c r="P760" s="277"/>
      <c r="W760" s="277"/>
      <c r="X760" s="277"/>
      <c r="AK760" s="280"/>
      <c r="AS760" s="280"/>
    </row>
    <row r="761" customHeight="1" spans="8:45">
      <c r="H761" s="91"/>
      <c r="I761" s="7"/>
      <c r="J761" s="276"/>
      <c r="K761" s="91"/>
      <c r="L761" s="7"/>
      <c r="O761" s="277"/>
      <c r="P761" s="277"/>
      <c r="W761" s="277"/>
      <c r="X761" s="277"/>
      <c r="AK761" s="280"/>
      <c r="AS761" s="280"/>
    </row>
    <row r="762" customHeight="1" spans="8:45">
      <c r="H762" s="91"/>
      <c r="I762" s="7"/>
      <c r="J762" s="276"/>
      <c r="K762" s="91"/>
      <c r="L762" s="7"/>
      <c r="O762" s="277"/>
      <c r="P762" s="277"/>
      <c r="W762" s="277"/>
      <c r="X762" s="277"/>
      <c r="AK762" s="280"/>
      <c r="AS762" s="280"/>
    </row>
    <row r="763" customHeight="1" spans="8:45">
      <c r="H763" s="91"/>
      <c r="I763" s="7"/>
      <c r="J763" s="276"/>
      <c r="K763" s="91"/>
      <c r="L763" s="7"/>
      <c r="O763" s="277"/>
      <c r="P763" s="277"/>
      <c r="W763" s="277"/>
      <c r="X763" s="277"/>
      <c r="AK763" s="280"/>
      <c r="AS763" s="280"/>
    </row>
    <row r="764" customHeight="1" spans="8:45">
      <c r="H764" s="91"/>
      <c r="I764" s="7"/>
      <c r="J764" s="276"/>
      <c r="K764" s="91"/>
      <c r="L764" s="7"/>
      <c r="O764" s="277"/>
      <c r="P764" s="277"/>
      <c r="W764" s="277"/>
      <c r="X764" s="277"/>
      <c r="AK764" s="280"/>
      <c r="AS764" s="280"/>
    </row>
    <row r="765" customHeight="1" spans="8:45">
      <c r="H765" s="91"/>
      <c r="I765" s="7"/>
      <c r="J765" s="276"/>
      <c r="K765" s="91"/>
      <c r="L765" s="7"/>
      <c r="O765" s="277"/>
      <c r="P765" s="277"/>
      <c r="W765" s="277"/>
      <c r="X765" s="277"/>
      <c r="AK765" s="280"/>
      <c r="AS765" s="280"/>
    </row>
    <row r="766" customHeight="1" spans="8:45">
      <c r="H766" s="91"/>
      <c r="I766" s="7"/>
      <c r="J766" s="276"/>
      <c r="K766" s="91"/>
      <c r="L766" s="7"/>
      <c r="O766" s="277"/>
      <c r="P766" s="277"/>
      <c r="W766" s="277"/>
      <c r="X766" s="277"/>
      <c r="AK766" s="280"/>
      <c r="AS766" s="280"/>
    </row>
    <row r="767" customHeight="1" spans="8:45">
      <c r="H767" s="91"/>
      <c r="I767" s="7"/>
      <c r="J767" s="276"/>
      <c r="K767" s="91"/>
      <c r="L767" s="7"/>
      <c r="O767" s="277"/>
      <c r="P767" s="277"/>
      <c r="W767" s="277"/>
      <c r="X767" s="277"/>
      <c r="AK767" s="280"/>
      <c r="AS767" s="280"/>
    </row>
    <row r="768" customHeight="1" spans="8:45">
      <c r="H768" s="91"/>
      <c r="I768" s="7"/>
      <c r="J768" s="276"/>
      <c r="K768" s="91"/>
      <c r="L768" s="7"/>
      <c r="O768" s="277"/>
      <c r="P768" s="277"/>
      <c r="W768" s="277"/>
      <c r="X768" s="277"/>
      <c r="AK768" s="280"/>
      <c r="AS768" s="280"/>
    </row>
    <row r="769" customHeight="1" spans="8:45">
      <c r="H769" s="91"/>
      <c r="I769" s="7"/>
      <c r="J769" s="276"/>
      <c r="K769" s="91"/>
      <c r="L769" s="7"/>
      <c r="O769" s="277"/>
      <c r="P769" s="277"/>
      <c r="W769" s="277"/>
      <c r="X769" s="277"/>
      <c r="AK769" s="280"/>
      <c r="AS769" s="280"/>
    </row>
    <row r="770" customHeight="1" spans="8:45">
      <c r="H770" s="91"/>
      <c r="I770" s="7"/>
      <c r="J770" s="276"/>
      <c r="K770" s="91"/>
      <c r="L770" s="7"/>
      <c r="O770" s="277"/>
      <c r="P770" s="277"/>
      <c r="W770" s="277"/>
      <c r="X770" s="277"/>
      <c r="AK770" s="280"/>
      <c r="AS770" s="280"/>
    </row>
    <row r="771" customHeight="1" spans="8:45">
      <c r="H771" s="91"/>
      <c r="I771" s="7"/>
      <c r="J771" s="276"/>
      <c r="K771" s="91"/>
      <c r="L771" s="7"/>
      <c r="O771" s="277"/>
      <c r="P771" s="277"/>
      <c r="W771" s="277"/>
      <c r="X771" s="277"/>
      <c r="AK771" s="280"/>
      <c r="AS771" s="280"/>
    </row>
    <row r="772" customHeight="1" spans="8:45">
      <c r="H772" s="91"/>
      <c r="I772" s="7"/>
      <c r="J772" s="276"/>
      <c r="K772" s="91"/>
      <c r="L772" s="7"/>
      <c r="O772" s="277"/>
      <c r="P772" s="277"/>
      <c r="W772" s="277"/>
      <c r="X772" s="277"/>
      <c r="AK772" s="280"/>
      <c r="AS772" s="280"/>
    </row>
    <row r="773" customHeight="1" spans="8:45">
      <c r="H773" s="91"/>
      <c r="I773" s="7"/>
      <c r="J773" s="276"/>
      <c r="K773" s="91"/>
      <c r="L773" s="7"/>
      <c r="O773" s="277"/>
      <c r="P773" s="277"/>
      <c r="W773" s="277"/>
      <c r="X773" s="277"/>
      <c r="AK773" s="280"/>
      <c r="AS773" s="280"/>
    </row>
    <row r="774" customHeight="1" spans="8:45">
      <c r="H774" s="91"/>
      <c r="I774" s="7"/>
      <c r="J774" s="276"/>
      <c r="K774" s="91"/>
      <c r="L774" s="7"/>
      <c r="O774" s="277"/>
      <c r="P774" s="277"/>
      <c r="W774" s="277"/>
      <c r="X774" s="277"/>
      <c r="AK774" s="280"/>
      <c r="AS774" s="280"/>
    </row>
    <row r="775" customHeight="1" spans="8:45">
      <c r="H775" s="91"/>
      <c r="I775" s="7"/>
      <c r="J775" s="276"/>
      <c r="K775" s="91"/>
      <c r="L775" s="7"/>
      <c r="O775" s="277"/>
      <c r="P775" s="277"/>
      <c r="W775" s="277"/>
      <c r="X775" s="277"/>
      <c r="AK775" s="280"/>
      <c r="AS775" s="280"/>
    </row>
    <row r="776" customHeight="1" spans="8:45">
      <c r="H776" s="91"/>
      <c r="I776" s="7"/>
      <c r="J776" s="276"/>
      <c r="K776" s="91"/>
      <c r="L776" s="7"/>
      <c r="O776" s="277"/>
      <c r="P776" s="277"/>
      <c r="W776" s="277"/>
      <c r="X776" s="277"/>
      <c r="AK776" s="280"/>
      <c r="AS776" s="280"/>
    </row>
    <row r="777" customHeight="1" spans="8:45">
      <c r="H777" s="91"/>
      <c r="I777" s="7"/>
      <c r="J777" s="276"/>
      <c r="K777" s="91"/>
      <c r="L777" s="7"/>
      <c r="O777" s="277"/>
      <c r="P777" s="277"/>
      <c r="W777" s="277"/>
      <c r="X777" s="277"/>
      <c r="AK777" s="280"/>
      <c r="AS777" s="280"/>
    </row>
    <row r="778" customHeight="1" spans="8:45">
      <c r="H778" s="91"/>
      <c r="I778" s="7"/>
      <c r="J778" s="276"/>
      <c r="K778" s="91"/>
      <c r="L778" s="7"/>
      <c r="O778" s="277"/>
      <c r="P778" s="277"/>
      <c r="W778" s="277"/>
      <c r="X778" s="277"/>
      <c r="AK778" s="280"/>
      <c r="AS778" s="280"/>
    </row>
    <row r="779" customHeight="1" spans="8:45">
      <c r="H779" s="91"/>
      <c r="I779" s="7"/>
      <c r="J779" s="276"/>
      <c r="K779" s="91"/>
      <c r="L779" s="7"/>
      <c r="O779" s="277"/>
      <c r="P779" s="277"/>
      <c r="W779" s="277"/>
      <c r="X779" s="277"/>
      <c r="AK779" s="280"/>
      <c r="AS779" s="280"/>
    </row>
    <row r="780" customHeight="1" spans="8:45">
      <c r="H780" s="91"/>
      <c r="I780" s="7"/>
      <c r="J780" s="276"/>
      <c r="K780" s="91"/>
      <c r="L780" s="7"/>
      <c r="O780" s="277"/>
      <c r="P780" s="277"/>
      <c r="W780" s="277"/>
      <c r="X780" s="277"/>
      <c r="AK780" s="280"/>
      <c r="AS780" s="280"/>
    </row>
    <row r="781" customHeight="1" spans="8:45">
      <c r="H781" s="91"/>
      <c r="I781" s="7"/>
      <c r="J781" s="276"/>
      <c r="K781" s="91"/>
      <c r="L781" s="7"/>
      <c r="O781" s="277"/>
      <c r="P781" s="277"/>
      <c r="W781" s="277"/>
      <c r="X781" s="277"/>
      <c r="AK781" s="280"/>
      <c r="AS781" s="280"/>
    </row>
    <row r="782" customHeight="1" spans="8:45">
      <c r="H782" s="91"/>
      <c r="I782" s="7"/>
      <c r="J782" s="276"/>
      <c r="K782" s="91"/>
      <c r="L782" s="7"/>
      <c r="O782" s="277"/>
      <c r="P782" s="277"/>
      <c r="W782" s="277"/>
      <c r="X782" s="277"/>
      <c r="AK782" s="280"/>
      <c r="AS782" s="280"/>
    </row>
    <row r="783" customHeight="1" spans="8:45">
      <c r="H783" s="91"/>
      <c r="I783" s="7"/>
      <c r="J783" s="276"/>
      <c r="K783" s="91"/>
      <c r="L783" s="7"/>
      <c r="O783" s="277"/>
      <c r="P783" s="277"/>
      <c r="W783" s="277"/>
      <c r="X783" s="277"/>
      <c r="AK783" s="280"/>
      <c r="AS783" s="280"/>
    </row>
    <row r="784" customHeight="1" spans="8:45">
      <c r="H784" s="91"/>
      <c r="I784" s="7"/>
      <c r="J784" s="276"/>
      <c r="K784" s="91"/>
      <c r="L784" s="7"/>
      <c r="O784" s="277"/>
      <c r="P784" s="277"/>
      <c r="W784" s="277"/>
      <c r="X784" s="277"/>
      <c r="AK784" s="280"/>
      <c r="AS784" s="280"/>
    </row>
    <row r="785" customHeight="1" spans="8:45">
      <c r="H785" s="91"/>
      <c r="I785" s="7"/>
      <c r="J785" s="276"/>
      <c r="K785" s="91"/>
      <c r="L785" s="7"/>
      <c r="O785" s="277"/>
      <c r="P785" s="277"/>
      <c r="W785" s="277"/>
      <c r="X785" s="277"/>
      <c r="AK785" s="280"/>
      <c r="AS785" s="280"/>
    </row>
    <row r="786" customHeight="1" spans="8:45">
      <c r="H786" s="91"/>
      <c r="I786" s="7"/>
      <c r="J786" s="276"/>
      <c r="K786" s="91"/>
      <c r="L786" s="7"/>
      <c r="O786" s="277"/>
      <c r="P786" s="277"/>
      <c r="W786" s="277"/>
      <c r="X786" s="277"/>
      <c r="AK786" s="280"/>
      <c r="AS786" s="280"/>
    </row>
    <row r="787" customHeight="1" spans="8:45">
      <c r="H787" s="91"/>
      <c r="I787" s="7"/>
      <c r="J787" s="276"/>
      <c r="K787" s="91"/>
      <c r="L787" s="7"/>
      <c r="O787" s="277"/>
      <c r="P787" s="277"/>
      <c r="W787" s="277"/>
      <c r="X787" s="277"/>
      <c r="AK787" s="280"/>
      <c r="AS787" s="280"/>
    </row>
    <row r="788" customHeight="1" spans="8:45">
      <c r="H788" s="91"/>
      <c r="I788" s="7"/>
      <c r="J788" s="276"/>
      <c r="K788" s="91"/>
      <c r="L788" s="7"/>
      <c r="O788" s="277"/>
      <c r="P788" s="277"/>
      <c r="W788" s="277"/>
      <c r="X788" s="277"/>
      <c r="AK788" s="280"/>
      <c r="AS788" s="280"/>
    </row>
    <row r="789" customHeight="1" spans="8:45">
      <c r="H789" s="91"/>
      <c r="I789" s="7"/>
      <c r="J789" s="276"/>
      <c r="K789" s="91"/>
      <c r="L789" s="7"/>
      <c r="O789" s="277"/>
      <c r="P789" s="277"/>
      <c r="W789" s="277"/>
      <c r="X789" s="277"/>
      <c r="AK789" s="280"/>
      <c r="AS789" s="280"/>
    </row>
    <row r="790" customHeight="1" spans="8:45">
      <c r="H790" s="91"/>
      <c r="I790" s="7"/>
      <c r="J790" s="276"/>
      <c r="K790" s="91"/>
      <c r="L790" s="7"/>
      <c r="O790" s="277"/>
      <c r="P790" s="277"/>
      <c r="W790" s="277"/>
      <c r="X790" s="277"/>
      <c r="AK790" s="280"/>
      <c r="AS790" s="280"/>
    </row>
    <row r="791" customHeight="1" spans="8:45">
      <c r="H791" s="91"/>
      <c r="I791" s="7"/>
      <c r="J791" s="276"/>
      <c r="K791" s="91"/>
      <c r="L791" s="7"/>
      <c r="O791" s="277"/>
      <c r="P791" s="277"/>
      <c r="W791" s="277"/>
      <c r="X791" s="277"/>
      <c r="AK791" s="280"/>
      <c r="AS791" s="280"/>
    </row>
    <row r="792" customHeight="1" spans="8:45">
      <c r="H792" s="91"/>
      <c r="I792" s="7"/>
      <c r="J792" s="276"/>
      <c r="K792" s="91"/>
      <c r="L792" s="7"/>
      <c r="O792" s="277"/>
      <c r="P792" s="277"/>
      <c r="W792" s="277"/>
      <c r="X792" s="277"/>
      <c r="AK792" s="280"/>
      <c r="AS792" s="280"/>
    </row>
    <row r="793" customHeight="1" spans="8:45">
      <c r="H793" s="91"/>
      <c r="I793" s="7"/>
      <c r="J793" s="276"/>
      <c r="K793" s="91"/>
      <c r="L793" s="7"/>
      <c r="O793" s="277"/>
      <c r="P793" s="277"/>
      <c r="W793" s="277"/>
      <c r="X793" s="277"/>
      <c r="AK793" s="280"/>
      <c r="AS793" s="280"/>
    </row>
    <row r="794" customHeight="1" spans="8:45">
      <c r="H794" s="91"/>
      <c r="I794" s="7"/>
      <c r="J794" s="276"/>
      <c r="K794" s="91"/>
      <c r="L794" s="7"/>
      <c r="O794" s="277"/>
      <c r="P794" s="277"/>
      <c r="W794" s="277"/>
      <c r="X794" s="277"/>
      <c r="AK794" s="280"/>
      <c r="AS794" s="280"/>
    </row>
    <row r="795" customHeight="1" spans="8:45">
      <c r="H795" s="91"/>
      <c r="I795" s="7"/>
      <c r="J795" s="276"/>
      <c r="K795" s="91"/>
      <c r="L795" s="7"/>
      <c r="O795" s="277"/>
      <c r="P795" s="277"/>
      <c r="W795" s="277"/>
      <c r="X795" s="277"/>
      <c r="AK795" s="280"/>
      <c r="AS795" s="280"/>
    </row>
    <row r="796" customHeight="1" spans="8:45">
      <c r="H796" s="91"/>
      <c r="I796" s="7"/>
      <c r="J796" s="276"/>
      <c r="K796" s="91"/>
      <c r="L796" s="7"/>
      <c r="O796" s="277"/>
      <c r="P796" s="277"/>
      <c r="W796" s="277"/>
      <c r="X796" s="277"/>
      <c r="AK796" s="280"/>
      <c r="AS796" s="280"/>
    </row>
    <row r="797" customHeight="1" spans="8:45">
      <c r="H797" s="91"/>
      <c r="I797" s="7"/>
      <c r="J797" s="276"/>
      <c r="K797" s="91"/>
      <c r="L797" s="7"/>
      <c r="O797" s="277"/>
      <c r="P797" s="277"/>
      <c r="W797" s="277"/>
      <c r="X797" s="277"/>
      <c r="AK797" s="280"/>
      <c r="AS797" s="280"/>
    </row>
    <row r="798" customHeight="1" spans="8:45">
      <c r="H798" s="91"/>
      <c r="I798" s="7"/>
      <c r="J798" s="276"/>
      <c r="K798" s="91"/>
      <c r="L798" s="7"/>
      <c r="O798" s="277"/>
      <c r="P798" s="277"/>
      <c r="W798" s="277"/>
      <c r="X798" s="277"/>
      <c r="AK798" s="280"/>
      <c r="AS798" s="280"/>
    </row>
    <row r="799" customHeight="1" spans="8:45">
      <c r="H799" s="91"/>
      <c r="I799" s="7"/>
      <c r="J799" s="276"/>
      <c r="K799" s="91"/>
      <c r="L799" s="7"/>
      <c r="O799" s="277"/>
      <c r="P799" s="277"/>
      <c r="W799" s="277"/>
      <c r="X799" s="277"/>
      <c r="AK799" s="280"/>
      <c r="AS799" s="280"/>
    </row>
    <row r="800" customHeight="1" spans="8:45">
      <c r="H800" s="91"/>
      <c r="I800" s="7"/>
      <c r="J800" s="276"/>
      <c r="K800" s="91"/>
      <c r="L800" s="7"/>
      <c r="O800" s="277"/>
      <c r="P800" s="277"/>
      <c r="W800" s="277"/>
      <c r="X800" s="277"/>
      <c r="AK800" s="280"/>
      <c r="AS800" s="280"/>
    </row>
    <row r="801" customHeight="1" spans="8:45">
      <c r="H801" s="91"/>
      <c r="I801" s="7"/>
      <c r="J801" s="276"/>
      <c r="K801" s="91"/>
      <c r="L801" s="7"/>
      <c r="O801" s="277"/>
      <c r="P801" s="277"/>
      <c r="W801" s="277"/>
      <c r="X801" s="277"/>
      <c r="AK801" s="280"/>
      <c r="AS801" s="280"/>
    </row>
    <row r="802" customHeight="1" spans="8:45">
      <c r="H802" s="91"/>
      <c r="I802" s="7"/>
      <c r="J802" s="276"/>
      <c r="K802" s="91"/>
      <c r="L802" s="7"/>
      <c r="O802" s="277"/>
      <c r="P802" s="277"/>
      <c r="W802" s="277"/>
      <c r="X802" s="277"/>
      <c r="AK802" s="280"/>
      <c r="AS802" s="280"/>
    </row>
    <row r="803" customHeight="1" spans="8:45">
      <c r="H803" s="91"/>
      <c r="I803" s="7"/>
      <c r="J803" s="276"/>
      <c r="K803" s="91"/>
      <c r="L803" s="7"/>
      <c r="O803" s="277"/>
      <c r="P803" s="277"/>
      <c r="W803" s="277"/>
      <c r="X803" s="277"/>
      <c r="AK803" s="280"/>
      <c r="AS803" s="280"/>
    </row>
    <row r="804" customHeight="1" spans="8:45">
      <c r="H804" s="91"/>
      <c r="I804" s="7"/>
      <c r="J804" s="276"/>
      <c r="K804" s="91"/>
      <c r="L804" s="7"/>
      <c r="O804" s="277"/>
      <c r="P804" s="277"/>
      <c r="W804" s="277"/>
      <c r="X804" s="277"/>
      <c r="AK804" s="280"/>
      <c r="AS804" s="280"/>
    </row>
    <row r="805" customHeight="1" spans="8:45">
      <c r="H805" s="91"/>
      <c r="I805" s="7"/>
      <c r="J805" s="276"/>
      <c r="K805" s="91"/>
      <c r="L805" s="7"/>
      <c r="O805" s="277"/>
      <c r="P805" s="277"/>
      <c r="W805" s="277"/>
      <c r="X805" s="277"/>
      <c r="AK805" s="280"/>
      <c r="AS805" s="280"/>
    </row>
    <row r="806" customHeight="1" spans="8:45">
      <c r="H806" s="91"/>
      <c r="I806" s="7"/>
      <c r="J806" s="276"/>
      <c r="K806" s="91"/>
      <c r="L806" s="7"/>
      <c r="O806" s="277"/>
      <c r="P806" s="277"/>
      <c r="W806" s="277"/>
      <c r="X806" s="277"/>
      <c r="AK806" s="280"/>
      <c r="AS806" s="280"/>
    </row>
    <row r="807" customHeight="1" spans="8:45">
      <c r="H807" s="91"/>
      <c r="I807" s="7"/>
      <c r="J807" s="276"/>
      <c r="K807" s="91"/>
      <c r="L807" s="7"/>
      <c r="O807" s="277"/>
      <c r="P807" s="277"/>
      <c r="W807" s="277"/>
      <c r="X807" s="277"/>
      <c r="AK807" s="280"/>
      <c r="AS807" s="280"/>
    </row>
    <row r="808" customHeight="1" spans="8:45">
      <c r="H808" s="91"/>
      <c r="I808" s="7"/>
      <c r="J808" s="276"/>
      <c r="K808" s="91"/>
      <c r="L808" s="7"/>
      <c r="O808" s="277"/>
      <c r="P808" s="277"/>
      <c r="W808" s="277"/>
      <c r="X808" s="277"/>
      <c r="AK808" s="280"/>
      <c r="AS808" s="280"/>
    </row>
    <row r="809" customHeight="1" spans="8:45">
      <c r="H809" s="91"/>
      <c r="I809" s="7"/>
      <c r="J809" s="276"/>
      <c r="K809" s="91"/>
      <c r="L809" s="7"/>
      <c r="O809" s="277"/>
      <c r="P809" s="277"/>
      <c r="W809" s="277"/>
      <c r="X809" s="277"/>
      <c r="AK809" s="280"/>
      <c r="AS809" s="280"/>
    </row>
    <row r="810" customHeight="1" spans="8:45">
      <c r="H810" s="91"/>
      <c r="I810" s="7"/>
      <c r="J810" s="276"/>
      <c r="K810" s="91"/>
      <c r="L810" s="7"/>
      <c r="O810" s="277"/>
      <c r="P810" s="277"/>
      <c r="W810" s="277"/>
      <c r="X810" s="277"/>
      <c r="AK810" s="280"/>
      <c r="AS810" s="280"/>
    </row>
    <row r="811" customHeight="1" spans="8:45">
      <c r="H811" s="91"/>
      <c r="I811" s="7"/>
      <c r="J811" s="276"/>
      <c r="K811" s="91"/>
      <c r="L811" s="7"/>
      <c r="O811" s="277"/>
      <c r="P811" s="277"/>
      <c r="W811" s="277"/>
      <c r="X811" s="277"/>
      <c r="AK811" s="280"/>
      <c r="AS811" s="280"/>
    </row>
    <row r="812" customHeight="1" spans="8:45">
      <c r="H812" s="91"/>
      <c r="I812" s="7"/>
      <c r="J812" s="276"/>
      <c r="K812" s="91"/>
      <c r="L812" s="7"/>
      <c r="O812" s="277"/>
      <c r="P812" s="277"/>
      <c r="W812" s="277"/>
      <c r="X812" s="277"/>
      <c r="AK812" s="280"/>
      <c r="AS812" s="280"/>
    </row>
    <row r="813" customHeight="1" spans="8:45">
      <c r="H813" s="91"/>
      <c r="I813" s="7"/>
      <c r="J813" s="276"/>
      <c r="K813" s="91"/>
      <c r="L813" s="7"/>
      <c r="O813" s="277"/>
      <c r="P813" s="277"/>
      <c r="W813" s="277"/>
      <c r="X813" s="277"/>
      <c r="AK813" s="280"/>
      <c r="AS813" s="280"/>
    </row>
    <row r="814" customHeight="1" spans="8:45">
      <c r="H814" s="91"/>
      <c r="I814" s="7"/>
      <c r="J814" s="276"/>
      <c r="K814" s="91"/>
      <c r="L814" s="7"/>
      <c r="O814" s="277"/>
      <c r="P814" s="277"/>
      <c r="W814" s="277"/>
      <c r="X814" s="277"/>
      <c r="AK814" s="280"/>
      <c r="AS814" s="280"/>
    </row>
    <row r="815" customHeight="1" spans="8:45">
      <c r="H815" s="91"/>
      <c r="I815" s="7"/>
      <c r="J815" s="276"/>
      <c r="K815" s="91"/>
      <c r="L815" s="7"/>
      <c r="O815" s="277"/>
      <c r="P815" s="277"/>
      <c r="W815" s="277"/>
      <c r="X815" s="277"/>
      <c r="AK815" s="280"/>
      <c r="AS815" s="280"/>
    </row>
    <row r="816" customHeight="1" spans="8:45">
      <c r="H816" s="91"/>
      <c r="I816" s="7"/>
      <c r="J816" s="276"/>
      <c r="K816" s="91"/>
      <c r="L816" s="7"/>
      <c r="O816" s="277"/>
      <c r="P816" s="277"/>
      <c r="W816" s="277"/>
      <c r="X816" s="277"/>
      <c r="AK816" s="280"/>
      <c r="AS816" s="280"/>
    </row>
    <row r="817" customHeight="1" spans="8:45">
      <c r="H817" s="91"/>
      <c r="I817" s="7"/>
      <c r="J817" s="276"/>
      <c r="K817" s="91"/>
      <c r="L817" s="7"/>
      <c r="O817" s="277"/>
      <c r="P817" s="277"/>
      <c r="W817" s="277"/>
      <c r="X817" s="277"/>
      <c r="AK817" s="280"/>
      <c r="AS817" s="280"/>
    </row>
    <row r="818" customHeight="1" spans="8:45">
      <c r="H818" s="91"/>
      <c r="I818" s="7"/>
      <c r="J818" s="276"/>
      <c r="K818" s="91"/>
      <c r="L818" s="7"/>
      <c r="O818" s="277"/>
      <c r="P818" s="277"/>
      <c r="W818" s="277"/>
      <c r="X818" s="277"/>
      <c r="AK818" s="280"/>
      <c r="AS818" s="280"/>
    </row>
    <row r="819" customHeight="1" spans="8:45">
      <c r="H819" s="91"/>
      <c r="I819" s="7"/>
      <c r="J819" s="276"/>
      <c r="K819" s="91"/>
      <c r="L819" s="7"/>
      <c r="O819" s="277"/>
      <c r="P819" s="277"/>
      <c r="W819" s="277"/>
      <c r="X819" s="277"/>
      <c r="AK819" s="280"/>
      <c r="AS819" s="280"/>
    </row>
    <row r="820" customHeight="1" spans="8:45">
      <c r="H820" s="91"/>
      <c r="I820" s="7"/>
      <c r="J820" s="276"/>
      <c r="K820" s="91"/>
      <c r="L820" s="7"/>
      <c r="O820" s="277"/>
      <c r="P820" s="277"/>
      <c r="W820" s="277"/>
      <c r="X820" s="277"/>
      <c r="AK820" s="280"/>
      <c r="AS820" s="280"/>
    </row>
    <row r="821" customHeight="1" spans="8:45">
      <c r="H821" s="91"/>
      <c r="I821" s="7"/>
      <c r="J821" s="276"/>
      <c r="K821" s="91"/>
      <c r="L821" s="7"/>
      <c r="O821" s="277"/>
      <c r="P821" s="277"/>
      <c r="W821" s="277"/>
      <c r="X821" s="277"/>
      <c r="AK821" s="280"/>
      <c r="AS821" s="280"/>
    </row>
    <row r="822" customHeight="1" spans="8:45">
      <c r="H822" s="91"/>
      <c r="I822" s="7"/>
      <c r="J822" s="276"/>
      <c r="K822" s="91"/>
      <c r="L822" s="7"/>
      <c r="O822" s="277"/>
      <c r="P822" s="277"/>
      <c r="W822" s="277"/>
      <c r="X822" s="277"/>
      <c r="AK822" s="280"/>
      <c r="AS822" s="280"/>
    </row>
    <row r="823" customHeight="1" spans="8:45">
      <c r="H823" s="91"/>
      <c r="I823" s="7"/>
      <c r="J823" s="276"/>
      <c r="K823" s="91"/>
      <c r="L823" s="7"/>
      <c r="O823" s="277"/>
      <c r="P823" s="277"/>
      <c r="W823" s="277"/>
      <c r="X823" s="277"/>
      <c r="AK823" s="280"/>
      <c r="AS823" s="280"/>
    </row>
    <row r="824" customHeight="1" spans="8:45">
      <c r="H824" s="91"/>
      <c r="I824" s="7"/>
      <c r="J824" s="276"/>
      <c r="K824" s="91"/>
      <c r="L824" s="7"/>
      <c r="O824" s="277"/>
      <c r="P824" s="277"/>
      <c r="W824" s="277"/>
      <c r="X824" s="277"/>
      <c r="AK824" s="280"/>
      <c r="AS824" s="280"/>
    </row>
    <row r="825" customHeight="1" spans="8:45">
      <c r="H825" s="91"/>
      <c r="I825" s="7"/>
      <c r="J825" s="276"/>
      <c r="K825" s="91"/>
      <c r="L825" s="7"/>
      <c r="O825" s="277"/>
      <c r="P825" s="277"/>
      <c r="W825" s="277"/>
      <c r="X825" s="277"/>
      <c r="AK825" s="280"/>
      <c r="AS825" s="280"/>
    </row>
    <row r="826" customHeight="1" spans="8:45">
      <c r="H826" s="91"/>
      <c r="I826" s="7"/>
      <c r="J826" s="276"/>
      <c r="K826" s="91"/>
      <c r="L826" s="7"/>
      <c r="O826" s="277"/>
      <c r="P826" s="277"/>
      <c r="W826" s="277"/>
      <c r="X826" s="277"/>
      <c r="AK826" s="280"/>
      <c r="AS826" s="280"/>
    </row>
    <row r="827" customHeight="1" spans="8:45">
      <c r="H827" s="91"/>
      <c r="I827" s="7"/>
      <c r="J827" s="276"/>
      <c r="K827" s="91"/>
      <c r="L827" s="7"/>
      <c r="O827" s="277"/>
      <c r="P827" s="277"/>
      <c r="W827" s="277"/>
      <c r="X827" s="277"/>
      <c r="AK827" s="280"/>
      <c r="AS827" s="280"/>
    </row>
    <row r="828" customHeight="1" spans="8:45">
      <c r="H828" s="91"/>
      <c r="I828" s="7"/>
      <c r="J828" s="276"/>
      <c r="K828" s="91"/>
      <c r="L828" s="7"/>
      <c r="O828" s="277"/>
      <c r="P828" s="277"/>
      <c r="W828" s="277"/>
      <c r="X828" s="277"/>
      <c r="AK828" s="280"/>
      <c r="AS828" s="280"/>
    </row>
    <row r="829" customHeight="1" spans="8:45">
      <c r="H829" s="91"/>
      <c r="I829" s="7"/>
      <c r="J829" s="276"/>
      <c r="K829" s="91"/>
      <c r="L829" s="7"/>
      <c r="O829" s="277"/>
      <c r="P829" s="277"/>
      <c r="W829" s="277"/>
      <c r="X829" s="277"/>
      <c r="AK829" s="280"/>
      <c r="AS829" s="280"/>
    </row>
    <row r="830" customHeight="1" spans="8:45">
      <c r="H830" s="91"/>
      <c r="I830" s="7"/>
      <c r="J830" s="276"/>
      <c r="K830" s="91"/>
      <c r="L830" s="7"/>
      <c r="O830" s="277"/>
      <c r="P830" s="277"/>
      <c r="W830" s="277"/>
      <c r="X830" s="277"/>
      <c r="AK830" s="280"/>
      <c r="AS830" s="280"/>
    </row>
    <row r="831" customHeight="1" spans="8:45">
      <c r="H831" s="91"/>
      <c r="I831" s="7"/>
      <c r="J831" s="276"/>
      <c r="K831" s="91"/>
      <c r="L831" s="7"/>
      <c r="O831" s="277"/>
      <c r="P831" s="277"/>
      <c r="W831" s="277"/>
      <c r="X831" s="277"/>
      <c r="AK831" s="280"/>
      <c r="AS831" s="280"/>
    </row>
    <row r="832" customHeight="1" spans="8:45">
      <c r="H832" s="91"/>
      <c r="I832" s="7"/>
      <c r="J832" s="276"/>
      <c r="K832" s="91"/>
      <c r="L832" s="7"/>
      <c r="O832" s="277"/>
      <c r="P832" s="277"/>
      <c r="W832" s="277"/>
      <c r="X832" s="277"/>
      <c r="AK832" s="280"/>
      <c r="AS832" s="280"/>
    </row>
    <row r="833" customHeight="1" spans="8:45">
      <c r="H833" s="91"/>
      <c r="I833" s="7"/>
      <c r="J833" s="276"/>
      <c r="K833" s="91"/>
      <c r="L833" s="7"/>
      <c r="O833" s="277"/>
      <c r="P833" s="277"/>
      <c r="W833" s="277"/>
      <c r="X833" s="277"/>
      <c r="AK833" s="280"/>
      <c r="AS833" s="280"/>
    </row>
    <row r="834" customHeight="1" spans="8:45">
      <c r="H834" s="91"/>
      <c r="I834" s="7"/>
      <c r="J834" s="276"/>
      <c r="K834" s="91"/>
      <c r="L834" s="7"/>
      <c r="O834" s="277"/>
      <c r="P834" s="277"/>
      <c r="W834" s="277"/>
      <c r="X834" s="277"/>
      <c r="AK834" s="280"/>
      <c r="AS834" s="280"/>
    </row>
    <row r="835" customHeight="1" spans="8:45">
      <c r="H835" s="91"/>
      <c r="I835" s="7"/>
      <c r="J835" s="276"/>
      <c r="K835" s="91"/>
      <c r="L835" s="7"/>
      <c r="O835" s="277"/>
      <c r="P835" s="277"/>
      <c r="W835" s="277"/>
      <c r="X835" s="277"/>
      <c r="AK835" s="280"/>
      <c r="AS835" s="280"/>
    </row>
    <row r="836" customHeight="1" spans="8:45">
      <c r="H836" s="91"/>
      <c r="I836" s="7"/>
      <c r="J836" s="276"/>
      <c r="K836" s="91"/>
      <c r="L836" s="7"/>
      <c r="O836" s="277"/>
      <c r="P836" s="277"/>
      <c r="W836" s="277"/>
      <c r="X836" s="277"/>
      <c r="AK836" s="280"/>
      <c r="AS836" s="280"/>
    </row>
    <row r="837" customHeight="1" spans="8:45">
      <c r="H837" s="91"/>
      <c r="I837" s="7"/>
      <c r="J837" s="276"/>
      <c r="K837" s="91"/>
      <c r="L837" s="7"/>
      <c r="O837" s="277"/>
      <c r="P837" s="277"/>
      <c r="W837" s="277"/>
      <c r="X837" s="277"/>
      <c r="AK837" s="280"/>
      <c r="AS837" s="280"/>
    </row>
    <row r="838" customHeight="1" spans="8:45">
      <c r="H838" s="91"/>
      <c r="I838" s="7"/>
      <c r="J838" s="276"/>
      <c r="K838" s="91"/>
      <c r="L838" s="7"/>
      <c r="O838" s="277"/>
      <c r="P838" s="277"/>
      <c r="W838" s="277"/>
      <c r="X838" s="277"/>
      <c r="AK838" s="280"/>
      <c r="AS838" s="280"/>
    </row>
    <row r="839" customHeight="1" spans="8:45">
      <c r="H839" s="91"/>
      <c r="I839" s="7"/>
      <c r="J839" s="276"/>
      <c r="K839" s="91"/>
      <c r="L839" s="7"/>
      <c r="O839" s="277"/>
      <c r="P839" s="277"/>
      <c r="W839" s="277"/>
      <c r="X839" s="277"/>
      <c r="AK839" s="280"/>
      <c r="AS839" s="280"/>
    </row>
    <row r="840" customHeight="1" spans="8:45">
      <c r="H840" s="91"/>
      <c r="I840" s="7"/>
      <c r="J840" s="276"/>
      <c r="K840" s="91"/>
      <c r="L840" s="7"/>
      <c r="O840" s="277"/>
      <c r="P840" s="277"/>
      <c r="W840" s="277"/>
      <c r="X840" s="277"/>
      <c r="AK840" s="280"/>
      <c r="AS840" s="280"/>
    </row>
    <row r="841" customHeight="1" spans="8:45">
      <c r="H841" s="91"/>
      <c r="I841" s="7"/>
      <c r="J841" s="276"/>
      <c r="K841" s="91"/>
      <c r="L841" s="7"/>
      <c r="O841" s="277"/>
      <c r="P841" s="277"/>
      <c r="W841" s="277"/>
      <c r="X841" s="277"/>
      <c r="AK841" s="280"/>
      <c r="AS841" s="280"/>
    </row>
    <row r="842" customHeight="1" spans="8:45">
      <c r="H842" s="91"/>
      <c r="I842" s="7"/>
      <c r="J842" s="276"/>
      <c r="K842" s="91"/>
      <c r="L842" s="7"/>
      <c r="O842" s="277"/>
      <c r="P842" s="277"/>
      <c r="W842" s="277"/>
      <c r="X842" s="277"/>
      <c r="AK842" s="280"/>
      <c r="AS842" s="280"/>
    </row>
    <row r="843" customHeight="1" spans="8:45">
      <c r="H843" s="91"/>
      <c r="I843" s="7"/>
      <c r="J843" s="276"/>
      <c r="K843" s="91"/>
      <c r="L843" s="7"/>
      <c r="O843" s="277"/>
      <c r="P843" s="277"/>
      <c r="W843" s="277"/>
      <c r="X843" s="277"/>
      <c r="AK843" s="280"/>
      <c r="AS843" s="280"/>
    </row>
    <row r="844" customHeight="1" spans="8:45">
      <c r="H844" s="91"/>
      <c r="I844" s="7"/>
      <c r="J844" s="276"/>
      <c r="K844" s="91"/>
      <c r="L844" s="7"/>
      <c r="O844" s="277"/>
      <c r="P844" s="277"/>
      <c r="W844" s="277"/>
      <c r="X844" s="277"/>
      <c r="AK844" s="280"/>
      <c r="AS844" s="280"/>
    </row>
    <row r="845" customHeight="1" spans="8:45">
      <c r="H845" s="91"/>
      <c r="I845" s="7"/>
      <c r="J845" s="276"/>
      <c r="K845" s="91"/>
      <c r="L845" s="7"/>
      <c r="O845" s="277"/>
      <c r="P845" s="277"/>
      <c r="W845" s="277"/>
      <c r="X845" s="277"/>
      <c r="AK845" s="280"/>
      <c r="AS845" s="280"/>
    </row>
    <row r="846" customHeight="1" spans="8:45">
      <c r="H846" s="91"/>
      <c r="I846" s="7"/>
      <c r="J846" s="276"/>
      <c r="K846" s="91"/>
      <c r="L846" s="7"/>
      <c r="O846" s="277"/>
      <c r="P846" s="277"/>
      <c r="W846" s="277"/>
      <c r="X846" s="277"/>
      <c r="AK846" s="280"/>
      <c r="AS846" s="280"/>
    </row>
    <row r="847" customHeight="1" spans="8:45">
      <c r="H847" s="91"/>
      <c r="I847" s="7"/>
      <c r="J847" s="276"/>
      <c r="K847" s="91"/>
      <c r="L847" s="7"/>
      <c r="O847" s="277"/>
      <c r="P847" s="277"/>
      <c r="W847" s="277"/>
      <c r="X847" s="277"/>
      <c r="AK847" s="280"/>
      <c r="AS847" s="280"/>
    </row>
    <row r="848" customHeight="1" spans="8:45">
      <c r="H848" s="91"/>
      <c r="I848" s="7"/>
      <c r="J848" s="276"/>
      <c r="K848" s="91"/>
      <c r="L848" s="7"/>
      <c r="O848" s="277"/>
      <c r="P848" s="277"/>
      <c r="W848" s="277"/>
      <c r="X848" s="277"/>
      <c r="AK848" s="280"/>
      <c r="AS848" s="280"/>
    </row>
    <row r="849" customHeight="1" spans="8:45">
      <c r="H849" s="91"/>
      <c r="I849" s="7"/>
      <c r="J849" s="276"/>
      <c r="K849" s="91"/>
      <c r="L849" s="7"/>
      <c r="O849" s="277"/>
      <c r="P849" s="277"/>
      <c r="W849" s="277"/>
      <c r="X849" s="277"/>
      <c r="AK849" s="280"/>
      <c r="AS849" s="280"/>
    </row>
    <row r="850" customHeight="1" spans="8:45">
      <c r="H850" s="91"/>
      <c r="I850" s="7"/>
      <c r="J850" s="276"/>
      <c r="K850" s="91"/>
      <c r="L850" s="7"/>
      <c r="O850" s="277"/>
      <c r="P850" s="277"/>
      <c r="W850" s="277"/>
      <c r="X850" s="277"/>
      <c r="AK850" s="280"/>
      <c r="AS850" s="280"/>
    </row>
    <row r="851" customHeight="1" spans="8:45">
      <c r="H851" s="91"/>
      <c r="I851" s="7"/>
      <c r="J851" s="276"/>
      <c r="K851" s="91"/>
      <c r="L851" s="7"/>
      <c r="O851" s="277"/>
      <c r="P851" s="277"/>
      <c r="W851" s="277"/>
      <c r="X851" s="277"/>
      <c r="AK851" s="280"/>
      <c r="AS851" s="280"/>
    </row>
    <row r="852" customHeight="1" spans="8:45">
      <c r="H852" s="91"/>
      <c r="I852" s="7"/>
      <c r="J852" s="276"/>
      <c r="K852" s="91"/>
      <c r="L852" s="7"/>
      <c r="O852" s="277"/>
      <c r="P852" s="277"/>
      <c r="W852" s="277"/>
      <c r="X852" s="277"/>
      <c r="AK852" s="280"/>
      <c r="AS852" s="280"/>
    </row>
    <row r="853" customHeight="1" spans="8:45">
      <c r="H853" s="91"/>
      <c r="I853" s="7"/>
      <c r="J853" s="276"/>
      <c r="K853" s="91"/>
      <c r="L853" s="7"/>
      <c r="O853" s="277"/>
      <c r="P853" s="277"/>
      <c r="W853" s="277"/>
      <c r="X853" s="277"/>
      <c r="AK853" s="280"/>
      <c r="AS853" s="280"/>
    </row>
    <row r="854" customHeight="1" spans="8:45">
      <c r="H854" s="91"/>
      <c r="I854" s="7"/>
      <c r="J854" s="276"/>
      <c r="K854" s="91"/>
      <c r="L854" s="7"/>
      <c r="O854" s="277"/>
      <c r="P854" s="277"/>
      <c r="W854" s="277"/>
      <c r="X854" s="277"/>
      <c r="AK854" s="280"/>
      <c r="AS854" s="280"/>
    </row>
    <row r="855" customHeight="1" spans="8:45">
      <c r="H855" s="91"/>
      <c r="I855" s="7"/>
      <c r="J855" s="276"/>
      <c r="K855" s="91"/>
      <c r="L855" s="7"/>
      <c r="O855" s="277"/>
      <c r="P855" s="277"/>
      <c r="W855" s="277"/>
      <c r="X855" s="277"/>
      <c r="AK855" s="280"/>
      <c r="AS855" s="280"/>
    </row>
    <row r="856" customHeight="1" spans="8:45">
      <c r="H856" s="91"/>
      <c r="I856" s="7"/>
      <c r="J856" s="276"/>
      <c r="K856" s="91"/>
      <c r="L856" s="7"/>
      <c r="O856" s="277"/>
      <c r="P856" s="277"/>
      <c r="W856" s="277"/>
      <c r="X856" s="277"/>
      <c r="AK856" s="280"/>
      <c r="AS856" s="280"/>
    </row>
    <row r="857" customHeight="1" spans="8:45">
      <c r="H857" s="91"/>
      <c r="I857" s="7"/>
      <c r="J857" s="276"/>
      <c r="K857" s="91"/>
      <c r="L857" s="7"/>
      <c r="O857" s="277"/>
      <c r="P857" s="277"/>
      <c r="W857" s="277"/>
      <c r="X857" s="277"/>
      <c r="AK857" s="280"/>
      <c r="AS857" s="280"/>
    </row>
    <row r="858" customHeight="1" spans="8:45">
      <c r="H858" s="91"/>
      <c r="I858" s="7"/>
      <c r="J858" s="276"/>
      <c r="K858" s="91"/>
      <c r="L858" s="7"/>
      <c r="O858" s="277"/>
      <c r="P858" s="277"/>
      <c r="W858" s="277"/>
      <c r="X858" s="277"/>
      <c r="AK858" s="280"/>
      <c r="AS858" s="280"/>
    </row>
    <row r="859" customHeight="1" spans="8:45">
      <c r="H859" s="91"/>
      <c r="I859" s="7"/>
      <c r="J859" s="276"/>
      <c r="K859" s="91"/>
      <c r="L859" s="7"/>
      <c r="O859" s="277"/>
      <c r="P859" s="277"/>
      <c r="W859" s="277"/>
      <c r="X859" s="277"/>
      <c r="AK859" s="280"/>
      <c r="AS859" s="280"/>
    </row>
    <row r="860" customHeight="1" spans="8:45">
      <c r="H860" s="91"/>
      <c r="I860" s="7"/>
      <c r="J860" s="276"/>
      <c r="K860" s="91"/>
      <c r="L860" s="7"/>
      <c r="O860" s="277"/>
      <c r="P860" s="277"/>
      <c r="W860" s="277"/>
      <c r="X860" s="277"/>
      <c r="AK860" s="280"/>
      <c r="AS860" s="280"/>
    </row>
    <row r="861" customHeight="1" spans="8:45">
      <c r="H861" s="91"/>
      <c r="I861" s="7"/>
      <c r="J861" s="276"/>
      <c r="K861" s="91"/>
      <c r="L861" s="7"/>
      <c r="O861" s="277"/>
      <c r="P861" s="277"/>
      <c r="W861" s="277"/>
      <c r="X861" s="277"/>
      <c r="AK861" s="280"/>
      <c r="AS861" s="280"/>
    </row>
    <row r="862" customHeight="1" spans="8:45">
      <c r="H862" s="91"/>
      <c r="I862" s="7"/>
      <c r="J862" s="276"/>
      <c r="K862" s="91"/>
      <c r="L862" s="7"/>
      <c r="O862" s="277"/>
      <c r="P862" s="277"/>
      <c r="W862" s="277"/>
      <c r="X862" s="277"/>
      <c r="AK862" s="280"/>
      <c r="AS862" s="280"/>
    </row>
    <row r="863" customHeight="1" spans="8:45">
      <c r="H863" s="91"/>
      <c r="I863" s="7"/>
      <c r="J863" s="276"/>
      <c r="K863" s="91"/>
      <c r="L863" s="7"/>
      <c r="O863" s="277"/>
      <c r="P863" s="277"/>
      <c r="W863" s="277"/>
      <c r="X863" s="277"/>
      <c r="AK863" s="280"/>
      <c r="AS863" s="280"/>
    </row>
    <row r="864" customHeight="1" spans="8:45">
      <c r="H864" s="91"/>
      <c r="I864" s="7"/>
      <c r="J864" s="276"/>
      <c r="K864" s="91"/>
      <c r="L864" s="7"/>
      <c r="O864" s="277"/>
      <c r="P864" s="277"/>
      <c r="W864" s="277"/>
      <c r="X864" s="277"/>
      <c r="AK864" s="280"/>
      <c r="AS864" s="280"/>
    </row>
    <row r="865" customHeight="1" spans="8:45">
      <c r="H865" s="91"/>
      <c r="I865" s="7"/>
      <c r="J865" s="276"/>
      <c r="K865" s="91"/>
      <c r="L865" s="7"/>
      <c r="O865" s="277"/>
      <c r="P865" s="277"/>
      <c r="W865" s="277"/>
      <c r="X865" s="277"/>
      <c r="AK865" s="280"/>
      <c r="AS865" s="280"/>
    </row>
    <row r="866" customHeight="1" spans="8:45">
      <c r="H866" s="91"/>
      <c r="I866" s="7"/>
      <c r="J866" s="276"/>
      <c r="K866" s="91"/>
      <c r="L866" s="7"/>
      <c r="O866" s="277"/>
      <c r="P866" s="277"/>
      <c r="W866" s="277"/>
      <c r="X866" s="277"/>
      <c r="AK866" s="280"/>
      <c r="AS866" s="280"/>
    </row>
    <row r="867" customHeight="1" spans="8:45">
      <c r="H867" s="91"/>
      <c r="I867" s="7"/>
      <c r="J867" s="276"/>
      <c r="K867" s="91"/>
      <c r="L867" s="7"/>
      <c r="O867" s="277"/>
      <c r="P867" s="277"/>
      <c r="W867" s="277"/>
      <c r="X867" s="277"/>
      <c r="AK867" s="280"/>
      <c r="AS867" s="280"/>
    </row>
    <row r="868" customHeight="1" spans="8:45">
      <c r="H868" s="91"/>
      <c r="I868" s="7"/>
      <c r="J868" s="276"/>
      <c r="K868" s="91"/>
      <c r="L868" s="7"/>
      <c r="O868" s="277"/>
      <c r="P868" s="277"/>
      <c r="W868" s="277"/>
      <c r="X868" s="277"/>
      <c r="AK868" s="280"/>
      <c r="AS868" s="280"/>
    </row>
    <row r="869" customHeight="1" spans="8:45">
      <c r="H869" s="91"/>
      <c r="I869" s="7"/>
      <c r="J869" s="276"/>
      <c r="K869" s="91"/>
      <c r="L869" s="7"/>
      <c r="O869" s="277"/>
      <c r="P869" s="277"/>
      <c r="W869" s="277"/>
      <c r="X869" s="277"/>
      <c r="AK869" s="280"/>
      <c r="AS869" s="280"/>
    </row>
    <row r="870" customHeight="1" spans="8:45">
      <c r="H870" s="91"/>
      <c r="I870" s="7"/>
      <c r="J870" s="276"/>
      <c r="K870" s="91"/>
      <c r="L870" s="7"/>
      <c r="O870" s="277"/>
      <c r="P870" s="277"/>
      <c r="W870" s="277"/>
      <c r="X870" s="277"/>
      <c r="AK870" s="280"/>
      <c r="AS870" s="280"/>
    </row>
    <row r="871" customHeight="1" spans="8:45">
      <c r="H871" s="91"/>
      <c r="I871" s="7"/>
      <c r="J871" s="276"/>
      <c r="K871" s="91"/>
      <c r="L871" s="7"/>
      <c r="O871" s="277"/>
      <c r="P871" s="277"/>
      <c r="W871" s="277"/>
      <c r="X871" s="277"/>
      <c r="AK871" s="280"/>
      <c r="AS871" s="280"/>
    </row>
    <row r="872" customHeight="1" spans="8:45">
      <c r="H872" s="91"/>
      <c r="I872" s="7"/>
      <c r="J872" s="276"/>
      <c r="K872" s="91"/>
      <c r="L872" s="7"/>
      <c r="O872" s="277"/>
      <c r="P872" s="277"/>
      <c r="W872" s="277"/>
      <c r="X872" s="277"/>
      <c r="AK872" s="280"/>
      <c r="AS872" s="280"/>
    </row>
    <row r="873" customHeight="1" spans="8:45">
      <c r="H873" s="91"/>
      <c r="I873" s="7"/>
      <c r="J873" s="276"/>
      <c r="K873" s="91"/>
      <c r="L873" s="7"/>
      <c r="O873" s="277"/>
      <c r="P873" s="277"/>
      <c r="W873" s="277"/>
      <c r="X873" s="277"/>
      <c r="AK873" s="280"/>
      <c r="AS873" s="280"/>
    </row>
    <row r="874" customHeight="1" spans="8:45">
      <c r="H874" s="91"/>
      <c r="I874" s="7"/>
      <c r="J874" s="276"/>
      <c r="K874" s="91"/>
      <c r="L874" s="7"/>
      <c r="O874" s="277"/>
      <c r="P874" s="277"/>
      <c r="W874" s="277"/>
      <c r="X874" s="277"/>
      <c r="AK874" s="280"/>
      <c r="AS874" s="280"/>
    </row>
    <row r="875" customHeight="1" spans="8:45">
      <c r="H875" s="91"/>
      <c r="I875" s="7"/>
      <c r="J875" s="276"/>
      <c r="K875" s="91"/>
      <c r="L875" s="7"/>
      <c r="O875" s="277"/>
      <c r="P875" s="277"/>
      <c r="W875" s="277"/>
      <c r="X875" s="277"/>
      <c r="AK875" s="280"/>
      <c r="AS875" s="280"/>
    </row>
    <row r="876" customHeight="1" spans="8:45">
      <c r="H876" s="91"/>
      <c r="I876" s="7"/>
      <c r="J876" s="276"/>
      <c r="K876" s="91"/>
      <c r="L876" s="7"/>
      <c r="O876" s="277"/>
      <c r="P876" s="277"/>
      <c r="W876" s="277"/>
      <c r="X876" s="277"/>
      <c r="AK876" s="280"/>
      <c r="AS876" s="280"/>
    </row>
    <row r="877" customHeight="1" spans="8:45">
      <c r="H877" s="91"/>
      <c r="I877" s="7"/>
      <c r="J877" s="276"/>
      <c r="K877" s="91"/>
      <c r="L877" s="7"/>
      <c r="O877" s="277"/>
      <c r="P877" s="277"/>
      <c r="W877" s="277"/>
      <c r="X877" s="277"/>
      <c r="AK877" s="280"/>
      <c r="AS877" s="280"/>
    </row>
    <row r="878" customHeight="1" spans="8:45">
      <c r="H878" s="91"/>
      <c r="I878" s="7"/>
      <c r="J878" s="276"/>
      <c r="K878" s="91"/>
      <c r="L878" s="7"/>
      <c r="O878" s="277"/>
      <c r="P878" s="277"/>
      <c r="W878" s="277"/>
      <c r="X878" s="277"/>
      <c r="AK878" s="280"/>
      <c r="AS878" s="280"/>
    </row>
    <row r="879" customHeight="1" spans="8:45">
      <c r="H879" s="91"/>
      <c r="I879" s="7"/>
      <c r="J879" s="276"/>
      <c r="K879" s="91"/>
      <c r="L879" s="7"/>
      <c r="O879" s="277"/>
      <c r="P879" s="277"/>
      <c r="W879" s="277"/>
      <c r="X879" s="277"/>
      <c r="AK879" s="280"/>
      <c r="AS879" s="280"/>
    </row>
    <row r="880" customHeight="1" spans="8:45">
      <c r="H880" s="91"/>
      <c r="I880" s="7"/>
      <c r="J880" s="276"/>
      <c r="K880" s="91"/>
      <c r="L880" s="7"/>
      <c r="O880" s="277"/>
      <c r="P880" s="277"/>
      <c r="W880" s="277"/>
      <c r="X880" s="277"/>
      <c r="AK880" s="280"/>
      <c r="AS880" s="280"/>
    </row>
    <row r="881" customHeight="1" spans="8:45">
      <c r="H881" s="91"/>
      <c r="I881" s="7"/>
      <c r="J881" s="276"/>
      <c r="K881" s="91"/>
      <c r="L881" s="7"/>
      <c r="O881" s="277"/>
      <c r="P881" s="277"/>
      <c r="W881" s="277"/>
      <c r="X881" s="277"/>
      <c r="AK881" s="280"/>
      <c r="AS881" s="280"/>
    </row>
    <row r="882" customHeight="1" spans="8:45">
      <c r="H882" s="91"/>
      <c r="I882" s="7"/>
      <c r="J882" s="276"/>
      <c r="K882" s="91"/>
      <c r="L882" s="7"/>
      <c r="O882" s="277"/>
      <c r="P882" s="277"/>
      <c r="W882" s="277"/>
      <c r="X882" s="277"/>
      <c r="AK882" s="280"/>
      <c r="AS882" s="280"/>
    </row>
    <row r="883" customHeight="1" spans="8:45">
      <c r="H883" s="91"/>
      <c r="I883" s="7"/>
      <c r="J883" s="276"/>
      <c r="K883" s="91"/>
      <c r="L883" s="7"/>
      <c r="O883" s="277"/>
      <c r="P883" s="277"/>
      <c r="W883" s="277"/>
      <c r="X883" s="277"/>
      <c r="AK883" s="280"/>
      <c r="AS883" s="280"/>
    </row>
    <row r="884" customHeight="1" spans="8:45">
      <c r="H884" s="91"/>
      <c r="I884" s="7"/>
      <c r="J884" s="276"/>
      <c r="K884" s="91"/>
      <c r="L884" s="7"/>
      <c r="O884" s="277"/>
      <c r="P884" s="277"/>
      <c r="W884" s="277"/>
      <c r="X884" s="277"/>
      <c r="AK884" s="280"/>
      <c r="AS884" s="280"/>
    </row>
    <row r="885" customHeight="1" spans="8:45">
      <c r="H885" s="91"/>
      <c r="I885" s="7"/>
      <c r="J885" s="276"/>
      <c r="K885" s="91"/>
      <c r="L885" s="7"/>
      <c r="O885" s="277"/>
      <c r="P885" s="277"/>
      <c r="W885" s="277"/>
      <c r="X885" s="277"/>
      <c r="AK885" s="280"/>
      <c r="AS885" s="280"/>
    </row>
    <row r="886" customHeight="1" spans="8:45">
      <c r="H886" s="91"/>
      <c r="I886" s="7"/>
      <c r="J886" s="276"/>
      <c r="K886" s="91"/>
      <c r="L886" s="7"/>
      <c r="O886" s="277"/>
      <c r="P886" s="277"/>
      <c r="W886" s="277"/>
      <c r="X886" s="277"/>
      <c r="AK886" s="280"/>
      <c r="AS886" s="280"/>
    </row>
    <row r="887" customHeight="1" spans="8:45">
      <c r="H887" s="91"/>
      <c r="I887" s="7"/>
      <c r="J887" s="276"/>
      <c r="K887" s="91"/>
      <c r="L887" s="7"/>
      <c r="O887" s="277"/>
      <c r="P887" s="277"/>
      <c r="W887" s="277"/>
      <c r="X887" s="277"/>
      <c r="AK887" s="280"/>
      <c r="AS887" s="280"/>
    </row>
    <row r="888" customHeight="1" spans="8:45">
      <c r="H888" s="91"/>
      <c r="I888" s="7"/>
      <c r="J888" s="276"/>
      <c r="K888" s="91"/>
      <c r="L888" s="7"/>
      <c r="O888" s="277"/>
      <c r="P888" s="277"/>
      <c r="W888" s="277"/>
      <c r="X888" s="277"/>
      <c r="AK888" s="280"/>
      <c r="AS888" s="280"/>
    </row>
    <row r="889" customHeight="1" spans="8:45">
      <c r="H889" s="91"/>
      <c r="I889" s="7"/>
      <c r="J889" s="276"/>
      <c r="K889" s="91"/>
      <c r="L889" s="7"/>
      <c r="O889" s="277"/>
      <c r="P889" s="277"/>
      <c r="W889" s="277"/>
      <c r="X889" s="277"/>
      <c r="AK889" s="280"/>
      <c r="AS889" s="280"/>
    </row>
    <row r="890" customHeight="1" spans="8:45">
      <c r="H890" s="91"/>
      <c r="I890" s="7"/>
      <c r="J890" s="276"/>
      <c r="K890" s="91"/>
      <c r="L890" s="7"/>
      <c r="O890" s="277"/>
      <c r="P890" s="277"/>
      <c r="W890" s="277"/>
      <c r="X890" s="277"/>
      <c r="AK890" s="280"/>
      <c r="AS890" s="280"/>
    </row>
    <row r="891" customHeight="1" spans="8:45">
      <c r="H891" s="91"/>
      <c r="I891" s="7"/>
      <c r="J891" s="276"/>
      <c r="K891" s="91"/>
      <c r="L891" s="7"/>
      <c r="O891" s="277"/>
      <c r="P891" s="277"/>
      <c r="W891" s="277"/>
      <c r="X891" s="277"/>
      <c r="AK891" s="280"/>
      <c r="AS891" s="280"/>
    </row>
    <row r="892" customHeight="1" spans="8:45">
      <c r="H892" s="91"/>
      <c r="I892" s="7"/>
      <c r="J892" s="276"/>
      <c r="K892" s="91"/>
      <c r="L892" s="7"/>
      <c r="O892" s="277"/>
      <c r="P892" s="277"/>
      <c r="W892" s="277"/>
      <c r="X892" s="277"/>
      <c r="AK892" s="280"/>
      <c r="AS892" s="280"/>
    </row>
    <row r="893" customHeight="1" spans="8:45">
      <c r="H893" s="91"/>
      <c r="I893" s="7"/>
      <c r="J893" s="276"/>
      <c r="K893" s="91"/>
      <c r="L893" s="7"/>
      <c r="O893" s="277"/>
      <c r="P893" s="277"/>
      <c r="W893" s="277"/>
      <c r="X893" s="277"/>
      <c r="AK893" s="280"/>
      <c r="AS893" s="280"/>
    </row>
    <row r="894" customHeight="1" spans="8:45">
      <c r="H894" s="91"/>
      <c r="I894" s="7"/>
      <c r="J894" s="276"/>
      <c r="K894" s="91"/>
      <c r="L894" s="7"/>
      <c r="O894" s="277"/>
      <c r="P894" s="277"/>
      <c r="W894" s="277"/>
      <c r="X894" s="277"/>
      <c r="AK894" s="280"/>
      <c r="AS894" s="280"/>
    </row>
    <row r="895" customHeight="1" spans="8:45">
      <c r="H895" s="91"/>
      <c r="I895" s="7"/>
      <c r="J895" s="276"/>
      <c r="K895" s="91"/>
      <c r="L895" s="7"/>
      <c r="O895" s="277"/>
      <c r="P895" s="277"/>
      <c r="W895" s="277"/>
      <c r="X895" s="277"/>
      <c r="AK895" s="280"/>
      <c r="AS895" s="280"/>
    </row>
    <row r="896" customHeight="1" spans="8:45">
      <c r="H896" s="91"/>
      <c r="I896" s="7"/>
      <c r="J896" s="276"/>
      <c r="K896" s="91"/>
      <c r="L896" s="7"/>
      <c r="O896" s="277"/>
      <c r="P896" s="277"/>
      <c r="W896" s="277"/>
      <c r="X896" s="277"/>
      <c r="AK896" s="280"/>
      <c r="AS896" s="280"/>
    </row>
    <row r="897" customHeight="1" spans="8:45">
      <c r="H897" s="91"/>
      <c r="I897" s="7"/>
      <c r="J897" s="276"/>
      <c r="K897" s="91"/>
      <c r="L897" s="7"/>
      <c r="O897" s="277"/>
      <c r="P897" s="277"/>
      <c r="W897" s="277"/>
      <c r="X897" s="277"/>
      <c r="AK897" s="280"/>
      <c r="AS897" s="280"/>
    </row>
    <row r="898" customHeight="1" spans="8:45">
      <c r="H898" s="91"/>
      <c r="I898" s="7"/>
      <c r="J898" s="276"/>
      <c r="K898" s="91"/>
      <c r="L898" s="7"/>
      <c r="O898" s="277"/>
      <c r="P898" s="277"/>
      <c r="W898" s="277"/>
      <c r="X898" s="277"/>
      <c r="AK898" s="280"/>
      <c r="AS898" s="280"/>
    </row>
    <row r="899" customHeight="1" spans="8:45">
      <c r="H899" s="91"/>
      <c r="I899" s="7"/>
      <c r="J899" s="276"/>
      <c r="K899" s="91"/>
      <c r="L899" s="7"/>
      <c r="O899" s="277"/>
      <c r="P899" s="277"/>
      <c r="W899" s="277"/>
      <c r="X899" s="277"/>
      <c r="AK899" s="280"/>
      <c r="AS899" s="280"/>
    </row>
    <row r="900" customHeight="1" spans="8:45">
      <c r="H900" s="91"/>
      <c r="I900" s="7"/>
      <c r="J900" s="276"/>
      <c r="K900" s="91"/>
      <c r="L900" s="7"/>
      <c r="O900" s="277"/>
      <c r="P900" s="277"/>
      <c r="W900" s="277"/>
      <c r="X900" s="277"/>
      <c r="AK900" s="280"/>
      <c r="AS900" s="280"/>
    </row>
    <row r="901" customHeight="1" spans="8:45">
      <c r="H901" s="91"/>
      <c r="I901" s="7"/>
      <c r="J901" s="276"/>
      <c r="K901" s="91"/>
      <c r="L901" s="7"/>
      <c r="O901" s="277"/>
      <c r="P901" s="277"/>
      <c r="W901" s="277"/>
      <c r="X901" s="277"/>
      <c r="AK901" s="280"/>
      <c r="AS901" s="280"/>
    </row>
    <row r="902" customHeight="1" spans="8:45">
      <c r="H902" s="91"/>
      <c r="I902" s="7"/>
      <c r="J902" s="276"/>
      <c r="K902" s="91"/>
      <c r="L902" s="7"/>
      <c r="O902" s="277"/>
      <c r="P902" s="277"/>
      <c r="W902" s="277"/>
      <c r="X902" s="277"/>
      <c r="AK902" s="280"/>
      <c r="AS902" s="280"/>
    </row>
    <row r="903" customHeight="1" spans="8:45">
      <c r="H903" s="91"/>
      <c r="I903" s="7"/>
      <c r="J903" s="276"/>
      <c r="K903" s="91"/>
      <c r="L903" s="7"/>
      <c r="O903" s="277"/>
      <c r="P903" s="277"/>
      <c r="W903" s="277"/>
      <c r="X903" s="277"/>
      <c r="AK903" s="280"/>
      <c r="AS903" s="280"/>
    </row>
    <row r="904" customHeight="1" spans="8:45">
      <c r="H904" s="91"/>
      <c r="I904" s="7"/>
      <c r="J904" s="276"/>
      <c r="K904" s="91"/>
      <c r="L904" s="7"/>
      <c r="O904" s="277"/>
      <c r="P904" s="277"/>
      <c r="W904" s="277"/>
      <c r="X904" s="277"/>
      <c r="AK904" s="280"/>
      <c r="AS904" s="280"/>
    </row>
    <row r="905" customHeight="1" spans="8:45">
      <c r="H905" s="91"/>
      <c r="I905" s="7"/>
      <c r="J905" s="276"/>
      <c r="K905" s="91"/>
      <c r="L905" s="7"/>
      <c r="O905" s="277"/>
      <c r="P905" s="277"/>
      <c r="W905" s="277"/>
      <c r="X905" s="277"/>
      <c r="AK905" s="280"/>
      <c r="AS905" s="280"/>
    </row>
    <row r="906" customHeight="1" spans="8:45">
      <c r="H906" s="91"/>
      <c r="I906" s="7"/>
      <c r="J906" s="276"/>
      <c r="K906" s="91"/>
      <c r="L906" s="7"/>
      <c r="O906" s="277"/>
      <c r="P906" s="277"/>
      <c r="W906" s="277"/>
      <c r="X906" s="277"/>
      <c r="AK906" s="280"/>
      <c r="AS906" s="280"/>
    </row>
    <row r="907" customHeight="1" spans="8:45">
      <c r="H907" s="91"/>
      <c r="I907" s="7"/>
      <c r="J907" s="276"/>
      <c r="K907" s="91"/>
      <c r="L907" s="7"/>
      <c r="O907" s="277"/>
      <c r="P907" s="277"/>
      <c r="W907" s="277"/>
      <c r="X907" s="277"/>
      <c r="AK907" s="280"/>
      <c r="AS907" s="280"/>
    </row>
    <row r="908" customHeight="1" spans="8:45">
      <c r="H908" s="91"/>
      <c r="I908" s="7"/>
      <c r="J908" s="276"/>
      <c r="K908" s="91"/>
      <c r="L908" s="7"/>
      <c r="O908" s="277"/>
      <c r="P908" s="277"/>
      <c r="W908" s="277"/>
      <c r="X908" s="277"/>
      <c r="AK908" s="280"/>
      <c r="AS908" s="280"/>
    </row>
    <row r="909" customHeight="1" spans="8:45">
      <c r="H909" s="91"/>
      <c r="I909" s="7"/>
      <c r="J909" s="276"/>
      <c r="K909" s="91"/>
      <c r="L909" s="7"/>
      <c r="O909" s="277"/>
      <c r="P909" s="277"/>
      <c r="W909" s="277"/>
      <c r="X909" s="277"/>
      <c r="AK909" s="280"/>
      <c r="AS909" s="280"/>
    </row>
    <row r="910" customHeight="1" spans="8:45">
      <c r="H910" s="91"/>
      <c r="I910" s="7"/>
      <c r="J910" s="276"/>
      <c r="K910" s="91"/>
      <c r="L910" s="7"/>
      <c r="O910" s="277"/>
      <c r="P910" s="277"/>
      <c r="W910" s="277"/>
      <c r="X910" s="277"/>
      <c r="AK910" s="280"/>
      <c r="AS910" s="280"/>
    </row>
    <row r="911" customHeight="1" spans="8:45">
      <c r="H911" s="91"/>
      <c r="I911" s="7"/>
      <c r="J911" s="276"/>
      <c r="K911" s="91"/>
      <c r="L911" s="7"/>
      <c r="O911" s="277"/>
      <c r="P911" s="277"/>
      <c r="W911" s="277"/>
      <c r="X911" s="277"/>
      <c r="AK911" s="280"/>
      <c r="AS911" s="280"/>
    </row>
    <row r="912" customHeight="1" spans="8:45">
      <c r="H912" s="91"/>
      <c r="I912" s="7"/>
      <c r="J912" s="276"/>
      <c r="K912" s="91"/>
      <c r="L912" s="7"/>
      <c r="O912" s="277"/>
      <c r="P912" s="277"/>
      <c r="W912" s="277"/>
      <c r="X912" s="277"/>
      <c r="AK912" s="280"/>
      <c r="AS912" s="280"/>
    </row>
    <row r="913" customHeight="1" spans="8:45">
      <c r="H913" s="91"/>
      <c r="I913" s="7"/>
      <c r="J913" s="276"/>
      <c r="K913" s="91"/>
      <c r="L913" s="7"/>
      <c r="O913" s="277"/>
      <c r="P913" s="277"/>
      <c r="W913" s="277"/>
      <c r="X913" s="277"/>
      <c r="AK913" s="280"/>
      <c r="AS913" s="280"/>
    </row>
    <row r="914" customHeight="1" spans="8:45">
      <c r="H914" s="91"/>
      <c r="I914" s="7"/>
      <c r="J914" s="276"/>
      <c r="K914" s="91"/>
      <c r="L914" s="7"/>
      <c r="O914" s="277"/>
      <c r="P914" s="277"/>
      <c r="W914" s="277"/>
      <c r="X914" s="277"/>
      <c r="AK914" s="280"/>
      <c r="AS914" s="280"/>
    </row>
    <row r="915" customHeight="1" spans="8:45">
      <c r="H915" s="91"/>
      <c r="I915" s="7"/>
      <c r="J915" s="276"/>
      <c r="K915" s="91"/>
      <c r="L915" s="7"/>
      <c r="O915" s="277"/>
      <c r="P915" s="277"/>
      <c r="W915" s="277"/>
      <c r="X915" s="277"/>
      <c r="AK915" s="280"/>
      <c r="AS915" s="280"/>
    </row>
    <row r="916" customHeight="1" spans="8:45">
      <c r="H916" s="91"/>
      <c r="I916" s="7"/>
      <c r="J916" s="276"/>
      <c r="K916" s="91"/>
      <c r="L916" s="7"/>
      <c r="O916" s="277"/>
      <c r="P916" s="277"/>
      <c r="W916" s="277"/>
      <c r="X916" s="277"/>
      <c r="AK916" s="280"/>
      <c r="AS916" s="280"/>
    </row>
    <row r="917" customHeight="1" spans="8:45">
      <c r="H917" s="91"/>
      <c r="I917" s="7"/>
      <c r="J917" s="276"/>
      <c r="K917" s="91"/>
      <c r="L917" s="7"/>
      <c r="O917" s="277"/>
      <c r="P917" s="277"/>
      <c r="W917" s="277"/>
      <c r="X917" s="277"/>
      <c r="AK917" s="280"/>
      <c r="AS917" s="280"/>
    </row>
    <row r="918" customHeight="1" spans="8:45">
      <c r="H918" s="91"/>
      <c r="I918" s="7"/>
      <c r="J918" s="276"/>
      <c r="K918" s="91"/>
      <c r="L918" s="7"/>
      <c r="O918" s="277"/>
      <c r="P918" s="277"/>
      <c r="W918" s="277"/>
      <c r="X918" s="277"/>
      <c r="AK918" s="280"/>
      <c r="AS918" s="280"/>
    </row>
    <row r="919" customHeight="1" spans="8:45">
      <c r="H919" s="91"/>
      <c r="I919" s="7"/>
      <c r="J919" s="276"/>
      <c r="K919" s="91"/>
      <c r="L919" s="7"/>
      <c r="O919" s="277"/>
      <c r="P919" s="277"/>
      <c r="W919" s="277"/>
      <c r="X919" s="277"/>
      <c r="AK919" s="280"/>
      <c r="AS919" s="280"/>
    </row>
    <row r="920" customHeight="1" spans="8:45">
      <c r="H920" s="91"/>
      <c r="I920" s="7"/>
      <c r="J920" s="276"/>
      <c r="K920" s="91"/>
      <c r="L920" s="7"/>
      <c r="O920" s="277"/>
      <c r="P920" s="277"/>
      <c r="W920" s="277"/>
      <c r="X920" s="277"/>
      <c r="AK920" s="280"/>
      <c r="AS920" s="280"/>
    </row>
    <row r="921" customHeight="1" spans="8:45">
      <c r="H921" s="91"/>
      <c r="I921" s="7"/>
      <c r="J921" s="276"/>
      <c r="K921" s="91"/>
      <c r="L921" s="7"/>
      <c r="O921" s="277"/>
      <c r="P921" s="277"/>
      <c r="W921" s="277"/>
      <c r="X921" s="277"/>
      <c r="AK921" s="280"/>
      <c r="AS921" s="280"/>
    </row>
    <row r="922" customHeight="1" spans="8:45">
      <c r="H922" s="91"/>
      <c r="I922" s="7"/>
      <c r="J922" s="276"/>
      <c r="K922" s="91"/>
      <c r="L922" s="7"/>
      <c r="O922" s="277"/>
      <c r="P922" s="277"/>
      <c r="W922" s="277"/>
      <c r="X922" s="277"/>
      <c r="AK922" s="280"/>
      <c r="AS922" s="280"/>
    </row>
    <row r="923" customHeight="1" spans="8:45">
      <c r="H923" s="91"/>
      <c r="I923" s="7"/>
      <c r="J923" s="276"/>
      <c r="K923" s="91"/>
      <c r="L923" s="7"/>
      <c r="O923" s="277"/>
      <c r="P923" s="277"/>
      <c r="W923" s="277"/>
      <c r="X923" s="277"/>
      <c r="AK923" s="280"/>
      <c r="AS923" s="280"/>
    </row>
    <row r="924" customHeight="1" spans="8:45">
      <c r="H924" s="91"/>
      <c r="I924" s="7"/>
      <c r="J924" s="276"/>
      <c r="K924" s="91"/>
      <c r="L924" s="7"/>
      <c r="O924" s="277"/>
      <c r="P924" s="277"/>
      <c r="W924" s="277"/>
      <c r="X924" s="277"/>
      <c r="AK924" s="280"/>
      <c r="AS924" s="280"/>
    </row>
    <row r="925" customHeight="1" spans="8:45">
      <c r="H925" s="91"/>
      <c r="I925" s="7"/>
      <c r="J925" s="276"/>
      <c r="K925" s="91"/>
      <c r="L925" s="7"/>
      <c r="O925" s="277"/>
      <c r="P925" s="277"/>
      <c r="W925" s="277"/>
      <c r="X925" s="277"/>
      <c r="AK925" s="280"/>
      <c r="AS925" s="280"/>
    </row>
    <row r="926" customHeight="1" spans="8:45">
      <c r="H926" s="91"/>
      <c r="I926" s="7"/>
      <c r="J926" s="276"/>
      <c r="K926" s="91"/>
      <c r="L926" s="7"/>
      <c r="O926" s="277"/>
      <c r="P926" s="277"/>
      <c r="W926" s="277"/>
      <c r="X926" s="277"/>
      <c r="AK926" s="280"/>
      <c r="AS926" s="280"/>
    </row>
    <row r="927" customHeight="1" spans="8:45">
      <c r="H927" s="91"/>
      <c r="I927" s="7"/>
      <c r="J927" s="276"/>
      <c r="K927" s="91"/>
      <c r="L927" s="7"/>
      <c r="O927" s="277"/>
      <c r="P927" s="277"/>
      <c r="W927" s="277"/>
      <c r="X927" s="277"/>
      <c r="AK927" s="280"/>
      <c r="AS927" s="280"/>
    </row>
    <row r="928" customHeight="1" spans="8:45">
      <c r="H928" s="91"/>
      <c r="I928" s="7"/>
      <c r="J928" s="276"/>
      <c r="K928" s="91"/>
      <c r="L928" s="7"/>
      <c r="O928" s="277"/>
      <c r="P928" s="277"/>
      <c r="W928" s="277"/>
      <c r="X928" s="277"/>
      <c r="AK928" s="280"/>
      <c r="AS928" s="280"/>
    </row>
    <row r="929" customHeight="1" spans="8:45">
      <c r="H929" s="91"/>
      <c r="I929" s="7"/>
      <c r="J929" s="276"/>
      <c r="K929" s="91"/>
      <c r="L929" s="7"/>
      <c r="O929" s="277"/>
      <c r="P929" s="277"/>
      <c r="W929" s="277"/>
      <c r="X929" s="277"/>
      <c r="AK929" s="280"/>
      <c r="AS929" s="280"/>
    </row>
    <row r="930" customHeight="1" spans="8:45">
      <c r="H930" s="91"/>
      <c r="I930" s="7"/>
      <c r="J930" s="276"/>
      <c r="K930" s="91"/>
      <c r="L930" s="7"/>
      <c r="O930" s="277"/>
      <c r="P930" s="277"/>
      <c r="W930" s="277"/>
      <c r="X930" s="277"/>
      <c r="AK930" s="280"/>
      <c r="AS930" s="280"/>
    </row>
    <row r="931" customHeight="1" spans="8:45">
      <c r="H931" s="91"/>
      <c r="I931" s="7"/>
      <c r="J931" s="276"/>
      <c r="K931" s="91"/>
      <c r="L931" s="7"/>
      <c r="O931" s="277"/>
      <c r="P931" s="277"/>
      <c r="W931" s="277"/>
      <c r="X931" s="277"/>
      <c r="AK931" s="280"/>
      <c r="AS931" s="280"/>
    </row>
    <row r="932" customHeight="1" spans="8:45">
      <c r="H932" s="91"/>
      <c r="I932" s="7"/>
      <c r="J932" s="276"/>
      <c r="K932" s="91"/>
      <c r="L932" s="7"/>
      <c r="O932" s="277"/>
      <c r="P932" s="277"/>
      <c r="W932" s="277"/>
      <c r="X932" s="277"/>
      <c r="AK932" s="280"/>
      <c r="AS932" s="280"/>
    </row>
    <row r="933" customHeight="1" spans="8:45">
      <c r="H933" s="91"/>
      <c r="I933" s="7"/>
      <c r="J933" s="276"/>
      <c r="K933" s="91"/>
      <c r="L933" s="7"/>
      <c r="O933" s="277"/>
      <c r="P933" s="277"/>
      <c r="W933" s="277"/>
      <c r="X933" s="277"/>
      <c r="AK933" s="280"/>
      <c r="AS933" s="280"/>
    </row>
    <row r="934" customHeight="1" spans="8:45">
      <c r="H934" s="91"/>
      <c r="I934" s="7"/>
      <c r="J934" s="276"/>
      <c r="K934" s="91"/>
      <c r="L934" s="7"/>
      <c r="O934" s="277"/>
      <c r="P934" s="277"/>
      <c r="W934" s="277"/>
      <c r="X934" s="277"/>
      <c r="AK934" s="280"/>
      <c r="AS934" s="280"/>
    </row>
    <row r="935" customHeight="1" spans="8:45">
      <c r="H935" s="91"/>
      <c r="I935" s="7"/>
      <c r="J935" s="276"/>
      <c r="K935" s="91"/>
      <c r="L935" s="7"/>
      <c r="O935" s="277"/>
      <c r="P935" s="277"/>
      <c r="W935" s="277"/>
      <c r="X935" s="277"/>
      <c r="AK935" s="280"/>
      <c r="AS935" s="280"/>
    </row>
    <row r="936" customHeight="1" spans="8:45">
      <c r="H936" s="91"/>
      <c r="I936" s="7"/>
      <c r="J936" s="276"/>
      <c r="K936" s="91"/>
      <c r="L936" s="7"/>
      <c r="O936" s="277"/>
      <c r="P936" s="277"/>
      <c r="W936" s="277"/>
      <c r="X936" s="277"/>
      <c r="AK936" s="280"/>
      <c r="AS936" s="280"/>
    </row>
    <row r="937" customHeight="1" spans="8:45">
      <c r="H937" s="91"/>
      <c r="I937" s="7"/>
      <c r="J937" s="276"/>
      <c r="K937" s="91"/>
      <c r="L937" s="7"/>
      <c r="O937" s="277"/>
      <c r="P937" s="277"/>
      <c r="W937" s="277"/>
      <c r="X937" s="277"/>
      <c r="AK937" s="280"/>
      <c r="AS937" s="280"/>
    </row>
    <row r="938" customHeight="1" spans="8:45">
      <c r="H938" s="91"/>
      <c r="I938" s="7"/>
      <c r="J938" s="276"/>
      <c r="K938" s="91"/>
      <c r="L938" s="7"/>
      <c r="O938" s="277"/>
      <c r="P938" s="277"/>
      <c r="W938" s="277"/>
      <c r="X938" s="277"/>
      <c r="AK938" s="280"/>
      <c r="AS938" s="280"/>
    </row>
    <row r="939" customHeight="1" spans="8:45">
      <c r="H939" s="91"/>
      <c r="I939" s="7"/>
      <c r="J939" s="276"/>
      <c r="K939" s="91"/>
      <c r="L939" s="7"/>
      <c r="O939" s="277"/>
      <c r="P939" s="277"/>
      <c r="W939" s="277"/>
      <c r="X939" s="277"/>
      <c r="AK939" s="280"/>
      <c r="AS939" s="280"/>
    </row>
    <row r="940" customHeight="1" spans="8:45">
      <c r="H940" s="91"/>
      <c r="I940" s="7"/>
      <c r="J940" s="276"/>
      <c r="K940" s="91"/>
      <c r="L940" s="7"/>
      <c r="O940" s="277"/>
      <c r="P940" s="277"/>
      <c r="W940" s="277"/>
      <c r="X940" s="277"/>
      <c r="AK940" s="280"/>
      <c r="AS940" s="280"/>
    </row>
    <row r="941" customHeight="1" spans="8:45">
      <c r="H941" s="91"/>
      <c r="I941" s="7"/>
      <c r="J941" s="276"/>
      <c r="K941" s="91"/>
      <c r="L941" s="7"/>
      <c r="O941" s="277"/>
      <c r="P941" s="277"/>
      <c r="W941" s="277"/>
      <c r="X941" s="277"/>
      <c r="AK941" s="280"/>
      <c r="AS941" s="280"/>
    </row>
    <row r="942" customHeight="1" spans="8:45">
      <c r="H942" s="91"/>
      <c r="I942" s="7"/>
      <c r="J942" s="276"/>
      <c r="K942" s="91"/>
      <c r="L942" s="7"/>
      <c r="O942" s="277"/>
      <c r="P942" s="277"/>
      <c r="W942" s="277"/>
      <c r="X942" s="277"/>
      <c r="AK942" s="280"/>
      <c r="AS942" s="280"/>
    </row>
    <row r="943" customHeight="1" spans="8:45">
      <c r="H943" s="91"/>
      <c r="I943" s="7"/>
      <c r="J943" s="276"/>
      <c r="K943" s="91"/>
      <c r="L943" s="7"/>
      <c r="O943" s="277"/>
      <c r="P943" s="277"/>
      <c r="W943" s="277"/>
      <c r="X943" s="277"/>
      <c r="AK943" s="280"/>
      <c r="AS943" s="280"/>
    </row>
    <row r="944" customHeight="1" spans="8:45">
      <c r="H944" s="91"/>
      <c r="I944" s="7"/>
      <c r="J944" s="276"/>
      <c r="K944" s="91"/>
      <c r="L944" s="7"/>
      <c r="O944" s="277"/>
      <c r="P944" s="277"/>
      <c r="W944" s="277"/>
      <c r="X944" s="277"/>
      <c r="AK944" s="280"/>
      <c r="AS944" s="280"/>
    </row>
    <row r="945" customHeight="1" spans="8:45">
      <c r="H945" s="91"/>
      <c r="I945" s="7"/>
      <c r="J945" s="276"/>
      <c r="K945" s="91"/>
      <c r="L945" s="7"/>
      <c r="O945" s="277"/>
      <c r="P945" s="277"/>
      <c r="W945" s="277"/>
      <c r="X945" s="277"/>
      <c r="AK945" s="280"/>
      <c r="AS945" s="280"/>
    </row>
    <row r="946" customHeight="1" spans="8:45">
      <c r="H946" s="91"/>
      <c r="I946" s="7"/>
      <c r="J946" s="276"/>
      <c r="K946" s="91"/>
      <c r="L946" s="7"/>
      <c r="O946" s="277"/>
      <c r="P946" s="277"/>
      <c r="W946" s="277"/>
      <c r="X946" s="277"/>
      <c r="AK946" s="280"/>
      <c r="AS946" s="280"/>
    </row>
    <row r="947" customHeight="1" spans="8:45">
      <c r="H947" s="91"/>
      <c r="I947" s="7"/>
      <c r="J947" s="276"/>
      <c r="K947" s="91"/>
      <c r="L947" s="7"/>
      <c r="O947" s="277"/>
      <c r="P947" s="277"/>
      <c r="W947" s="277"/>
      <c r="X947" s="277"/>
      <c r="AK947" s="280"/>
      <c r="AS947" s="280"/>
    </row>
    <row r="948" customHeight="1" spans="8:45">
      <c r="H948" s="91"/>
      <c r="I948" s="7"/>
      <c r="J948" s="276"/>
      <c r="K948" s="91"/>
      <c r="L948" s="7"/>
      <c r="O948" s="277"/>
      <c r="P948" s="277"/>
      <c r="W948" s="277"/>
      <c r="X948" s="277"/>
      <c r="AK948" s="280"/>
      <c r="AS948" s="280"/>
    </row>
    <row r="949" customHeight="1" spans="8:45">
      <c r="H949" s="91"/>
      <c r="I949" s="7"/>
      <c r="J949" s="276"/>
      <c r="K949" s="91"/>
      <c r="L949" s="7"/>
      <c r="O949" s="277"/>
      <c r="P949" s="277"/>
      <c r="W949" s="277"/>
      <c r="X949" s="277"/>
      <c r="AK949" s="280"/>
      <c r="AS949" s="280"/>
    </row>
    <row r="950" customHeight="1" spans="8:45">
      <c r="H950" s="91"/>
      <c r="I950" s="7"/>
      <c r="J950" s="276"/>
      <c r="K950" s="91"/>
      <c r="L950" s="7"/>
      <c r="O950" s="277"/>
      <c r="P950" s="277"/>
      <c r="W950" s="277"/>
      <c r="X950" s="277"/>
      <c r="AK950" s="280"/>
      <c r="AS950" s="280"/>
    </row>
    <row r="951" customHeight="1" spans="8:45">
      <c r="H951" s="91"/>
      <c r="I951" s="7"/>
      <c r="J951" s="276"/>
      <c r="K951" s="91"/>
      <c r="L951" s="7"/>
      <c r="O951" s="277"/>
      <c r="P951" s="277"/>
      <c r="W951" s="277"/>
      <c r="X951" s="277"/>
      <c r="AK951" s="280"/>
      <c r="AS951" s="280"/>
    </row>
    <row r="952" customHeight="1" spans="8:45">
      <c r="H952" s="91"/>
      <c r="I952" s="7"/>
      <c r="J952" s="276"/>
      <c r="K952" s="91"/>
      <c r="L952" s="7"/>
      <c r="O952" s="277"/>
      <c r="P952" s="277"/>
      <c r="W952" s="277"/>
      <c r="X952" s="277"/>
      <c r="AK952" s="280"/>
      <c r="AS952" s="280"/>
    </row>
    <row r="953" customHeight="1" spans="8:45">
      <c r="H953" s="91"/>
      <c r="I953" s="7"/>
      <c r="J953" s="276"/>
      <c r="K953" s="91"/>
      <c r="L953" s="7"/>
      <c r="O953" s="277"/>
      <c r="P953" s="277"/>
      <c r="W953" s="277"/>
      <c r="X953" s="277"/>
      <c r="AK953" s="280"/>
      <c r="AS953" s="280"/>
    </row>
    <row r="954" customHeight="1" spans="8:45">
      <c r="H954" s="91"/>
      <c r="I954" s="7"/>
      <c r="J954" s="276"/>
      <c r="K954" s="91"/>
      <c r="L954" s="7"/>
      <c r="O954" s="277"/>
      <c r="P954" s="277"/>
      <c r="W954" s="277"/>
      <c r="X954" s="277"/>
      <c r="AK954" s="280"/>
      <c r="AS954" s="280"/>
    </row>
    <row r="955" customHeight="1" spans="8:45">
      <c r="H955" s="91"/>
      <c r="I955" s="7"/>
      <c r="J955" s="276"/>
      <c r="K955" s="91"/>
      <c r="L955" s="7"/>
      <c r="O955" s="277"/>
      <c r="P955" s="277"/>
      <c r="W955" s="277"/>
      <c r="X955" s="277"/>
      <c r="AK955" s="280"/>
      <c r="AS955" s="280"/>
    </row>
    <row r="956" customHeight="1" spans="8:45">
      <c r="H956" s="91"/>
      <c r="I956" s="7"/>
      <c r="J956" s="276"/>
      <c r="K956" s="91"/>
      <c r="L956" s="7"/>
      <c r="O956" s="277"/>
      <c r="P956" s="277"/>
      <c r="W956" s="277"/>
      <c r="X956" s="277"/>
      <c r="AK956" s="280"/>
      <c r="AS956" s="280"/>
    </row>
    <row r="957" customHeight="1" spans="8:45">
      <c r="H957" s="91"/>
      <c r="I957" s="7"/>
      <c r="J957" s="276"/>
      <c r="K957" s="91"/>
      <c r="L957" s="7"/>
      <c r="O957" s="277"/>
      <c r="P957" s="277"/>
      <c r="W957" s="277"/>
      <c r="X957" s="277"/>
      <c r="AK957" s="280"/>
      <c r="AS957" s="280"/>
    </row>
    <row r="958" customHeight="1" spans="8:45">
      <c r="H958" s="91"/>
      <c r="I958" s="7"/>
      <c r="J958" s="276"/>
      <c r="K958" s="91"/>
      <c r="L958" s="7"/>
      <c r="O958" s="277"/>
      <c r="P958" s="277"/>
      <c r="W958" s="277"/>
      <c r="X958" s="277"/>
      <c r="AK958" s="280"/>
      <c r="AS958" s="280"/>
    </row>
    <row r="959" customHeight="1" spans="8:45">
      <c r="H959" s="91"/>
      <c r="I959" s="7"/>
      <c r="J959" s="276"/>
      <c r="K959" s="91"/>
      <c r="L959" s="7"/>
      <c r="O959" s="277"/>
      <c r="P959" s="277"/>
      <c r="W959" s="277"/>
      <c r="X959" s="277"/>
      <c r="AK959" s="280"/>
      <c r="AS959" s="280"/>
    </row>
    <row r="960" customHeight="1" spans="8:45">
      <c r="H960" s="91"/>
      <c r="I960" s="7"/>
      <c r="J960" s="276"/>
      <c r="K960" s="91"/>
      <c r="L960" s="7"/>
      <c r="O960" s="277"/>
      <c r="P960" s="277"/>
      <c r="W960" s="277"/>
      <c r="X960" s="277"/>
      <c r="AK960" s="280"/>
      <c r="AS960" s="280"/>
    </row>
    <row r="961" customHeight="1" spans="8:45">
      <c r="H961" s="91"/>
      <c r="I961" s="7"/>
      <c r="J961" s="276"/>
      <c r="K961" s="91"/>
      <c r="L961" s="7"/>
      <c r="O961" s="277"/>
      <c r="P961" s="277"/>
      <c r="W961" s="277"/>
      <c r="X961" s="277"/>
      <c r="AK961" s="280"/>
      <c r="AS961" s="280"/>
    </row>
    <row r="962" customHeight="1" spans="8:45">
      <c r="H962" s="91"/>
      <c r="I962" s="7"/>
      <c r="J962" s="276"/>
      <c r="K962" s="91"/>
      <c r="L962" s="7"/>
      <c r="O962" s="277"/>
      <c r="P962" s="277"/>
      <c r="W962" s="277"/>
      <c r="X962" s="277"/>
      <c r="AK962" s="280"/>
      <c r="AS962" s="280"/>
    </row>
    <row r="963" customHeight="1" spans="8:45">
      <c r="H963" s="91"/>
      <c r="I963" s="7"/>
      <c r="J963" s="276"/>
      <c r="K963" s="91"/>
      <c r="L963" s="7"/>
      <c r="O963" s="277"/>
      <c r="P963" s="277"/>
      <c r="W963" s="277"/>
      <c r="X963" s="277"/>
      <c r="AK963" s="280"/>
      <c r="AS963" s="280"/>
    </row>
    <row r="964" customHeight="1" spans="8:45">
      <c r="H964" s="91"/>
      <c r="I964" s="7"/>
      <c r="J964" s="276"/>
      <c r="K964" s="91"/>
      <c r="L964" s="7"/>
      <c r="O964" s="277"/>
      <c r="P964" s="277"/>
      <c r="W964" s="277"/>
      <c r="X964" s="277"/>
      <c r="AK964" s="280"/>
      <c r="AS964" s="280"/>
    </row>
    <row r="965" customHeight="1" spans="8:45">
      <c r="H965" s="91"/>
      <c r="I965" s="7"/>
      <c r="J965" s="276"/>
      <c r="K965" s="91"/>
      <c r="L965" s="7"/>
      <c r="O965" s="277"/>
      <c r="P965" s="277"/>
      <c r="W965" s="277"/>
      <c r="X965" s="277"/>
      <c r="AK965" s="280"/>
      <c r="AS965" s="280"/>
    </row>
    <row r="966" customHeight="1" spans="8:45">
      <c r="H966" s="91"/>
      <c r="I966" s="7"/>
      <c r="J966" s="276"/>
      <c r="K966" s="91"/>
      <c r="L966" s="7"/>
      <c r="O966" s="277"/>
      <c r="P966" s="277"/>
      <c r="W966" s="277"/>
      <c r="X966" s="277"/>
      <c r="AK966" s="280"/>
      <c r="AS966" s="280"/>
    </row>
    <row r="967" customHeight="1" spans="8:45">
      <c r="H967" s="91"/>
      <c r="I967" s="7"/>
      <c r="J967" s="276"/>
      <c r="K967" s="91"/>
      <c r="L967" s="7"/>
      <c r="O967" s="277"/>
      <c r="P967" s="277"/>
      <c r="W967" s="277"/>
      <c r="X967" s="277"/>
      <c r="AK967" s="280"/>
      <c r="AS967" s="280"/>
    </row>
    <row r="968" customHeight="1" spans="8:45">
      <c r="H968" s="91"/>
      <c r="I968" s="7"/>
      <c r="J968" s="276"/>
      <c r="K968" s="91"/>
      <c r="L968" s="7"/>
      <c r="O968" s="277"/>
      <c r="P968" s="277"/>
      <c r="W968" s="277"/>
      <c r="X968" s="277"/>
      <c r="AK968" s="280"/>
      <c r="AS968" s="280"/>
    </row>
    <row r="969" customHeight="1" spans="8:45">
      <c r="H969" s="91"/>
      <c r="I969" s="7"/>
      <c r="J969" s="276"/>
      <c r="K969" s="91"/>
      <c r="L969" s="7"/>
      <c r="O969" s="277"/>
      <c r="P969" s="277"/>
      <c r="W969" s="277"/>
      <c r="X969" s="277"/>
      <c r="AK969" s="280"/>
      <c r="AS969" s="280"/>
    </row>
    <row r="970" customHeight="1" spans="8:45">
      <c r="H970" s="91"/>
      <c r="I970" s="7"/>
      <c r="J970" s="276"/>
      <c r="K970" s="91"/>
      <c r="L970" s="7"/>
      <c r="O970" s="277"/>
      <c r="P970" s="277"/>
      <c r="W970" s="277"/>
      <c r="X970" s="277"/>
      <c r="AK970" s="280"/>
      <c r="AS970" s="280"/>
    </row>
    <row r="971" customHeight="1" spans="8:45">
      <c r="H971" s="91"/>
      <c r="I971" s="7"/>
      <c r="J971" s="276"/>
      <c r="K971" s="91"/>
      <c r="L971" s="7"/>
      <c r="O971" s="277"/>
      <c r="P971" s="277"/>
      <c r="W971" s="277"/>
      <c r="X971" s="277"/>
      <c r="AK971" s="280"/>
      <c r="AS971" s="280"/>
    </row>
    <row r="972" customHeight="1" spans="8:45">
      <c r="H972" s="91"/>
      <c r="I972" s="7"/>
      <c r="J972" s="276"/>
      <c r="K972" s="91"/>
      <c r="L972" s="7"/>
      <c r="O972" s="277"/>
      <c r="P972" s="277"/>
      <c r="W972" s="277"/>
      <c r="X972" s="277"/>
      <c r="AK972" s="280"/>
      <c r="AS972" s="280"/>
    </row>
    <row r="973" customHeight="1" spans="8:45">
      <c r="H973" s="91"/>
      <c r="I973" s="7"/>
      <c r="J973" s="276"/>
      <c r="K973" s="91"/>
      <c r="L973" s="7"/>
      <c r="O973" s="277"/>
      <c r="P973" s="277"/>
      <c r="W973" s="277"/>
      <c r="X973" s="277"/>
      <c r="AK973" s="280"/>
      <c r="AS973" s="280"/>
    </row>
    <row r="974" customHeight="1" spans="8:45">
      <c r="H974" s="91"/>
      <c r="I974" s="7"/>
      <c r="J974" s="276"/>
      <c r="K974" s="91"/>
      <c r="L974" s="7"/>
      <c r="O974" s="277"/>
      <c r="P974" s="277"/>
      <c r="W974" s="277"/>
      <c r="X974" s="277"/>
      <c r="AK974" s="280"/>
      <c r="AS974" s="280"/>
    </row>
    <row r="975" customHeight="1" spans="8:45">
      <c r="H975" s="91"/>
      <c r="I975" s="7"/>
      <c r="J975" s="276"/>
      <c r="K975" s="91"/>
      <c r="L975" s="7"/>
      <c r="O975" s="277"/>
      <c r="P975" s="277"/>
      <c r="W975" s="277"/>
      <c r="X975" s="277"/>
      <c r="AK975" s="280"/>
      <c r="AS975" s="280"/>
    </row>
    <row r="976" customHeight="1" spans="8:45">
      <c r="H976" s="91"/>
      <c r="I976" s="7"/>
      <c r="J976" s="276"/>
      <c r="K976" s="91"/>
      <c r="L976" s="7"/>
      <c r="O976" s="277"/>
      <c r="P976" s="277"/>
      <c r="W976" s="277"/>
      <c r="X976" s="277"/>
      <c r="AK976" s="280"/>
      <c r="AS976" s="280"/>
    </row>
    <row r="977" customHeight="1" spans="8:45">
      <c r="H977" s="91"/>
      <c r="I977" s="7"/>
      <c r="J977" s="276"/>
      <c r="K977" s="91"/>
      <c r="L977" s="7"/>
      <c r="O977" s="277"/>
      <c r="P977" s="277"/>
      <c r="W977" s="277"/>
      <c r="X977" s="277"/>
      <c r="AK977" s="280"/>
      <c r="AS977" s="280"/>
    </row>
    <row r="978" customHeight="1" spans="8:45">
      <c r="H978" s="91"/>
      <c r="I978" s="7"/>
      <c r="J978" s="276"/>
      <c r="K978" s="91"/>
      <c r="L978" s="7"/>
      <c r="O978" s="277"/>
      <c r="P978" s="277"/>
      <c r="W978" s="277"/>
      <c r="X978" s="277"/>
      <c r="AK978" s="280"/>
      <c r="AS978" s="280"/>
    </row>
    <row r="979" customHeight="1" spans="8:45">
      <c r="H979" s="91"/>
      <c r="I979" s="7"/>
      <c r="J979" s="276"/>
      <c r="K979" s="91"/>
      <c r="L979" s="7"/>
      <c r="O979" s="277"/>
      <c r="P979" s="277"/>
      <c r="W979" s="277"/>
      <c r="X979" s="277"/>
      <c r="AK979" s="280"/>
      <c r="AS979" s="280"/>
    </row>
    <row r="980" customHeight="1" spans="8:45">
      <c r="H980" s="91"/>
      <c r="I980" s="7"/>
      <c r="J980" s="276"/>
      <c r="K980" s="91"/>
      <c r="L980" s="7"/>
      <c r="O980" s="277"/>
      <c r="P980" s="277"/>
      <c r="W980" s="277"/>
      <c r="X980" s="277"/>
      <c r="AK980" s="280"/>
      <c r="AS980" s="280"/>
    </row>
    <row r="981" customHeight="1" spans="8:45">
      <c r="H981" s="91"/>
      <c r="I981" s="7"/>
      <c r="J981" s="276"/>
      <c r="K981" s="91"/>
      <c r="L981" s="7"/>
      <c r="O981" s="277"/>
      <c r="P981" s="277"/>
      <c r="W981" s="277"/>
      <c r="X981" s="277"/>
      <c r="AK981" s="280"/>
      <c r="AS981" s="280"/>
    </row>
    <row r="982" customHeight="1" spans="8:45">
      <c r="H982" s="91"/>
      <c r="I982" s="7"/>
      <c r="J982" s="276"/>
      <c r="K982" s="91"/>
      <c r="L982" s="7"/>
      <c r="O982" s="277"/>
      <c r="P982" s="277"/>
      <c r="W982" s="277"/>
      <c r="X982" s="277"/>
      <c r="AK982" s="280"/>
      <c r="AS982" s="280"/>
    </row>
    <row r="983" customHeight="1" spans="8:45">
      <c r="H983" s="91"/>
      <c r="I983" s="7"/>
      <c r="J983" s="276"/>
      <c r="K983" s="91"/>
      <c r="L983" s="7"/>
      <c r="O983" s="277"/>
      <c r="P983" s="277"/>
      <c r="W983" s="277"/>
      <c r="X983" s="277"/>
      <c r="AK983" s="280"/>
      <c r="AS983" s="280"/>
    </row>
    <row r="984" customHeight="1" spans="8:45">
      <c r="H984" s="7"/>
      <c r="I984" s="7"/>
      <c r="J984" s="276"/>
      <c r="K984" s="7"/>
      <c r="L984" s="7"/>
      <c r="O984" s="277"/>
      <c r="P984" s="277"/>
      <c r="W984" s="277"/>
      <c r="X984" s="277"/>
      <c r="AK984" s="280"/>
      <c r="AS984" s="280"/>
    </row>
    <row r="985" customHeight="1" spans="8:45">
      <c r="H985" s="7"/>
      <c r="I985" s="7"/>
      <c r="J985" s="276"/>
      <c r="K985" s="7"/>
      <c r="L985" s="7"/>
      <c r="O985" s="277"/>
      <c r="P985" s="277"/>
      <c r="W985" s="277"/>
      <c r="X985" s="277"/>
      <c r="AK985" s="280"/>
      <c r="AS985" s="280"/>
    </row>
    <row r="986" customHeight="1" spans="8:45">
      <c r="H986" s="7"/>
      <c r="I986" s="7"/>
      <c r="J986" s="276"/>
      <c r="K986" s="7"/>
      <c r="L986" s="7"/>
      <c r="O986" s="277"/>
      <c r="P986" s="277"/>
      <c r="W986" s="277"/>
      <c r="X986" s="277"/>
      <c r="AK986" s="280"/>
      <c r="AS986" s="280"/>
    </row>
    <row r="987" customHeight="1" spans="8:45">
      <c r="H987" s="7"/>
      <c r="I987" s="7"/>
      <c r="J987" s="276"/>
      <c r="K987" s="7"/>
      <c r="L987" s="7"/>
      <c r="O987" s="277"/>
      <c r="P987" s="277"/>
      <c r="W987" s="277"/>
      <c r="X987" s="277"/>
      <c r="AK987" s="280"/>
      <c r="AS987" s="280"/>
    </row>
    <row r="988" customHeight="1" spans="8:45">
      <c r="H988" s="7"/>
      <c r="I988" s="7"/>
      <c r="J988" s="276"/>
      <c r="K988" s="7"/>
      <c r="L988" s="7"/>
      <c r="O988" s="277"/>
      <c r="P988" s="277"/>
      <c r="W988" s="277"/>
      <c r="X988" s="277"/>
      <c r="AK988" s="280"/>
      <c r="AS988" s="280"/>
    </row>
    <row r="989" customHeight="1" spans="8:45">
      <c r="H989" s="7"/>
      <c r="I989" s="7"/>
      <c r="J989" s="276"/>
      <c r="K989" s="7"/>
      <c r="L989" s="7"/>
      <c r="O989" s="277"/>
      <c r="P989" s="277"/>
      <c r="W989" s="277"/>
      <c r="X989" s="277"/>
      <c r="AK989" s="280"/>
      <c r="AS989" s="280"/>
    </row>
    <row r="990" customHeight="1" spans="8:45">
      <c r="H990" s="7"/>
      <c r="I990" s="7"/>
      <c r="J990" s="276"/>
      <c r="K990" s="7"/>
      <c r="L990" s="7"/>
      <c r="O990" s="277"/>
      <c r="P990" s="277"/>
      <c r="W990" s="277"/>
      <c r="X990" s="277"/>
      <c r="AK990" s="280"/>
      <c r="AS990" s="280"/>
    </row>
    <row r="991" customHeight="1" spans="8:45">
      <c r="O991" s="277"/>
      <c r="P991" s="277"/>
      <c r="W991" s="277"/>
      <c r="X991" s="277"/>
      <c r="AK991" s="280"/>
      <c r="AS991" s="280"/>
    </row>
    <row r="992" customHeight="1" spans="8:45">
      <c r="O992" s="277"/>
      <c r="P992" s="277"/>
      <c r="W992" s="277"/>
      <c r="X992" s="277"/>
      <c r="AK992" s="280"/>
      <c r="AS992" s="280"/>
    </row>
    <row r="993" customHeight="1" spans="15:45">
      <c r="O993" s="277"/>
      <c r="P993" s="277"/>
      <c r="W993" s="277"/>
      <c r="X993" s="277"/>
      <c r="AK993" s="280"/>
      <c r="AS993" s="280"/>
    </row>
    <row r="994" customHeight="1" spans="15:45">
      <c r="O994" s="277"/>
      <c r="P994" s="277"/>
      <c r="W994" s="277"/>
      <c r="X994" s="277"/>
      <c r="AK994" s="280"/>
      <c r="AS994" s="280"/>
    </row>
    <row r="995" customHeight="1" spans="15:45">
      <c r="O995" s="277"/>
      <c r="P995" s="277"/>
      <c r="W995" s="277"/>
      <c r="X995" s="277"/>
      <c r="AK995" s="280"/>
      <c r="AS995" s="280"/>
    </row>
    <row r="996" customHeight="1" spans="15:45">
      <c r="O996" s="277"/>
      <c r="P996" s="277"/>
      <c r="W996" s="277"/>
      <c r="X996" s="277"/>
      <c r="AK996" s="280"/>
      <c r="AS996" s="280"/>
    </row>
    <row r="997" customHeight="1" spans="15:45">
      <c r="O997" s="277"/>
      <c r="P997" s="277"/>
      <c r="W997" s="277"/>
      <c r="X997" s="277"/>
      <c r="AK997" s="280"/>
      <c r="AS997" s="280"/>
    </row>
    <row r="998" customHeight="1" spans="15:45">
      <c r="O998" s="277"/>
      <c r="P998" s="277"/>
      <c r="W998" s="277"/>
      <c r="X998" s="277"/>
      <c r="AK998" s="280"/>
      <c r="AS998" s="280"/>
    </row>
    <row r="999" customHeight="1" spans="15:45">
      <c r="O999" s="277"/>
      <c r="P999" s="277"/>
      <c r="W999" s="277"/>
      <c r="X999" s="277"/>
      <c r="AK999" s="280"/>
      <c r="AS999" s="280"/>
    </row>
    <row r="1000" customHeight="1" spans="15:45">
      <c r="O1000" s="277"/>
      <c r="P1000" s="277"/>
      <c r="W1000" s="277"/>
      <c r="X1000" s="277"/>
      <c r="AK1000" s="280"/>
      <c r="AS1000" s="280"/>
    </row>
    <row r="1001" customHeight="1" spans="15:45">
      <c r="O1001" s="277"/>
      <c r="P1001" s="277"/>
      <c r="W1001" s="277"/>
      <c r="X1001" s="277"/>
      <c r="AK1001" s="280"/>
      <c r="AS1001" s="280"/>
    </row>
  </sheetData>
  <mergeCells count="1">
    <mergeCell ref="A29:A30"/>
  </mergeCells>
  <dataValidations count="1">
    <dataValidation type="list" allowBlank="1" showErrorMessage="1" sqref="R2:R43 Z2:Z50 AH2:AH51 AP2:AP59 AX2:AX90">
      <formula1>"JEP,Pichincha,Efectivo,Extra Efectivo,Extra JEP,Extra Pichincha,Reserva Pichincha,Reserva Efectivo,JOHN,SOLANO,PATRICIO,SOPORTE"</formula1>
    </dataValidation>
  </dataValidations>
  <hyperlinks>
    <hyperlink ref="E5" r:id="rId3" display="Aucueguillermoa"/>
    <hyperlink ref="E32" r:id="rId4" display="Aucuechristiany"/>
  </hyperlinks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M155"/>
  <sheetViews>
    <sheetView workbookViewId="0">
      <selection activeCell="A1" sqref="A1"/>
    </sheetView>
  </sheetViews>
  <sheetFormatPr defaultColWidth="12.6296296296296" defaultRowHeight="15.75" customHeight="1"/>
  <cols>
    <col min="14" max="14" width="15.5" customWidth="1"/>
    <col min="16" max="16" width="14.1296296296296" customWidth="1"/>
    <col min="27" max="27" width="14.1296296296296" customWidth="1"/>
    <col min="30" max="30" width="17.5" customWidth="1"/>
    <col min="36" max="36" width="19.3796296296296" customWidth="1"/>
    <col min="38" max="38" width="16.3796296296296" customWidth="1"/>
  </cols>
  <sheetData>
    <row r="1" customHeight="1" spans="1:39">
      <c r="A1" s="1"/>
      <c r="B1" s="1"/>
      <c r="C1" s="1"/>
      <c r="D1" s="2" t="s">
        <v>0</v>
      </c>
      <c r="E1" s="3"/>
      <c r="F1" s="1"/>
      <c r="G1" s="1"/>
      <c r="H1" s="4"/>
      <c r="I1" s="4"/>
      <c r="J1" s="5"/>
      <c r="K1" s="6"/>
      <c r="L1" s="7"/>
      <c r="M1" s="7"/>
      <c r="N1" s="7"/>
      <c r="O1" s="7"/>
      <c r="P1" s="7"/>
      <c r="Q1" s="8"/>
      <c r="R1" s="9"/>
      <c r="S1" s="10"/>
      <c r="T1" s="10"/>
      <c r="U1" s="10"/>
      <c r="V1" s="10"/>
      <c r="W1" s="10"/>
      <c r="X1" s="11"/>
      <c r="Y1" s="7"/>
      <c r="Z1" s="7"/>
      <c r="AA1" s="12"/>
      <c r="AE1" s="13"/>
      <c r="AF1" s="7"/>
      <c r="AG1" s="7"/>
      <c r="AH1" s="7"/>
      <c r="AI1" s="14" t="s">
        <v>1</v>
      </c>
      <c r="AM1" s="13"/>
    </row>
    <row r="2" customHeight="1" spans="1:39">
      <c r="A2" s="15"/>
      <c r="B2" s="15"/>
      <c r="C2" s="16" t="s">
        <v>2</v>
      </c>
      <c r="D2" s="17"/>
      <c r="E2" s="18"/>
      <c r="F2" s="18"/>
      <c r="G2" s="19" t="s">
        <v>3</v>
      </c>
      <c r="H2" s="20"/>
      <c r="I2" s="21" t="s">
        <v>4</v>
      </c>
      <c r="J2" s="22"/>
      <c r="K2" s="6"/>
      <c r="L2" s="23"/>
      <c r="M2" s="23"/>
      <c r="N2" s="24" t="s">
        <v>5</v>
      </c>
      <c r="O2" s="25"/>
      <c r="P2" s="25"/>
      <c r="Q2" s="26"/>
      <c r="R2" s="13"/>
      <c r="S2" s="27" t="s">
        <v>6</v>
      </c>
      <c r="T2" s="27" t="s">
        <v>7</v>
      </c>
      <c r="U2" s="27" t="s">
        <v>8</v>
      </c>
      <c r="V2" s="27" t="s">
        <v>9</v>
      </c>
      <c r="W2" s="15"/>
      <c r="Y2" s="7"/>
      <c r="Z2" s="28" t="s">
        <v>10</v>
      </c>
      <c r="AF2" s="29"/>
      <c r="AG2" s="23"/>
      <c r="AH2" s="30" t="s">
        <v>11</v>
      </c>
      <c r="AI2" s="25"/>
      <c r="AJ2" s="25"/>
      <c r="AK2" s="25"/>
      <c r="AL2" s="25"/>
      <c r="AM2" s="25"/>
    </row>
    <row r="3" customHeight="1" spans="1:39">
      <c r="A3" s="31" t="s">
        <v>12</v>
      </c>
      <c r="B3" s="31" t="s">
        <v>13</v>
      </c>
      <c r="C3" s="31" t="s">
        <v>14</v>
      </c>
      <c r="D3" s="32" t="s">
        <v>15</v>
      </c>
      <c r="E3" s="31" t="s">
        <v>12</v>
      </c>
      <c r="F3" s="31" t="s">
        <v>13</v>
      </c>
      <c r="G3" s="31" t="s">
        <v>14</v>
      </c>
      <c r="H3" s="32" t="s">
        <v>16</v>
      </c>
      <c r="I3" s="32" t="s">
        <v>17</v>
      </c>
      <c r="J3" s="32" t="s">
        <v>15</v>
      </c>
      <c r="K3" s="33"/>
      <c r="L3" s="34"/>
      <c r="M3" s="35" t="s">
        <v>18</v>
      </c>
      <c r="N3" s="31" t="s">
        <v>19</v>
      </c>
      <c r="O3" s="31" t="s">
        <v>20</v>
      </c>
      <c r="P3" s="31" t="s">
        <v>14</v>
      </c>
      <c r="Q3" s="32" t="s">
        <v>21</v>
      </c>
      <c r="R3" s="13"/>
      <c r="S3" s="1"/>
      <c r="T3" s="36" t="s">
        <v>22</v>
      </c>
      <c r="U3" s="37" t="s">
        <v>8</v>
      </c>
      <c r="V3" s="32" t="s">
        <v>9</v>
      </c>
      <c r="W3" s="31" t="s">
        <v>23</v>
      </c>
      <c r="Y3" s="38"/>
      <c r="Z3" s="39" t="s">
        <v>18</v>
      </c>
      <c r="AA3" s="39" t="s">
        <v>24</v>
      </c>
      <c r="AB3" s="38"/>
      <c r="AC3" s="39" t="s">
        <v>25</v>
      </c>
      <c r="AD3" s="39" t="s">
        <v>14</v>
      </c>
      <c r="AE3" s="40" t="s">
        <v>21</v>
      </c>
      <c r="AF3" s="41"/>
      <c r="AG3" s="34"/>
      <c r="AH3" s="35" t="s">
        <v>18</v>
      </c>
      <c r="AI3" s="42" t="s">
        <v>24</v>
      </c>
      <c r="AJ3" s="43"/>
      <c r="AK3" s="35" t="s">
        <v>25</v>
      </c>
      <c r="AL3" s="31" t="s">
        <v>14</v>
      </c>
      <c r="AM3" s="44" t="s">
        <v>21</v>
      </c>
    </row>
    <row r="4" customHeight="1" spans="1:39">
      <c r="A4" s="45" t="str">
        <f>BAÑOS!A248</f>
        <v>264</v>
      </c>
      <c r="B4" s="46">
        <f>BAÑOS!AH248</f>
        <v>0</v>
      </c>
      <c r="C4" s="47">
        <f>BAÑOS!AI248</f>
        <v>0</v>
      </c>
      <c r="D4" s="48">
        <f>BAÑOS!AH248</f>
        <v>0</v>
      </c>
      <c r="E4" s="7">
        <f>SAYAUSI!A156</f>
        <v>182</v>
      </c>
      <c r="F4" s="49">
        <f>SAYAUSI!AG156</f>
        <v>0</v>
      </c>
      <c r="G4" s="7">
        <f>SAYAUSI!AI156</f>
        <v>0</v>
      </c>
      <c r="H4" s="12"/>
      <c r="I4" s="50"/>
      <c r="J4" s="51">
        <f>SAYAUSI!AH156</f>
        <v>0</v>
      </c>
      <c r="K4" s="33"/>
      <c r="L4" s="52" t="s">
        <v>26</v>
      </c>
      <c r="M4" s="53">
        <v>1</v>
      </c>
      <c r="N4" s="7" t="s">
        <v>4100</v>
      </c>
      <c r="O4" s="54">
        <v>46055</v>
      </c>
      <c r="P4" s="7" t="s">
        <v>56</v>
      </c>
      <c r="Q4" s="55">
        <v>38</v>
      </c>
      <c r="R4" s="13"/>
      <c r="S4" s="56"/>
      <c r="T4" s="31" t="s">
        <v>27</v>
      </c>
      <c r="U4" s="57"/>
      <c r="V4" s="58"/>
      <c r="W4" s="7"/>
      <c r="Y4" s="59" t="s">
        <v>28</v>
      </c>
      <c r="Z4" s="60">
        <v>1</v>
      </c>
      <c r="AA4" s="7" t="s">
        <v>29</v>
      </c>
      <c r="AB4" s="7" t="s">
        <v>30</v>
      </c>
      <c r="AC4" s="61">
        <v>45389</v>
      </c>
      <c r="AD4" s="47" t="s">
        <v>23</v>
      </c>
      <c r="AE4" s="60">
        <v>37.55</v>
      </c>
      <c r="AF4" s="41"/>
      <c r="AG4" s="62"/>
      <c r="AH4" s="63">
        <v>1</v>
      </c>
      <c r="AI4" s="64" t="s">
        <v>4101</v>
      </c>
      <c r="AJ4" s="65"/>
      <c r="AK4" s="61">
        <v>46027</v>
      </c>
      <c r="AL4" s="47" t="s">
        <v>23</v>
      </c>
      <c r="AM4" s="66">
        <v>1805.35</v>
      </c>
    </row>
    <row r="5" customHeight="1" spans="1:39">
      <c r="A5" s="45" t="str">
        <f>BAÑOS!A249</f>
        <v>265</v>
      </c>
      <c r="B5" s="46">
        <f>BAÑOS!AH249</f>
        <v>0</v>
      </c>
      <c r="C5" s="47">
        <f>BAÑOS!AI249</f>
        <v>0</v>
      </c>
      <c r="D5" s="48">
        <f>BAÑOS!AH249</f>
        <v>0</v>
      </c>
      <c r="E5" s="7">
        <f>SAYAUSI!A157</f>
        <v>183</v>
      </c>
      <c r="F5" s="49">
        <f>SAYAUSI!AG157</f>
        <v>0</v>
      </c>
      <c r="G5" s="7">
        <f>SAYAUSI!AI157</f>
        <v>0</v>
      </c>
      <c r="H5" s="12"/>
      <c r="I5" s="50"/>
      <c r="J5" s="51">
        <f>SAYAUSI!AH157</f>
        <v>0</v>
      </c>
      <c r="K5" s="33"/>
      <c r="L5" s="67"/>
      <c r="M5" s="53">
        <v>2</v>
      </c>
      <c r="N5" s="7" t="s">
        <v>4102</v>
      </c>
      <c r="O5" s="54">
        <v>46066</v>
      </c>
      <c r="P5" s="7" t="s">
        <v>56</v>
      </c>
      <c r="Q5" s="55">
        <f>14.37</f>
        <v>14.37</v>
      </c>
      <c r="R5" s="13"/>
      <c r="S5" s="56"/>
      <c r="T5" s="31" t="s">
        <v>32</v>
      </c>
      <c r="U5" s="57"/>
      <c r="V5" s="68"/>
      <c r="W5" s="42" t="s">
        <v>33</v>
      </c>
      <c r="Y5" s="43"/>
      <c r="Z5" s="69">
        <v>2</v>
      </c>
      <c r="AA5" s="70"/>
      <c r="AB5" s="7"/>
      <c r="AC5" s="49"/>
      <c r="AD5" s="7"/>
      <c r="AE5" s="68"/>
      <c r="AF5" s="41"/>
      <c r="AG5" s="71"/>
      <c r="AH5" s="60">
        <v>2</v>
      </c>
      <c r="AI5" s="7" t="s">
        <v>4103</v>
      </c>
      <c r="AK5" s="54">
        <v>46204</v>
      </c>
      <c r="AL5" s="47" t="s">
        <v>23</v>
      </c>
      <c r="AM5" s="66">
        <v>400</v>
      </c>
    </row>
    <row r="6" customHeight="1" spans="1:39">
      <c r="A6" s="45" t="str">
        <f>BAÑOS!A250</f>
        <v>266</v>
      </c>
      <c r="B6" s="46">
        <f>BAÑOS!AH250</f>
        <v>11</v>
      </c>
      <c r="C6" s="47" t="str">
        <f>BAÑOS!AI250</f>
        <v>Efectivo</v>
      </c>
      <c r="D6" s="48">
        <f>BAÑOS!AH250</f>
        <v>11</v>
      </c>
      <c r="E6" s="7">
        <f>SAYAUSI!A158</f>
        <v>184</v>
      </c>
      <c r="F6" s="49">
        <f>SAYAUSI!AG158</f>
        <v>46071</v>
      </c>
      <c r="G6" s="7" t="str">
        <f>SAYAUSI!AI158</f>
        <v>Efectivo</v>
      </c>
      <c r="H6" s="73"/>
      <c r="I6" s="50"/>
      <c r="J6" s="51">
        <f>SAYAUSI!AH158</f>
        <v>8.5</v>
      </c>
      <c r="K6" s="33"/>
      <c r="L6" s="67"/>
      <c r="M6" s="53">
        <v>3</v>
      </c>
      <c r="N6" s="7" t="s">
        <v>4104</v>
      </c>
      <c r="O6" s="54">
        <v>46064</v>
      </c>
      <c r="P6" s="7" t="s">
        <v>56</v>
      </c>
      <c r="Q6" s="55">
        <f>14.99+2.25</f>
        <v>17.24</v>
      </c>
      <c r="R6" s="13"/>
      <c r="S6" s="56"/>
      <c r="T6" s="31" t="s">
        <v>35</v>
      </c>
      <c r="U6" s="57"/>
      <c r="V6" s="68"/>
      <c r="W6" s="42" t="s">
        <v>36</v>
      </c>
      <c r="Y6" s="43"/>
      <c r="Z6" s="69">
        <v>3</v>
      </c>
      <c r="AA6" s="7" t="s">
        <v>37</v>
      </c>
      <c r="AB6" s="7" t="s">
        <v>38</v>
      </c>
      <c r="AC6" s="54">
        <v>46078</v>
      </c>
      <c r="AD6" s="7" t="s">
        <v>23</v>
      </c>
      <c r="AE6" s="74">
        <f>250+1+0.26+13.33</f>
        <v>264.59</v>
      </c>
      <c r="AF6" s="41"/>
      <c r="AG6" s="71"/>
      <c r="AH6" s="63">
        <v>1</v>
      </c>
      <c r="AI6" s="7" t="s">
        <v>4105</v>
      </c>
      <c r="AK6" s="75">
        <v>46045</v>
      </c>
      <c r="AL6" s="47" t="s">
        <v>23</v>
      </c>
      <c r="AM6" s="66">
        <v>683</v>
      </c>
    </row>
    <row r="7" customHeight="1" spans="1:39">
      <c r="A7" s="45" t="str">
        <f>BAÑOS!A252</f>
        <v>268</v>
      </c>
      <c r="B7" s="46">
        <f>BAÑOS!AH252</f>
        <v>4</v>
      </c>
      <c r="C7" s="47" t="str">
        <f>BAÑOS!AI252</f>
        <v>Efectivo</v>
      </c>
      <c r="D7" s="48">
        <f>BAÑOS!AH252</f>
        <v>4</v>
      </c>
      <c r="E7" s="7">
        <f>SAYAUSI!A159</f>
        <v>185</v>
      </c>
      <c r="F7" s="49">
        <f>SAYAUSI!AG159</f>
        <v>46073</v>
      </c>
      <c r="G7" s="7" t="str">
        <f>SAYAUSI!AI159</f>
        <v>Efectivo</v>
      </c>
      <c r="H7" s="7"/>
      <c r="I7" s="7"/>
      <c r="J7" s="51">
        <f>SAYAUSI!AH159</f>
        <v>3.42</v>
      </c>
      <c r="K7" s="33"/>
      <c r="L7" s="67"/>
      <c r="M7" s="63">
        <v>4</v>
      </c>
      <c r="N7" s="64" t="s">
        <v>4106</v>
      </c>
      <c r="O7" s="61">
        <v>46068</v>
      </c>
      <c r="P7" s="7" t="s">
        <v>56</v>
      </c>
      <c r="Q7" s="115">
        <f>135.1+1.7+0.26</f>
        <v>137.06</v>
      </c>
      <c r="R7" s="13"/>
      <c r="S7" s="56"/>
      <c r="T7" s="31" t="s">
        <v>39</v>
      </c>
      <c r="U7" s="4"/>
      <c r="V7" s="58"/>
      <c r="W7" s="7"/>
      <c r="Y7" s="43"/>
      <c r="Z7" s="69">
        <v>4</v>
      </c>
      <c r="AA7" s="7" t="s">
        <v>40</v>
      </c>
      <c r="AB7" s="7" t="s">
        <v>38</v>
      </c>
      <c r="AC7" s="54">
        <v>46078</v>
      </c>
      <c r="AD7" s="7" t="s">
        <v>23</v>
      </c>
      <c r="AE7" s="77">
        <v>14.74</v>
      </c>
      <c r="AF7" s="41"/>
      <c r="AG7" s="71"/>
      <c r="AH7" s="63">
        <v>2</v>
      </c>
      <c r="AI7" s="7" t="s">
        <v>4107</v>
      </c>
      <c r="AK7" s="46">
        <v>46053</v>
      </c>
      <c r="AL7" s="47" t="s">
        <v>23</v>
      </c>
      <c r="AM7" s="72">
        <v>562.96</v>
      </c>
    </row>
    <row r="8" customHeight="1" spans="1:39">
      <c r="A8" s="45" t="str">
        <f>BAÑOS!A253</f>
        <v>269</v>
      </c>
      <c r="B8" s="46">
        <f>BAÑOS!AH253</f>
        <v>13.7</v>
      </c>
      <c r="C8" s="47" t="str">
        <f>BAÑOS!AI253</f>
        <v>Efectivo</v>
      </c>
      <c r="D8" s="48">
        <f>BAÑOS!AH253</f>
        <v>13.7</v>
      </c>
      <c r="E8" s="7">
        <f>SAYAUSI!A160</f>
        <v>186</v>
      </c>
      <c r="F8" s="49">
        <f>SAYAUSI!AG160</f>
        <v>0</v>
      </c>
      <c r="G8" s="7">
        <f>SAYAUSI!AI160</f>
        <v>0</v>
      </c>
      <c r="H8" s="7"/>
      <c r="I8" s="7"/>
      <c r="J8" s="51">
        <f>SAYAUSI!AH160</f>
        <v>0</v>
      </c>
      <c r="K8" s="33"/>
      <c r="L8" s="67"/>
      <c r="M8" s="63">
        <v>5</v>
      </c>
      <c r="N8" s="7" t="s">
        <v>4108</v>
      </c>
      <c r="O8" s="54">
        <v>46065</v>
      </c>
      <c r="P8" s="7" t="s">
        <v>56</v>
      </c>
      <c r="Q8" s="55">
        <v>9.6</v>
      </c>
      <c r="R8" s="13"/>
      <c r="S8" s="56"/>
      <c r="T8" s="78" t="s">
        <v>42</v>
      </c>
      <c r="U8" s="1"/>
      <c r="V8" s="79"/>
      <c r="W8" s="7"/>
      <c r="Y8" s="43"/>
      <c r="Z8" s="60">
        <v>5</v>
      </c>
      <c r="AA8" s="7" t="s">
        <v>43</v>
      </c>
      <c r="AB8" s="7" t="s">
        <v>38</v>
      </c>
      <c r="AC8" s="54">
        <v>46078</v>
      </c>
      <c r="AD8" s="7" t="s">
        <v>23</v>
      </c>
      <c r="AE8" s="77">
        <f>1.99+0.3</f>
        <v>2.29</v>
      </c>
      <c r="AF8" s="29"/>
      <c r="AG8" s="71"/>
      <c r="AH8" s="63">
        <v>3</v>
      </c>
      <c r="AI8" s="7" t="s">
        <v>4103</v>
      </c>
      <c r="AK8" s="75">
        <v>46062</v>
      </c>
      <c r="AL8" s="47" t="s">
        <v>23</v>
      </c>
      <c r="AM8" s="72">
        <v>300</v>
      </c>
    </row>
    <row r="9" customHeight="1" spans="1:39">
      <c r="A9" s="45" t="str">
        <f>BAÑOS!A254</f>
        <v>270</v>
      </c>
      <c r="B9" s="46">
        <f>BAÑOS!AH253</f>
        <v>13.7</v>
      </c>
      <c r="C9" s="47">
        <f>BAÑOS!AI254</f>
        <v>0</v>
      </c>
      <c r="D9" s="48">
        <f>BAÑOS!AH253</f>
        <v>13.7</v>
      </c>
      <c r="E9" s="7">
        <f>SAYAUSI!A161</f>
        <v>187</v>
      </c>
      <c r="F9" s="49">
        <f>SAYAUSI!AG161</f>
        <v>0</v>
      </c>
      <c r="G9" s="7">
        <f>SAYAUSI!AI161</f>
        <v>0</v>
      </c>
      <c r="H9" s="73"/>
      <c r="I9" s="50"/>
      <c r="J9" s="51">
        <f>SAYAUSI!AH161</f>
        <v>0</v>
      </c>
      <c r="K9" s="33"/>
      <c r="L9" s="67"/>
      <c r="M9" s="63">
        <v>6</v>
      </c>
      <c r="N9" s="7" t="s">
        <v>4109</v>
      </c>
      <c r="O9" s="54">
        <v>46072</v>
      </c>
      <c r="P9" s="7" t="s">
        <v>23</v>
      </c>
      <c r="Q9" s="55">
        <v>10</v>
      </c>
      <c r="R9" s="13"/>
      <c r="S9" s="56"/>
      <c r="T9" s="31" t="s">
        <v>45</v>
      </c>
      <c r="U9" s="4"/>
      <c r="V9" s="79"/>
      <c r="W9" s="7"/>
      <c r="Y9" s="43"/>
      <c r="Z9" s="60">
        <v>6</v>
      </c>
      <c r="AA9" s="7" t="s">
        <v>46</v>
      </c>
      <c r="AB9" s="7" t="s">
        <v>38</v>
      </c>
      <c r="AC9" s="54">
        <v>46078</v>
      </c>
      <c r="AD9" s="7" t="s">
        <v>23</v>
      </c>
      <c r="AE9" s="55">
        <v>17.99</v>
      </c>
      <c r="AF9" s="29"/>
      <c r="AG9" s="71"/>
      <c r="AH9" s="63">
        <v>4</v>
      </c>
      <c r="AI9" s="7" t="s">
        <v>4110</v>
      </c>
      <c r="AK9" s="75">
        <v>46081</v>
      </c>
      <c r="AL9" s="47" t="s">
        <v>23</v>
      </c>
      <c r="AM9" s="72">
        <f>Q111</f>
        <v>632.55</v>
      </c>
    </row>
    <row r="10" customHeight="1" spans="1:39">
      <c r="A10" s="45" t="str">
        <f>BAÑOS!A255</f>
        <v>271</v>
      </c>
      <c r="B10" s="46">
        <f>BAÑOS!AH254</f>
        <v>0</v>
      </c>
      <c r="C10" s="7"/>
      <c r="D10" s="48">
        <f>BAÑOS!AH254</f>
        <v>0</v>
      </c>
      <c r="E10" s="7"/>
      <c r="F10" s="49"/>
      <c r="G10" s="7"/>
      <c r="H10" s="7"/>
      <c r="I10" s="7"/>
      <c r="J10" s="51"/>
      <c r="K10" s="33"/>
      <c r="L10" s="67"/>
      <c r="M10" s="63">
        <v>3</v>
      </c>
      <c r="N10" s="7" t="s">
        <v>4111</v>
      </c>
      <c r="O10" s="54">
        <v>46063</v>
      </c>
      <c r="P10" s="7" t="s">
        <v>23</v>
      </c>
      <c r="Q10" s="55">
        <v>60</v>
      </c>
      <c r="R10" s="13"/>
      <c r="S10" s="34"/>
      <c r="T10" s="82" t="s">
        <v>8</v>
      </c>
      <c r="U10" s="83"/>
      <c r="V10" s="84" t="s">
        <v>9</v>
      </c>
      <c r="W10" s="79"/>
      <c r="Y10" s="43"/>
      <c r="Z10" s="60">
        <v>7</v>
      </c>
      <c r="AA10" s="7" t="s">
        <v>48</v>
      </c>
      <c r="AB10" s="7" t="s">
        <v>38</v>
      </c>
      <c r="AC10" s="54">
        <v>46078</v>
      </c>
      <c r="AD10" s="7" t="s">
        <v>23</v>
      </c>
      <c r="AE10" s="77">
        <f>3.11+3.11+3.12</f>
        <v>9.34</v>
      </c>
      <c r="AF10" s="41"/>
      <c r="AG10" s="71"/>
      <c r="AH10" s="63">
        <v>5</v>
      </c>
      <c r="AI10" s="7"/>
      <c r="AK10" s="75"/>
      <c r="AL10" s="47"/>
      <c r="AM10" s="72"/>
    </row>
    <row r="11" customHeight="1" spans="1:39">
      <c r="A11" s="45" t="str">
        <f>BAÑOS!A256</f>
        <v>272</v>
      </c>
      <c r="B11" s="76"/>
      <c r="C11" s="7"/>
      <c r="D11" s="51"/>
      <c r="E11" s="7"/>
      <c r="F11" s="7"/>
      <c r="G11" s="7"/>
      <c r="H11" s="7"/>
      <c r="I11" s="7"/>
      <c r="J11" s="7"/>
      <c r="K11" s="33"/>
      <c r="L11" s="67"/>
      <c r="M11" s="63">
        <v>4</v>
      </c>
      <c r="N11" s="7" t="s">
        <v>4112</v>
      </c>
      <c r="O11" s="54">
        <v>46076</v>
      </c>
      <c r="P11" s="7" t="s">
        <v>56</v>
      </c>
      <c r="Q11" s="55">
        <v>1</v>
      </c>
      <c r="R11" s="13"/>
      <c r="S11" s="85" t="s">
        <v>50</v>
      </c>
      <c r="T11" s="86">
        <f t="shared" ref="T11:T12" si="0">D19+D22+J19+J22+H38+U4-Q128</f>
        <v>0</v>
      </c>
      <c r="U11" s="87">
        <v>0</v>
      </c>
      <c r="V11" s="88"/>
      <c r="W11" s="89">
        <v>0</v>
      </c>
      <c r="Y11" s="43"/>
      <c r="Z11" s="60">
        <v>8</v>
      </c>
      <c r="AA11" s="7" t="s">
        <v>51</v>
      </c>
      <c r="AB11" s="7" t="s">
        <v>38</v>
      </c>
      <c r="AC11" s="54">
        <v>46078</v>
      </c>
      <c r="AD11" s="7" t="s">
        <v>23</v>
      </c>
      <c r="AE11" s="77">
        <f>41.2+1.14</f>
        <v>42.34</v>
      </c>
      <c r="AF11" s="90"/>
      <c r="AG11" s="71"/>
      <c r="AH11" s="63">
        <v>6</v>
      </c>
      <c r="AI11" s="7"/>
      <c r="AK11" s="49"/>
      <c r="AL11" s="7"/>
      <c r="AM11" s="91"/>
    </row>
    <row r="12" customHeight="1" spans="1:39">
      <c r="A12" s="45" t="str">
        <f>BAÑOS!A257</f>
        <v>273</v>
      </c>
      <c r="B12" s="49"/>
      <c r="C12" s="7"/>
      <c r="D12" s="51"/>
      <c r="E12" s="7"/>
      <c r="F12" s="7"/>
      <c r="G12" s="7"/>
      <c r="H12" s="7"/>
      <c r="I12" s="7"/>
      <c r="J12" s="7"/>
      <c r="K12" s="33"/>
      <c r="L12" s="67"/>
      <c r="M12" s="63">
        <v>5</v>
      </c>
      <c r="N12" s="7" t="s">
        <v>4113</v>
      </c>
      <c r="O12" s="49">
        <v>46076</v>
      </c>
      <c r="P12" s="7" t="s">
        <v>56</v>
      </c>
      <c r="Q12" s="68">
        <v>8</v>
      </c>
      <c r="R12" s="13"/>
      <c r="S12" s="85" t="s">
        <v>52</v>
      </c>
      <c r="T12" s="92">
        <f t="shared" si="0"/>
        <v>0</v>
      </c>
      <c r="U12" s="93">
        <v>0</v>
      </c>
      <c r="V12" s="94">
        <f>AB46</f>
        <v>5.6843418860808e-14</v>
      </c>
      <c r="W12" s="95">
        <v>0</v>
      </c>
      <c r="Y12" s="43"/>
      <c r="Z12" s="7">
        <v>9</v>
      </c>
      <c r="AA12" s="7" t="s">
        <v>4114</v>
      </c>
      <c r="AB12" s="7" t="s">
        <v>38</v>
      </c>
      <c r="AC12" s="54">
        <v>46078</v>
      </c>
      <c r="AD12" s="7" t="s">
        <v>23</v>
      </c>
      <c r="AE12" s="96">
        <f>5.75+5.75+6.9+6.9+0.9</f>
        <v>26.2</v>
      </c>
      <c r="AF12" s="90"/>
      <c r="AG12" s="71"/>
      <c r="AH12" s="97">
        <v>7</v>
      </c>
      <c r="AI12" s="7"/>
      <c r="AJ12" s="7"/>
      <c r="AK12" s="46"/>
      <c r="AL12" s="47"/>
      <c r="AM12" s="77"/>
    </row>
    <row r="13" customHeight="1" spans="1:39">
      <c r="A13" s="45" t="str">
        <f>BAÑOS!A258</f>
        <v>274</v>
      </c>
      <c r="B13" s="7"/>
      <c r="C13" s="7"/>
      <c r="D13" s="7"/>
      <c r="E13" s="81"/>
      <c r="F13" s="7"/>
      <c r="G13" s="7"/>
      <c r="H13" s="7"/>
      <c r="I13" s="7"/>
      <c r="J13" s="7"/>
      <c r="K13" s="33"/>
      <c r="L13" s="67"/>
      <c r="M13" s="63">
        <v>6</v>
      </c>
      <c r="N13" s="250" t="s">
        <v>4115</v>
      </c>
      <c r="O13" s="251">
        <v>46076</v>
      </c>
      <c r="P13" s="7" t="s">
        <v>56</v>
      </c>
      <c r="Q13" s="250">
        <v>335.64</v>
      </c>
      <c r="R13" s="13"/>
      <c r="S13" s="85" t="s">
        <v>35</v>
      </c>
      <c r="T13" s="86">
        <f>D21+D24+J21+J24+H40+U6+AE48-Q130</f>
        <v>17.25</v>
      </c>
      <c r="U13" s="93">
        <v>0</v>
      </c>
      <c r="V13" s="88"/>
      <c r="W13" s="91"/>
      <c r="Y13" s="43"/>
      <c r="Z13" s="7">
        <v>10</v>
      </c>
      <c r="AA13" s="7" t="s">
        <v>4116</v>
      </c>
      <c r="AB13" s="7" t="s">
        <v>38</v>
      </c>
      <c r="AC13" s="49">
        <v>46080</v>
      </c>
      <c r="AD13" s="7" t="s">
        <v>23</v>
      </c>
      <c r="AE13" s="96">
        <v>32.36</v>
      </c>
      <c r="AF13" s="90"/>
      <c r="AG13" s="71"/>
      <c r="AH13" s="63">
        <v>8</v>
      </c>
      <c r="AI13" s="7"/>
      <c r="AK13" s="49"/>
      <c r="AL13" s="7"/>
      <c r="AM13" s="68"/>
    </row>
    <row r="14" customHeight="1" spans="1:39">
      <c r="A14" s="7"/>
      <c r="B14" s="7"/>
      <c r="C14" s="7"/>
      <c r="D14" s="7"/>
      <c r="E14" s="81"/>
      <c r="F14" s="7"/>
      <c r="G14" s="7"/>
      <c r="H14" s="7"/>
      <c r="I14" s="7"/>
      <c r="J14" s="7"/>
      <c r="K14" s="33"/>
      <c r="L14" s="67"/>
      <c r="M14" s="63">
        <v>7</v>
      </c>
      <c r="N14" s="7" t="s">
        <v>4117</v>
      </c>
      <c r="O14" s="49">
        <v>46076</v>
      </c>
      <c r="P14" s="7" t="s">
        <v>23</v>
      </c>
      <c r="Q14" s="68">
        <v>53</v>
      </c>
      <c r="R14" s="13"/>
      <c r="S14" s="7"/>
      <c r="T14" s="7"/>
      <c r="U14" s="60">
        <v>0</v>
      </c>
      <c r="V14" s="96"/>
      <c r="W14" s="96"/>
      <c r="Y14" s="43"/>
      <c r="Z14" s="7"/>
      <c r="AA14" s="7"/>
      <c r="AB14" s="7"/>
      <c r="AC14" s="49"/>
      <c r="AD14" s="7"/>
      <c r="AE14" s="96"/>
      <c r="AF14" s="90"/>
      <c r="AG14" s="71"/>
      <c r="AH14" s="98"/>
      <c r="AI14" s="64"/>
      <c r="AJ14" s="64"/>
      <c r="AK14" s="99"/>
      <c r="AL14" s="100" t="s">
        <v>23</v>
      </c>
      <c r="AM14" s="101">
        <f>SUMIF(AL4:AL13,"Pichincha",AM4:AM13)</f>
        <v>4383.86</v>
      </c>
    </row>
    <row r="15" customHeight="1" spans="1:39">
      <c r="A15" s="80"/>
      <c r="B15" s="49"/>
      <c r="C15" s="7"/>
      <c r="D15" s="51"/>
      <c r="E15" s="7"/>
      <c r="F15" s="7"/>
      <c r="G15" s="7"/>
      <c r="H15" s="7"/>
      <c r="I15" s="7"/>
      <c r="J15" s="7"/>
      <c r="K15" s="33"/>
      <c r="L15" s="67"/>
      <c r="M15" s="63">
        <v>8</v>
      </c>
      <c r="N15" s="7" t="s">
        <v>4118</v>
      </c>
      <c r="O15" s="49">
        <v>46079</v>
      </c>
      <c r="P15" s="7" t="s">
        <v>23</v>
      </c>
      <c r="Q15" s="68">
        <v>50</v>
      </c>
      <c r="R15" s="13"/>
      <c r="S15" s="7"/>
      <c r="T15" s="7"/>
      <c r="U15" s="60"/>
      <c r="V15" s="96"/>
      <c r="W15" s="96"/>
      <c r="Y15" s="80"/>
      <c r="Z15" s="81"/>
      <c r="AA15" s="7"/>
      <c r="AB15" s="7"/>
      <c r="AC15" s="49"/>
      <c r="AD15" s="7"/>
      <c r="AE15" s="96"/>
      <c r="AF15" s="90"/>
      <c r="AG15" s="102" t="s">
        <v>53</v>
      </c>
      <c r="AM15" s="43"/>
    </row>
    <row r="16" customHeight="1" spans="1:39">
      <c r="A16" s="80"/>
      <c r="B16" s="49"/>
      <c r="C16" s="7"/>
      <c r="D16" s="51"/>
      <c r="E16" s="7"/>
      <c r="F16" s="7"/>
      <c r="G16" s="7"/>
      <c r="H16" s="7"/>
      <c r="I16" s="7"/>
      <c r="J16" s="7"/>
      <c r="K16" s="33"/>
      <c r="L16" s="67"/>
      <c r="M16" s="63">
        <v>9</v>
      </c>
      <c r="N16" s="7" t="s">
        <v>4119</v>
      </c>
      <c r="O16" s="49">
        <v>46079</v>
      </c>
      <c r="P16" s="7" t="s">
        <v>23</v>
      </c>
      <c r="Q16" s="68">
        <v>43.4</v>
      </c>
      <c r="R16" s="13"/>
      <c r="S16" s="7"/>
      <c r="T16" s="1"/>
      <c r="U16" s="1"/>
      <c r="V16" s="1"/>
      <c r="W16" s="7"/>
      <c r="Y16" s="103"/>
      <c r="Z16" s="1"/>
      <c r="AA16" s="7"/>
      <c r="AB16" s="96"/>
      <c r="AC16" s="49"/>
      <c r="AD16" s="7"/>
      <c r="AE16" s="96"/>
      <c r="AF16" s="90"/>
      <c r="AG16" s="3"/>
      <c r="AH16" s="3"/>
      <c r="AI16" s="3"/>
      <c r="AJ16" s="3"/>
      <c r="AK16" s="3"/>
      <c r="AL16" s="3"/>
      <c r="AM16" s="79"/>
    </row>
    <row r="17" customHeight="1" spans="1:39">
      <c r="A17" s="80"/>
      <c r="B17" s="49"/>
      <c r="C17" s="7"/>
      <c r="D17" s="51"/>
      <c r="E17" s="7"/>
      <c r="F17" s="7"/>
      <c r="G17" s="7"/>
      <c r="H17" s="7"/>
      <c r="I17" s="7"/>
      <c r="J17" s="7"/>
      <c r="K17" s="33"/>
      <c r="L17" s="67"/>
      <c r="M17" s="104">
        <v>10</v>
      </c>
      <c r="N17" s="7" t="s">
        <v>4120</v>
      </c>
      <c r="O17" s="49">
        <v>46079</v>
      </c>
      <c r="P17" s="7" t="s">
        <v>56</v>
      </c>
      <c r="Q17" s="68">
        <v>5</v>
      </c>
      <c r="R17" s="13"/>
      <c r="S17" s="105" t="s">
        <v>45</v>
      </c>
      <c r="T17" s="106">
        <f t="shared" ref="T17:U17" si="1">SUM(T11:T13)+V12+V11</f>
        <v>17.2500000000001</v>
      </c>
      <c r="U17" s="107">
        <f t="shared" si="1"/>
        <v>0</v>
      </c>
      <c r="V17" s="58"/>
      <c r="W17" s="77"/>
      <c r="Y17" s="103"/>
      <c r="Z17" s="60">
        <v>14</v>
      </c>
      <c r="AA17" s="64"/>
      <c r="AB17" s="64"/>
      <c r="AC17" s="61"/>
      <c r="AD17" s="108"/>
      <c r="AE17" s="109"/>
      <c r="AF17" s="90"/>
      <c r="AG17" s="103"/>
      <c r="AH17" s="31" t="s">
        <v>18</v>
      </c>
      <c r="AI17" s="110" t="s">
        <v>24</v>
      </c>
      <c r="AJ17" s="79"/>
      <c r="AK17" s="31" t="s">
        <v>25</v>
      </c>
      <c r="AL17" s="31" t="s">
        <v>14</v>
      </c>
      <c r="AM17" s="111" t="s">
        <v>21</v>
      </c>
    </row>
    <row r="18" customHeight="1" spans="1:39">
      <c r="A18" s="80"/>
      <c r="B18" s="49"/>
      <c r="C18" s="7"/>
      <c r="D18" s="91"/>
      <c r="E18" s="252" t="str">
        <f>SAYAUSI!A75</f>
        <v>101</v>
      </c>
      <c r="F18" s="49">
        <v>46063</v>
      </c>
      <c r="G18" s="7" t="s">
        <v>35</v>
      </c>
      <c r="H18" s="7"/>
      <c r="I18" s="7"/>
      <c r="J18" s="91">
        <v>3.34</v>
      </c>
      <c r="K18" s="33"/>
      <c r="L18" s="67"/>
      <c r="M18" s="63">
        <v>11</v>
      </c>
      <c r="N18" s="7" t="s">
        <v>4121</v>
      </c>
      <c r="O18" s="49">
        <v>46079</v>
      </c>
      <c r="P18" s="7" t="s">
        <v>56</v>
      </c>
      <c r="Q18" s="68">
        <v>1.5</v>
      </c>
      <c r="R18" s="13"/>
      <c r="S18" s="31" t="s">
        <v>54</v>
      </c>
      <c r="T18" s="112"/>
      <c r="U18" s="113"/>
      <c r="V18" s="7"/>
      <c r="W18" s="7"/>
      <c r="Y18" s="103"/>
      <c r="Z18" s="60">
        <v>15</v>
      </c>
      <c r="AA18" s="7"/>
      <c r="AB18" s="7"/>
      <c r="AC18" s="49"/>
      <c r="AD18" s="7"/>
      <c r="AE18" s="96"/>
      <c r="AF18" s="90"/>
      <c r="AG18" s="114" t="s">
        <v>55</v>
      </c>
      <c r="AH18" s="60">
        <v>1</v>
      </c>
      <c r="AI18" s="64" t="s">
        <v>4122</v>
      </c>
      <c r="AJ18" s="65"/>
      <c r="AK18" s="61">
        <v>46204</v>
      </c>
      <c r="AL18" s="64" t="s">
        <v>23</v>
      </c>
      <c r="AM18" s="253">
        <v>790.41</v>
      </c>
    </row>
    <row r="19" customHeight="1" spans="1:39">
      <c r="A19" s="116"/>
      <c r="B19" s="117"/>
      <c r="C19" s="118" t="s">
        <v>56</v>
      </c>
      <c r="D19" s="119">
        <f>SUMIF(BAÑOS!AI2:AI247,C19,BAÑOS!AH2:AH247)+SUMIF(C4:C18,C19,D4:D18)</f>
        <v>2901.97</v>
      </c>
      <c r="E19" s="120"/>
      <c r="F19" s="121" t="s">
        <v>57</v>
      </c>
      <c r="G19" s="3"/>
      <c r="H19" s="122"/>
      <c r="I19" s="123" t="s">
        <v>56</v>
      </c>
      <c r="J19" s="124">
        <f>SUMIF(SAYAUSI!AI2:AI152,I19,SAYAUSI!AH2:AH152)+SUMIF(G4:G18,I19,J4:J18)</f>
        <v>32.04</v>
      </c>
      <c r="K19" s="33"/>
      <c r="L19" s="67"/>
      <c r="M19" s="63">
        <v>12</v>
      </c>
      <c r="N19" s="7" t="s">
        <v>4123</v>
      </c>
      <c r="O19" s="49">
        <v>46079</v>
      </c>
      <c r="P19" s="7" t="s">
        <v>23</v>
      </c>
      <c r="Q19" s="68">
        <v>6.58</v>
      </c>
      <c r="R19" s="13"/>
      <c r="S19" s="105" t="s">
        <v>58</v>
      </c>
      <c r="T19" s="125">
        <f>T17+V17</f>
        <v>17.2500000000001</v>
      </c>
      <c r="U19" s="79"/>
      <c r="V19" s="7"/>
      <c r="W19" s="7"/>
      <c r="Y19" s="126"/>
      <c r="Z19" s="64"/>
      <c r="AA19" s="64"/>
      <c r="AB19" s="64"/>
      <c r="AC19" s="99"/>
      <c r="AD19" s="127" t="s">
        <v>56</v>
      </c>
      <c r="AE19" s="128">
        <f>SUMIF($AD$4:$AD$18,"Efectivo",$AE$4:AE18)</f>
        <v>0</v>
      </c>
      <c r="AF19" s="90"/>
      <c r="AG19" s="43"/>
      <c r="AH19" s="69">
        <v>2</v>
      </c>
      <c r="AI19" s="7" t="s">
        <v>4124</v>
      </c>
      <c r="AK19" s="54">
        <v>46062</v>
      </c>
      <c r="AL19" s="7" t="s">
        <v>23</v>
      </c>
      <c r="AM19" s="77">
        <v>790.41</v>
      </c>
    </row>
    <row r="20" customHeight="1" spans="1:39">
      <c r="A20" s="81"/>
      <c r="B20" s="56"/>
      <c r="C20" s="118" t="s">
        <v>23</v>
      </c>
      <c r="D20" s="119">
        <f>SUMIF(BAÑOS!AI2:AI247,C20,BAÑOS!AH2:AH247)+SUMIF(C4:C18,C20,D4:D18)</f>
        <v>839.7</v>
      </c>
      <c r="E20" s="129" t="s">
        <v>59</v>
      </c>
      <c r="F20" s="31" t="s">
        <v>13</v>
      </c>
      <c r="G20" s="31" t="s">
        <v>14</v>
      </c>
      <c r="H20" s="111" t="s">
        <v>15</v>
      </c>
      <c r="I20" s="130" t="s">
        <v>23</v>
      </c>
      <c r="J20" s="124">
        <f>SUMIF(SAYAUSI!AI2:AI152,I20,SAYAUSI!AH2:AH152)+SUMIF(G4:G18,I20,J4:J18)</f>
        <v>1495.22</v>
      </c>
      <c r="K20" s="33"/>
      <c r="L20" s="67"/>
      <c r="M20" s="63">
        <v>13</v>
      </c>
      <c r="N20" s="7" t="s">
        <v>4125</v>
      </c>
      <c r="O20" s="49">
        <v>46081</v>
      </c>
      <c r="P20" s="7" t="s">
        <v>23</v>
      </c>
      <c r="Q20" s="68">
        <v>100.41</v>
      </c>
      <c r="R20" s="13"/>
      <c r="S20" s="56"/>
      <c r="T20" s="110" t="s">
        <v>60</v>
      </c>
      <c r="U20" s="58"/>
      <c r="V20" s="7"/>
      <c r="W20" s="7"/>
      <c r="Y20" s="80"/>
      <c r="Z20" s="7"/>
      <c r="AA20" s="96"/>
      <c r="AB20" s="96"/>
      <c r="AC20" s="49"/>
      <c r="AD20" s="127" t="s">
        <v>23</v>
      </c>
      <c r="AE20" s="128">
        <f>SUMIF($AD$4:$AD$18,"Pichincha",$AE$4:AE19)</f>
        <v>447.4</v>
      </c>
      <c r="AF20" s="90"/>
      <c r="AG20" s="43"/>
      <c r="AH20" s="69">
        <v>3</v>
      </c>
      <c r="AI20" s="131"/>
      <c r="AK20" s="132"/>
      <c r="AL20" s="47"/>
      <c r="AM20" s="101"/>
    </row>
    <row r="21" customHeight="1" spans="1:39">
      <c r="A21" s="81"/>
      <c r="B21" s="56"/>
      <c r="C21" s="118" t="s">
        <v>35</v>
      </c>
      <c r="D21" s="119">
        <f>SUMIF(BAÑOS!AI2:AI247,C21,BAÑOS!AH2:AH247)+SUMIF(C4:C18,C21,D4:D18)</f>
        <v>706.76</v>
      </c>
      <c r="E21" s="254" t="str">
        <f t="shared" ref="E21:E22" si="2">P107</f>
        <v>JEP</v>
      </c>
      <c r="F21" s="255">
        <f t="shared" ref="F21:F22" si="3">O107</f>
        <v>46066</v>
      </c>
      <c r="G21" s="254" t="str">
        <f t="shared" ref="G21:G22" si="4">N107</f>
        <v>Pichincha</v>
      </c>
      <c r="H21" s="256">
        <f t="shared" ref="H21:H22" si="5">Q107-0.41</f>
        <v>337.57</v>
      </c>
      <c r="I21" s="130" t="s">
        <v>35</v>
      </c>
      <c r="J21" s="124">
        <f>SUMIF(SAYAUSI!AI2:AI152,I21,SAYAUSI!AH2:AH152)+SUMIF(G4:G18,I21,J4:J18)</f>
        <v>1015.76</v>
      </c>
      <c r="K21" s="33"/>
      <c r="L21" s="67"/>
      <c r="M21" s="63">
        <v>14</v>
      </c>
      <c r="N21" s="7" t="s">
        <v>4126</v>
      </c>
      <c r="O21" s="49">
        <v>46082</v>
      </c>
      <c r="P21" s="7" t="s">
        <v>23</v>
      </c>
      <c r="Q21" s="68">
        <v>12.5</v>
      </c>
      <c r="R21" s="13"/>
      <c r="S21" s="56"/>
      <c r="T21" s="110" t="s">
        <v>61</v>
      </c>
      <c r="U21" s="58"/>
      <c r="V21" s="7"/>
      <c r="W21" s="7"/>
      <c r="Y21" s="80"/>
      <c r="Z21" s="7"/>
      <c r="AA21" s="7"/>
      <c r="AB21" s="96"/>
      <c r="AC21" s="49"/>
      <c r="AD21" s="127" t="s">
        <v>35</v>
      </c>
      <c r="AE21" s="128">
        <f>SUMIF($AD$4:$AD$18,"JEP",$AE$4:AE20)</f>
        <v>0</v>
      </c>
      <c r="AF21" s="90"/>
      <c r="AG21" s="43"/>
      <c r="AH21" s="69">
        <v>4</v>
      </c>
      <c r="AI21" s="96"/>
      <c r="AK21" s="54"/>
      <c r="AL21" s="47"/>
      <c r="AM21" s="77"/>
    </row>
    <row r="22" customHeight="1" spans="1:39">
      <c r="A22" s="81"/>
      <c r="B22" s="56"/>
      <c r="C22" s="118" t="s">
        <v>62</v>
      </c>
      <c r="D22" s="119">
        <f>SUMIF(BAÑOS!AI2:AI247,C22,BAÑOS!AH2:AH247)+SUMIF(C4:C18,C22,D4:D18)</f>
        <v>0</v>
      </c>
      <c r="E22" s="254" t="str">
        <f t="shared" si="2"/>
        <v>Efectivo</v>
      </c>
      <c r="F22" s="255">
        <f t="shared" si="3"/>
        <v>46066</v>
      </c>
      <c r="G22" s="254" t="str">
        <f t="shared" si="4"/>
        <v>Pichincha</v>
      </c>
      <c r="H22" s="256">
        <f t="shared" si="5"/>
        <v>539.67</v>
      </c>
      <c r="I22" s="130" t="s">
        <v>62</v>
      </c>
      <c r="J22" s="124">
        <f>SUMIF(SAYAUSI!AI2:AI152,I22,SAYAUSI!AH2:AH152)+SUMIF(G4:G18,I22,J4:J18)</f>
        <v>0</v>
      </c>
      <c r="K22" s="33"/>
      <c r="L22" s="138"/>
      <c r="M22" s="53">
        <v>1</v>
      </c>
      <c r="N22" s="7"/>
      <c r="O22" s="49"/>
      <c r="P22" s="7"/>
      <c r="Q22" s="68"/>
      <c r="R22" s="13"/>
      <c r="S22" s="7"/>
      <c r="T22" s="1"/>
      <c r="U22" s="1"/>
      <c r="V22" s="7"/>
      <c r="W22" s="7"/>
      <c r="Y22" s="80"/>
      <c r="Z22" s="7"/>
      <c r="AA22" s="7"/>
      <c r="AB22" s="7"/>
      <c r="AC22" s="49"/>
      <c r="AD22" s="139"/>
      <c r="AE22" s="58"/>
      <c r="AF22" s="90"/>
      <c r="AG22" s="43"/>
      <c r="AH22" s="60">
        <v>5</v>
      </c>
      <c r="AI22" s="7"/>
      <c r="AJ22" s="7"/>
      <c r="AK22" s="54"/>
      <c r="AL22" s="47"/>
      <c r="AM22" s="60"/>
    </row>
    <row r="23" customHeight="1" spans="1:39">
      <c r="A23" s="81"/>
      <c r="B23" s="56"/>
      <c r="C23" s="118" t="s">
        <v>63</v>
      </c>
      <c r="D23" s="119">
        <f>SUMIF(BAÑOS!AI2:AI247,C23,BAÑOS!AH2:AH247)+SUMIF(C4:C18,C23,D4:D18)</f>
        <v>0</v>
      </c>
      <c r="E23" s="254" t="str">
        <f t="shared" ref="E23:F23" si="6">AA25</f>
        <v>Pichincha</v>
      </c>
      <c r="F23" s="255">
        <f t="shared" si="6"/>
        <v>46066</v>
      </c>
      <c r="G23" s="254" t="str">
        <f t="shared" ref="G23:H23" si="7">AD25</f>
        <v>Pichincha</v>
      </c>
      <c r="H23" s="257">
        <f t="shared" si="7"/>
        <v>70.45</v>
      </c>
      <c r="I23" s="130" t="s">
        <v>63</v>
      </c>
      <c r="J23" s="124">
        <f>SUMIF(SAYAUSI!AI2:AI152,I23,SAYAUSI!AH2:AH152)+SUMIF(G4:G18,I23,J4:J18)</f>
        <v>0</v>
      </c>
      <c r="K23" s="33"/>
      <c r="L23" s="71"/>
      <c r="M23" s="53">
        <v>2</v>
      </c>
      <c r="N23" s="64"/>
      <c r="O23" s="99"/>
      <c r="P23" s="64"/>
      <c r="Q23" s="141"/>
      <c r="R23" s="13"/>
      <c r="S23" s="34"/>
      <c r="T23" s="142" t="s">
        <v>64</v>
      </c>
      <c r="U23" s="31" t="s">
        <v>65</v>
      </c>
      <c r="V23" s="143" t="s">
        <v>66</v>
      </c>
      <c r="W23" s="143" t="s">
        <v>67</v>
      </c>
      <c r="Y23" s="120"/>
      <c r="Z23" s="120"/>
      <c r="AA23" s="121" t="s">
        <v>68</v>
      </c>
      <c r="AB23" s="120"/>
      <c r="AC23" s="120"/>
      <c r="AD23" s="120"/>
      <c r="AE23" s="144"/>
      <c r="AF23" s="90"/>
      <c r="AG23" s="43"/>
      <c r="AH23" s="60">
        <v>6</v>
      </c>
      <c r="AI23" s="7"/>
      <c r="AJ23" s="7"/>
      <c r="AK23" s="54"/>
      <c r="AL23" s="7"/>
      <c r="AM23" s="55"/>
    </row>
    <row r="24" customHeight="1" spans="1:39">
      <c r="A24" s="81"/>
      <c r="B24" s="56"/>
      <c r="C24" s="118" t="s">
        <v>69</v>
      </c>
      <c r="D24" s="119">
        <f>SUMIF(BAÑOS!AI2:AI247,C24,BAÑOS!AH2:AH247)+SUMIF(C4:C18,C24,D4:D18)</f>
        <v>0</v>
      </c>
      <c r="E24" s="134" t="s">
        <v>23</v>
      </c>
      <c r="F24" s="135">
        <v>46078</v>
      </c>
      <c r="G24" s="134" t="s">
        <v>23</v>
      </c>
      <c r="H24" s="101">
        <f t="shared" ref="H24:H25" si="8">AE26</f>
        <v>184.95</v>
      </c>
      <c r="I24" s="130" t="s">
        <v>69</v>
      </c>
      <c r="J24" s="124">
        <f>SUMIF(SAYAUSI!AI2:AI152,I24,SAYAUSI!AH2:AH152)+SUMIF(G4:G18,I24,J4:J18)</f>
        <v>0</v>
      </c>
      <c r="K24" s="33"/>
      <c r="L24" s="146"/>
      <c r="M24" s="53">
        <v>3</v>
      </c>
      <c r="N24" s="7"/>
      <c r="O24" s="49"/>
      <c r="P24" s="7"/>
      <c r="Q24" s="68"/>
      <c r="R24" s="13"/>
      <c r="S24" s="31" t="s">
        <v>70</v>
      </c>
      <c r="T24" s="147">
        <f>SUM(BAÑOS!IY2:IY207)+SUM(BAÑOS!JA2:JA207)+SUM(BAÑOS!JB2:JB207)</f>
        <v>0</v>
      </c>
      <c r="U24" s="148">
        <f>COUNTIF(BAÑOS!JA2:JA207,"&lt;&gt;")</f>
        <v>0</v>
      </c>
      <c r="V24" s="149">
        <f>SUM(BAÑOS!HQ2:HQ185)+SUM(BAÑOS!HS2:HS185)</f>
        <v>0</v>
      </c>
      <c r="W24" s="150">
        <f ca="1">SUMIF(BAÑOS!HR2:HR185,"",BAÑOS!HU6:HU185)</f>
        <v>0</v>
      </c>
      <c r="Y24" s="34"/>
      <c r="Z24" s="31" t="s">
        <v>18</v>
      </c>
      <c r="AA24" s="31" t="s">
        <v>71</v>
      </c>
      <c r="AB24" s="1"/>
      <c r="AC24" s="31" t="s">
        <v>25</v>
      </c>
      <c r="AD24" s="31" t="s">
        <v>71</v>
      </c>
      <c r="AE24" s="32" t="s">
        <v>21</v>
      </c>
      <c r="AF24" s="90"/>
      <c r="AG24" s="43"/>
      <c r="AH24" s="60">
        <v>7</v>
      </c>
      <c r="AI24" s="7"/>
      <c r="AJ24" s="7"/>
      <c r="AK24" s="54"/>
      <c r="AL24" s="7"/>
      <c r="AM24" s="55"/>
    </row>
    <row r="25" customHeight="1" spans="1:39">
      <c r="A25" s="81"/>
      <c r="B25" s="56"/>
      <c r="C25" s="118" t="s">
        <v>72</v>
      </c>
      <c r="D25" s="119">
        <f>SUMIF(BAÑOS!AI2:AI247,C25,BAÑOS!AH2:AH247)+SUMIF(C4:C18,C25,D4:D18)</f>
        <v>0</v>
      </c>
      <c r="E25" s="134" t="s">
        <v>23</v>
      </c>
      <c r="F25" s="135">
        <v>46078</v>
      </c>
      <c r="G25" s="134" t="s">
        <v>23</v>
      </c>
      <c r="H25" s="101">
        <f t="shared" si="8"/>
        <v>216.15</v>
      </c>
      <c r="I25" s="151" t="s">
        <v>72</v>
      </c>
      <c r="J25" s="124">
        <f>SUMIF(SAYAUSI!AI2:AI152,I25,SAYAUSI!AH2:AH152)+SUMIF(G4:G18,I25,J4:J18)</f>
        <v>0</v>
      </c>
      <c r="K25" s="33"/>
      <c r="L25" s="152" t="s">
        <v>73</v>
      </c>
      <c r="M25" s="53">
        <v>1</v>
      </c>
      <c r="N25" s="7"/>
      <c r="O25" s="54"/>
      <c r="P25" s="7"/>
      <c r="Q25" s="55"/>
      <c r="R25" s="13"/>
      <c r="S25" s="31" t="s">
        <v>74</v>
      </c>
      <c r="T25" s="147">
        <f>SUM(SAYAUSI!JR2:JR115)+SUM(SAYAUSI!JT2:JT115)+SUM(SAYAUSI!JU2:JU115)</f>
        <v>0</v>
      </c>
      <c r="U25" s="148">
        <f>COUNTIF(SAYAUSI!JT2:JT115,"&lt;&gt;")</f>
        <v>0</v>
      </c>
      <c r="V25" s="149">
        <f>SUM(SAYAUSI!ID2:ID109)+SUM(SAYAUSI!IG2:IG109)</f>
        <v>0</v>
      </c>
      <c r="W25" s="150">
        <f>SUMIF(SAYAUSI!ID2:ID109,"",SAYAUSI!II2:II109)</f>
        <v>0</v>
      </c>
      <c r="Y25" s="153" t="s">
        <v>75</v>
      </c>
      <c r="Z25" s="69">
        <v>1</v>
      </c>
      <c r="AA25" s="7" t="s">
        <v>23</v>
      </c>
      <c r="AB25" s="49">
        <v>46066</v>
      </c>
      <c r="AC25" s="54">
        <v>46066</v>
      </c>
      <c r="AD25" s="7" t="s">
        <v>23</v>
      </c>
      <c r="AE25" s="72">
        <v>70.45</v>
      </c>
      <c r="AF25" s="90"/>
      <c r="AG25" s="43"/>
      <c r="AH25" s="60">
        <v>8</v>
      </c>
      <c r="AI25" s="7"/>
      <c r="AJ25" s="7"/>
      <c r="AK25" s="54"/>
      <c r="AL25" s="7"/>
      <c r="AM25" s="55"/>
    </row>
    <row r="26" customHeight="1" spans="1:39">
      <c r="A26" s="7"/>
      <c r="B26" s="56"/>
      <c r="C26" s="118" t="s">
        <v>76</v>
      </c>
      <c r="D26" s="119">
        <f>SUMIF(BAÑOS!AI2:AI247,C26,BAÑOS!AH2:AH247)+SUMIF(C4:C18,C26,D4:D18)</f>
        <v>0</v>
      </c>
      <c r="E26" s="7" t="s">
        <v>56</v>
      </c>
      <c r="F26" s="73">
        <v>46080</v>
      </c>
      <c r="G26" s="7" t="s">
        <v>23</v>
      </c>
      <c r="H26" s="68">
        <f t="shared" ref="H26:H27" si="9">Q109-0.41</f>
        <v>1708.11</v>
      </c>
      <c r="I26" s="154" t="s">
        <v>76</v>
      </c>
      <c r="J26" s="124">
        <f>SUMIF(SAYAUSI!AI2:AI152,I26,SAYAUSI!AH2:AH152)+SUMIF(G4:G18,I26,J4:J18)</f>
        <v>0</v>
      </c>
      <c r="K26" s="33"/>
      <c r="L26" s="43"/>
      <c r="M26" s="53">
        <v>2</v>
      </c>
      <c r="N26" s="7"/>
      <c r="O26" s="54"/>
      <c r="P26" s="7"/>
      <c r="Q26" s="55"/>
      <c r="R26" s="13"/>
      <c r="S26" s="143" t="s">
        <v>77</v>
      </c>
      <c r="T26" s="77">
        <f>SUM(D4:D18)+SUM(J4:J18)</f>
        <v>57.66</v>
      </c>
      <c r="U26" s="155"/>
      <c r="V26" s="156"/>
      <c r="W26" s="38"/>
      <c r="Y26" s="43"/>
      <c r="Z26" s="69">
        <v>2</v>
      </c>
      <c r="AA26" s="7" t="s">
        <v>23</v>
      </c>
      <c r="AB26" s="49">
        <v>46078</v>
      </c>
      <c r="AC26" s="49">
        <v>46078</v>
      </c>
      <c r="AD26" s="7" t="s">
        <v>23</v>
      </c>
      <c r="AE26" s="68">
        <v>184.95</v>
      </c>
      <c r="AF26" s="90"/>
      <c r="AG26" s="43"/>
      <c r="AH26" s="60">
        <v>9</v>
      </c>
      <c r="AI26" s="7"/>
      <c r="AJ26" s="7"/>
      <c r="AK26" s="54"/>
      <c r="AL26" s="7"/>
      <c r="AM26" s="72"/>
    </row>
    <row r="27" customHeight="1" spans="1:39">
      <c r="A27" s="12"/>
      <c r="B27" s="158"/>
      <c r="C27" s="159" t="s">
        <v>45</v>
      </c>
      <c r="D27" s="160">
        <f>SUM(D19:D26)</f>
        <v>4448.43</v>
      </c>
      <c r="E27" s="7" t="s">
        <v>35</v>
      </c>
      <c r="F27" s="73">
        <v>46080</v>
      </c>
      <c r="G27" s="7" t="s">
        <v>23</v>
      </c>
      <c r="H27" s="68">
        <f t="shared" si="9"/>
        <v>904.71</v>
      </c>
      <c r="I27" s="161" t="s">
        <v>78</v>
      </c>
      <c r="J27" s="162">
        <f>SUM(J19:J26)</f>
        <v>2543.02</v>
      </c>
      <c r="K27" s="33"/>
      <c r="L27" s="43"/>
      <c r="M27" s="163">
        <v>3</v>
      </c>
      <c r="N27" s="7"/>
      <c r="O27" s="49"/>
      <c r="P27" s="7"/>
      <c r="Q27" s="68"/>
      <c r="R27" s="13"/>
      <c r="S27" s="164" t="s">
        <v>79</v>
      </c>
      <c r="T27" s="165">
        <f>SUM(PLATAFORMA!BK2:BK38)</f>
        <v>0</v>
      </c>
      <c r="U27" s="98"/>
      <c r="V27" s="166"/>
      <c r="W27" s="38"/>
      <c r="Y27" s="43"/>
      <c r="Z27" s="69">
        <v>3</v>
      </c>
      <c r="AA27" s="7" t="s">
        <v>23</v>
      </c>
      <c r="AB27" s="49">
        <v>46078</v>
      </c>
      <c r="AC27" s="49">
        <v>46078</v>
      </c>
      <c r="AD27" s="7" t="s">
        <v>23</v>
      </c>
      <c r="AE27" s="68">
        <v>216.15</v>
      </c>
      <c r="AF27" s="29"/>
      <c r="AG27" s="43"/>
      <c r="AH27" s="60">
        <v>10</v>
      </c>
      <c r="AI27" s="7"/>
      <c r="AJ27" s="54"/>
      <c r="AK27" s="54"/>
      <c r="AL27" s="7"/>
      <c r="AM27" s="55"/>
    </row>
    <row r="28" customHeight="1" spans="1:39">
      <c r="A28" s="7"/>
      <c r="B28" s="49"/>
      <c r="C28" s="167"/>
      <c r="D28" s="51"/>
      <c r="E28" s="7"/>
      <c r="F28" s="73"/>
      <c r="G28" s="7"/>
      <c r="H28" s="68"/>
      <c r="I28" s="96"/>
      <c r="J28" s="96"/>
      <c r="K28" s="33"/>
      <c r="L28" s="168" t="s">
        <v>80</v>
      </c>
      <c r="M28" s="169">
        <v>1</v>
      </c>
      <c r="N28" s="7"/>
      <c r="O28" s="7"/>
      <c r="P28" s="7"/>
      <c r="Q28" s="7"/>
      <c r="R28" s="13"/>
      <c r="S28" s="7"/>
      <c r="T28" s="7"/>
      <c r="U28" s="7"/>
      <c r="V28" s="7"/>
      <c r="W28" s="7"/>
      <c r="Y28" s="43"/>
      <c r="Z28" s="69">
        <v>4</v>
      </c>
      <c r="AA28" s="7"/>
      <c r="AB28" s="7"/>
      <c r="AC28" s="49"/>
      <c r="AD28" s="7"/>
      <c r="AE28" s="68"/>
      <c r="AF28" s="90"/>
      <c r="AG28" s="43"/>
      <c r="AH28" s="60">
        <v>11</v>
      </c>
      <c r="AI28" s="7"/>
      <c r="AJ28" s="54"/>
      <c r="AK28" s="54"/>
      <c r="AL28" s="7"/>
      <c r="AM28" s="101"/>
    </row>
    <row r="29" customHeight="1" spans="1:39">
      <c r="A29" s="7"/>
      <c r="B29" s="49"/>
      <c r="C29" s="167"/>
      <c r="D29" s="51"/>
      <c r="E29" s="7"/>
      <c r="F29" s="73"/>
      <c r="G29" s="7"/>
      <c r="H29" s="68"/>
      <c r="I29" s="96"/>
      <c r="J29" s="96"/>
      <c r="K29" s="33"/>
      <c r="L29" s="43"/>
      <c r="M29" s="53">
        <v>2</v>
      </c>
      <c r="N29" s="7"/>
      <c r="O29" s="49"/>
      <c r="P29" s="7"/>
      <c r="Q29" s="68"/>
      <c r="R29" s="13"/>
      <c r="S29" s="7"/>
      <c r="T29" s="96"/>
      <c r="U29" s="7"/>
      <c r="V29" s="7"/>
      <c r="W29" s="7"/>
      <c r="Y29" s="43"/>
      <c r="Z29" s="69">
        <v>5</v>
      </c>
      <c r="AA29" s="7"/>
      <c r="AB29" s="7"/>
      <c r="AC29" s="49"/>
      <c r="AD29" s="7"/>
      <c r="AE29" s="68"/>
      <c r="AF29" s="29"/>
      <c r="AG29" s="43"/>
      <c r="AH29" s="60">
        <v>12</v>
      </c>
      <c r="AI29" s="7"/>
      <c r="AJ29" s="7"/>
      <c r="AK29" s="54"/>
      <c r="AL29" s="7"/>
      <c r="AM29" s="170"/>
    </row>
    <row r="30" customHeight="1" spans="1:39">
      <c r="A30" s="7"/>
      <c r="B30" s="49"/>
      <c r="C30" s="167"/>
      <c r="D30" s="51"/>
      <c r="E30" s="7"/>
      <c r="F30" s="73"/>
      <c r="G30" s="7"/>
      <c r="H30" s="68"/>
      <c r="I30" s="96"/>
      <c r="J30" s="96"/>
      <c r="K30" s="33"/>
      <c r="L30" s="79"/>
      <c r="M30" s="53">
        <v>3</v>
      </c>
      <c r="N30" s="7"/>
      <c r="O30" s="49"/>
      <c r="P30" s="7"/>
      <c r="Q30" s="68"/>
      <c r="R30" s="13"/>
      <c r="S30" s="171" t="s">
        <v>45</v>
      </c>
      <c r="T30" s="172">
        <f>SUM(T24:T29)</f>
        <v>57.66</v>
      </c>
      <c r="U30" s="173">
        <f>SUM(U24:U25)</f>
        <v>0</v>
      </c>
      <c r="V30" s="174"/>
      <c r="W30" s="7"/>
      <c r="Y30" s="43"/>
      <c r="Z30" s="69">
        <v>6</v>
      </c>
      <c r="AA30" s="7"/>
      <c r="AB30" s="12"/>
      <c r="AC30" s="49"/>
      <c r="AD30" s="7"/>
      <c r="AE30" s="68"/>
      <c r="AF30" s="29"/>
      <c r="AG30" s="43"/>
      <c r="AH30" s="60">
        <v>13</v>
      </c>
      <c r="AI30" s="7" t="s">
        <v>4127</v>
      </c>
      <c r="AJ30" s="7"/>
      <c r="AK30" s="54">
        <v>46036</v>
      </c>
      <c r="AL30" s="7" t="s">
        <v>23</v>
      </c>
      <c r="AM30" s="170">
        <v>1015.45</v>
      </c>
    </row>
    <row r="31" customHeight="1" spans="1:39">
      <c r="A31" s="12"/>
      <c r="B31" s="73"/>
      <c r="C31" s="167"/>
      <c r="D31" s="51"/>
      <c r="E31" s="7"/>
      <c r="F31" s="73"/>
      <c r="G31" s="7"/>
      <c r="H31" s="68"/>
      <c r="I31" s="96"/>
      <c r="J31" s="96"/>
      <c r="K31" s="33"/>
      <c r="L31" s="152" t="s">
        <v>81</v>
      </c>
      <c r="M31" s="53">
        <v>1</v>
      </c>
      <c r="R31" s="13"/>
      <c r="S31" s="143" t="s">
        <v>82</v>
      </c>
      <c r="T31" s="175">
        <f>SUM(Q4:Q100)+SUM(AE4:AE18)</f>
        <v>7023.03</v>
      </c>
      <c r="U31" s="34"/>
      <c r="V31" s="38"/>
      <c r="W31" s="7"/>
      <c r="Y31" s="43"/>
      <c r="Z31" s="69">
        <v>7</v>
      </c>
      <c r="AA31" s="7"/>
      <c r="AB31" s="12"/>
      <c r="AC31" s="49"/>
      <c r="AD31" s="7"/>
      <c r="AE31" s="68"/>
      <c r="AF31" s="41"/>
      <c r="AG31" s="43"/>
      <c r="AH31" s="60">
        <v>14</v>
      </c>
      <c r="AI31" s="7" t="s">
        <v>4128</v>
      </c>
      <c r="AK31" s="54">
        <v>46049</v>
      </c>
      <c r="AL31" s="7" t="s">
        <v>23</v>
      </c>
      <c r="AM31" s="55">
        <f>437.61+0.5</f>
        <v>438.11</v>
      </c>
    </row>
    <row r="32" customHeight="1" spans="1:39">
      <c r="A32" s="7"/>
      <c r="B32" s="7"/>
      <c r="C32" s="167"/>
      <c r="D32" s="51"/>
      <c r="E32" s="7"/>
      <c r="F32" s="73"/>
      <c r="G32" s="7"/>
      <c r="H32" s="68"/>
      <c r="I32" s="96"/>
      <c r="J32" s="96"/>
      <c r="K32" s="33"/>
      <c r="L32" s="43"/>
      <c r="M32" s="53">
        <v>2</v>
      </c>
      <c r="N32" s="7"/>
      <c r="O32" s="54"/>
      <c r="P32" s="7"/>
      <c r="Q32" s="55"/>
      <c r="R32" s="13"/>
      <c r="S32" s="34"/>
      <c r="T32" s="34"/>
      <c r="U32" s="34"/>
      <c r="V32" s="38"/>
      <c r="W32" s="7"/>
      <c r="Y32" s="43"/>
      <c r="Z32" s="60">
        <v>8</v>
      </c>
      <c r="AA32" s="7"/>
      <c r="AB32" s="7"/>
      <c r="AC32" s="49"/>
      <c r="AD32" s="7"/>
      <c r="AE32" s="68"/>
      <c r="AF32" s="41"/>
      <c r="AG32" s="43"/>
      <c r="AH32" s="60">
        <v>15</v>
      </c>
      <c r="AI32" s="7"/>
      <c r="AJ32" s="7"/>
      <c r="AK32" s="54"/>
      <c r="AL32" s="7"/>
      <c r="AM32" s="60"/>
    </row>
    <row r="33" customHeight="1" spans="1:39">
      <c r="A33" s="7"/>
      <c r="B33" s="49"/>
      <c r="C33" s="167"/>
      <c r="D33" s="51"/>
      <c r="E33" s="7"/>
      <c r="F33" s="73"/>
      <c r="G33" s="7"/>
      <c r="H33" s="68"/>
      <c r="I33" s="96"/>
      <c r="J33" s="96"/>
      <c r="K33" s="33"/>
      <c r="L33" s="43"/>
      <c r="M33" s="53">
        <v>1</v>
      </c>
      <c r="N33" s="7"/>
      <c r="O33" s="49"/>
      <c r="P33" s="7"/>
      <c r="Q33" s="68"/>
      <c r="R33" s="13"/>
      <c r="S33" s="31" t="s">
        <v>83</v>
      </c>
      <c r="T33" s="177">
        <f>T30-T31</f>
        <v>-6965.37</v>
      </c>
      <c r="U33" s="34"/>
      <c r="V33" s="38"/>
      <c r="W33" s="7"/>
      <c r="Y33" s="79"/>
      <c r="Z33" s="178">
        <v>9</v>
      </c>
      <c r="AA33" s="1"/>
      <c r="AB33" s="1"/>
      <c r="AC33" s="7"/>
      <c r="AD33" s="1"/>
      <c r="AE33" s="179"/>
      <c r="AF33" s="41"/>
      <c r="AG33" s="43"/>
      <c r="AH33" s="60">
        <v>16</v>
      </c>
      <c r="AI33" s="64"/>
      <c r="AJ33" s="65"/>
      <c r="AK33" s="61"/>
      <c r="AL33" s="64"/>
      <c r="AM33" s="115"/>
    </row>
    <row r="34" customHeight="1" spans="1:39">
      <c r="A34" s="12"/>
      <c r="B34" s="73"/>
      <c r="C34" s="167"/>
      <c r="D34" s="51"/>
      <c r="E34" s="7"/>
      <c r="F34" s="73"/>
      <c r="G34" s="7"/>
      <c r="H34" s="68"/>
      <c r="I34" s="96"/>
      <c r="J34" s="96"/>
      <c r="K34" s="33"/>
      <c r="L34" s="43"/>
      <c r="M34" s="53">
        <v>2</v>
      </c>
      <c r="N34" s="7"/>
      <c r="O34" s="49"/>
      <c r="P34" s="7"/>
      <c r="Q34" s="91"/>
      <c r="R34" s="13"/>
      <c r="S34" s="7"/>
      <c r="T34" s="7"/>
      <c r="U34" s="7"/>
      <c r="V34" s="7"/>
      <c r="W34" s="7"/>
      <c r="Y34" s="153" t="s">
        <v>84</v>
      </c>
      <c r="Z34" s="69">
        <v>1</v>
      </c>
      <c r="AA34" s="7"/>
      <c r="AB34" s="7"/>
      <c r="AC34" s="180"/>
      <c r="AD34" s="7"/>
      <c r="AE34" s="68"/>
      <c r="AF34" s="41"/>
      <c r="AG34" s="43"/>
      <c r="AH34" s="181">
        <v>1</v>
      </c>
      <c r="AI34" s="7"/>
      <c r="AK34" s="54"/>
      <c r="AL34" s="7"/>
      <c r="AM34" s="77"/>
    </row>
    <row r="35" customHeight="1" spans="1:39">
      <c r="A35" s="12"/>
      <c r="B35" s="73"/>
      <c r="C35" s="167"/>
      <c r="D35" s="51"/>
      <c r="E35" s="7"/>
      <c r="F35" s="73"/>
      <c r="G35" s="7"/>
      <c r="H35" s="68"/>
      <c r="I35" s="96"/>
      <c r="J35" s="96"/>
      <c r="K35" s="33"/>
      <c r="L35" s="43"/>
      <c r="M35" s="53">
        <v>3</v>
      </c>
      <c r="N35" s="7"/>
      <c r="O35" s="49"/>
      <c r="P35" s="7"/>
      <c r="Q35" s="68"/>
      <c r="R35" s="13"/>
      <c r="S35" s="7"/>
      <c r="T35" s="7"/>
      <c r="U35" s="7"/>
      <c r="V35" s="7"/>
      <c r="W35" s="7"/>
      <c r="Y35" s="43"/>
      <c r="Z35" s="69">
        <v>2</v>
      </c>
      <c r="AA35" s="7"/>
      <c r="AB35" s="7"/>
      <c r="AC35" s="49"/>
      <c r="AD35" s="7"/>
      <c r="AE35" s="68"/>
      <c r="AF35" s="41"/>
      <c r="AG35" s="43"/>
      <c r="AH35" s="60">
        <v>2</v>
      </c>
      <c r="AI35" s="7"/>
      <c r="AJ35" s="7"/>
      <c r="AK35" s="54"/>
      <c r="AL35" s="7"/>
      <c r="AM35" s="55"/>
    </row>
    <row r="36" customHeight="1" spans="1:39">
      <c r="A36" s="12"/>
      <c r="B36" s="73"/>
      <c r="C36" s="167"/>
      <c r="D36" s="51"/>
      <c r="E36" s="7"/>
      <c r="F36" s="73"/>
      <c r="G36" s="7"/>
      <c r="H36" s="68"/>
      <c r="I36" s="96"/>
      <c r="J36" s="96"/>
      <c r="K36" s="33"/>
      <c r="L36" s="43"/>
      <c r="M36" s="53">
        <v>4</v>
      </c>
      <c r="N36" s="7"/>
      <c r="O36" s="49"/>
      <c r="P36" s="7"/>
      <c r="Q36" s="68"/>
      <c r="R36" s="13"/>
      <c r="S36" s="182"/>
      <c r="T36" s="40" t="s">
        <v>85</v>
      </c>
      <c r="U36" s="40" t="s">
        <v>86</v>
      </c>
      <c r="V36" s="39" t="s">
        <v>87</v>
      </c>
      <c r="W36" s="7" t="s">
        <v>4129</v>
      </c>
      <c r="Y36" s="43"/>
      <c r="Z36" s="69">
        <v>3</v>
      </c>
      <c r="AA36" s="7"/>
      <c r="AB36" s="7"/>
      <c r="AC36" s="7"/>
      <c r="AD36" s="7"/>
      <c r="AE36" s="7"/>
      <c r="AF36" s="41"/>
      <c r="AG36" s="43"/>
      <c r="AH36" s="60">
        <v>3</v>
      </c>
      <c r="AI36" s="7"/>
      <c r="AJ36" s="7"/>
      <c r="AK36" s="54"/>
      <c r="AL36" s="7"/>
      <c r="AM36" s="55"/>
    </row>
    <row r="37" customHeight="1" spans="1:39">
      <c r="A37" s="12"/>
      <c r="B37" s="73"/>
      <c r="C37" s="167"/>
      <c r="D37" s="51"/>
      <c r="E37" s="1"/>
      <c r="F37" s="183"/>
      <c r="G37" s="7"/>
      <c r="H37" s="58"/>
      <c r="I37" s="96"/>
      <c r="J37" s="96"/>
      <c r="K37" s="33"/>
      <c r="L37" s="43"/>
      <c r="M37" s="53">
        <v>5</v>
      </c>
      <c r="N37" s="7"/>
      <c r="O37" s="49"/>
      <c r="P37" s="7"/>
      <c r="Q37" s="68"/>
      <c r="R37" s="13"/>
      <c r="S37" s="39" t="s">
        <v>89</v>
      </c>
      <c r="T37" s="184">
        <v>10</v>
      </c>
      <c r="U37" s="74"/>
      <c r="V37" s="68"/>
      <c r="W37" s="60"/>
      <c r="Y37" s="43"/>
      <c r="Z37" s="69">
        <v>4</v>
      </c>
      <c r="AA37" s="7"/>
      <c r="AB37" s="7"/>
      <c r="AC37" s="49"/>
      <c r="AD37" s="7"/>
      <c r="AE37" s="68"/>
      <c r="AF37" s="41"/>
      <c r="AG37" s="43"/>
      <c r="AH37" s="60">
        <v>4</v>
      </c>
      <c r="AI37" s="7"/>
      <c r="AJ37" s="7"/>
      <c r="AK37" s="54"/>
      <c r="AL37" s="7"/>
      <c r="AM37" s="55"/>
    </row>
    <row r="38" customHeight="1" spans="1:39">
      <c r="A38" s="7"/>
      <c r="B38" s="49"/>
      <c r="C38" s="167"/>
      <c r="D38" s="167"/>
      <c r="E38" s="7"/>
      <c r="F38" s="56"/>
      <c r="G38" s="185" t="s">
        <v>56</v>
      </c>
      <c r="H38" s="128">
        <f>SUMIF(G21:G37,"Efectivo",H21:H37)</f>
        <v>0</v>
      </c>
      <c r="I38" s="96"/>
      <c r="J38" s="96"/>
      <c r="K38" s="33"/>
      <c r="L38" s="43"/>
      <c r="M38" s="53">
        <v>6</v>
      </c>
      <c r="N38" s="7"/>
      <c r="O38" s="49"/>
      <c r="P38" s="7"/>
      <c r="Q38" s="7"/>
      <c r="R38" s="13"/>
      <c r="S38" s="40" t="s">
        <v>8</v>
      </c>
      <c r="T38" s="186">
        <v>350</v>
      </c>
      <c r="U38" s="74">
        <v>360</v>
      </c>
      <c r="V38" s="101">
        <v>360</v>
      </c>
      <c r="W38" s="7"/>
      <c r="Y38" s="43"/>
      <c r="Z38" s="69">
        <v>5</v>
      </c>
      <c r="AA38" s="7"/>
      <c r="AB38" s="7"/>
      <c r="AC38" s="49"/>
      <c r="AD38" s="7"/>
      <c r="AE38" s="68"/>
      <c r="AF38" s="41"/>
      <c r="AG38" s="43"/>
      <c r="AH38" s="60">
        <v>5</v>
      </c>
      <c r="AI38" s="7"/>
      <c r="AJ38" s="7"/>
      <c r="AK38" s="54"/>
      <c r="AL38" s="7"/>
      <c r="AM38" s="55"/>
    </row>
    <row r="39" customHeight="1" spans="1:39">
      <c r="A39" s="12"/>
      <c r="B39" s="73"/>
      <c r="C39" s="167"/>
      <c r="D39" s="167"/>
      <c r="E39" s="7"/>
      <c r="F39" s="56"/>
      <c r="G39" s="31" t="s">
        <v>90</v>
      </c>
      <c r="H39" s="128">
        <f>SUMIF(G21:G37,"Pichincha",H21:H37)</f>
        <v>3961.61</v>
      </c>
      <c r="I39" s="96"/>
      <c r="J39" s="96"/>
      <c r="K39" s="33"/>
      <c r="L39" s="43"/>
      <c r="M39" s="53">
        <v>7</v>
      </c>
      <c r="N39" s="1"/>
      <c r="O39" s="187"/>
      <c r="P39" s="1"/>
      <c r="Q39" s="7"/>
      <c r="R39" s="13"/>
      <c r="S39" s="143" t="s">
        <v>91</v>
      </c>
      <c r="T39" s="188"/>
      <c r="U39" s="167"/>
      <c r="V39" s="68"/>
      <c r="W39" s="7"/>
      <c r="Y39" s="79"/>
      <c r="Z39" s="189">
        <v>6</v>
      </c>
      <c r="AA39" s="1"/>
      <c r="AB39" s="1"/>
      <c r="AC39" s="49"/>
      <c r="AD39" s="7"/>
      <c r="AE39" s="58"/>
      <c r="AF39" s="29"/>
      <c r="AG39" s="43"/>
      <c r="AH39" s="60">
        <v>6</v>
      </c>
      <c r="AI39" s="176"/>
      <c r="AK39" s="54"/>
      <c r="AL39" s="7"/>
      <c r="AM39" s="55"/>
    </row>
    <row r="40" customHeight="1" spans="1:39">
      <c r="A40" s="12"/>
      <c r="B40" s="73"/>
      <c r="C40" s="167"/>
      <c r="D40" s="167"/>
      <c r="E40" s="7"/>
      <c r="F40" s="56"/>
      <c r="G40" s="31" t="s">
        <v>92</v>
      </c>
      <c r="H40" s="128">
        <f>SUMIF(G21:G37,"JEP",H21:H37)</f>
        <v>0</v>
      </c>
      <c r="I40" s="96"/>
      <c r="J40" s="96"/>
      <c r="K40" s="33"/>
      <c r="L40" s="190" t="s">
        <v>93</v>
      </c>
      <c r="M40" s="191">
        <v>1</v>
      </c>
      <c r="N40" s="7"/>
      <c r="O40" s="49"/>
      <c r="P40" s="7"/>
      <c r="Q40" s="91"/>
      <c r="R40" s="13"/>
      <c r="S40" s="40" t="s">
        <v>94</v>
      </c>
      <c r="T40" s="192"/>
      <c r="U40" s="77"/>
      <c r="V40" s="68"/>
      <c r="W40" s="7"/>
      <c r="Y40" s="7"/>
      <c r="Z40" s="7"/>
      <c r="AA40" s="7"/>
      <c r="AB40" s="56"/>
      <c r="AC40" s="193"/>
      <c r="AD40" s="127" t="s">
        <v>95</v>
      </c>
      <c r="AE40" s="128">
        <f>SUMIF($AD$25:$AD$33,"Efectivo",$AE$25:$AE$33)</f>
        <v>0</v>
      </c>
      <c r="AF40" s="29"/>
      <c r="AG40" s="43"/>
      <c r="AH40" s="60">
        <v>1</v>
      </c>
      <c r="AI40" s="7"/>
      <c r="AJ40" s="7"/>
      <c r="AK40" s="54"/>
      <c r="AL40" s="7"/>
      <c r="AM40" s="55"/>
    </row>
    <row r="41" customHeight="1" spans="1:39">
      <c r="A41" s="12"/>
      <c r="B41" s="73"/>
      <c r="C41" s="167"/>
      <c r="D41" s="167"/>
      <c r="E41" s="7"/>
      <c r="F41" s="7"/>
      <c r="G41" s="194" t="s">
        <v>96</v>
      </c>
      <c r="H41" s="195">
        <f t="shared" ref="H41:H43" si="10">D19+H38+J19</f>
        <v>2934.01</v>
      </c>
      <c r="I41" s="7"/>
      <c r="J41" s="51"/>
      <c r="K41" s="33"/>
      <c r="L41" s="43"/>
      <c r="M41" s="196">
        <v>2</v>
      </c>
      <c r="N41" s="7"/>
      <c r="O41" s="49"/>
      <c r="P41" s="7"/>
      <c r="Q41" s="91"/>
      <c r="R41" s="13"/>
      <c r="S41" s="40" t="s">
        <v>97</v>
      </c>
      <c r="T41" s="188"/>
      <c r="U41" s="96"/>
      <c r="V41" s="68"/>
      <c r="W41" s="7"/>
      <c r="Y41" s="7"/>
      <c r="Z41" s="7"/>
      <c r="AA41" s="7"/>
      <c r="AB41" s="56"/>
      <c r="AC41" s="193"/>
      <c r="AD41" s="127" t="s">
        <v>98</v>
      </c>
      <c r="AE41" s="128">
        <f>SUMIF($AD$25:$AD$33,"Pichincha",$AE$25:$AE$33)</f>
        <v>471.55</v>
      </c>
      <c r="AF41" s="41"/>
      <c r="AG41" s="43"/>
      <c r="AH41" s="60">
        <v>2</v>
      </c>
      <c r="AI41" s="7"/>
      <c r="AJ41" s="7"/>
      <c r="AK41" s="54"/>
      <c r="AL41" s="7"/>
      <c r="AM41" s="55"/>
    </row>
    <row r="42" customHeight="1" spans="1:39">
      <c r="A42" s="12"/>
      <c r="B42" s="73"/>
      <c r="C42" s="167"/>
      <c r="D42" s="167"/>
      <c r="E42" s="7"/>
      <c r="F42" s="56"/>
      <c r="G42" s="194" t="s">
        <v>99</v>
      </c>
      <c r="H42" s="195">
        <f t="shared" si="10"/>
        <v>6296.53</v>
      </c>
      <c r="I42" s="50"/>
      <c r="J42" s="51"/>
      <c r="K42" s="33"/>
      <c r="L42" s="43"/>
      <c r="M42" s="196">
        <v>3</v>
      </c>
      <c r="N42" s="7"/>
      <c r="O42" s="49"/>
      <c r="P42" s="7"/>
      <c r="Q42" s="91"/>
      <c r="R42" s="13"/>
      <c r="S42" s="40" t="s">
        <v>100</v>
      </c>
      <c r="T42" s="197">
        <v>5.25</v>
      </c>
      <c r="U42" s="198">
        <v>18.5</v>
      </c>
      <c r="V42" s="115">
        <v>17.25</v>
      </c>
      <c r="W42" s="258"/>
      <c r="Y42" s="7"/>
      <c r="Z42" s="7"/>
      <c r="AA42" s="7"/>
      <c r="AB42" s="56"/>
      <c r="AC42" s="193"/>
      <c r="AD42" s="127" t="s">
        <v>101</v>
      </c>
      <c r="AE42" s="128">
        <f>SUMIF($AD$25:$AD$33,"JEP",$AE$25:$AE$33)</f>
        <v>0</v>
      </c>
      <c r="AF42" s="41"/>
      <c r="AG42" s="43"/>
      <c r="AH42" s="60">
        <v>3</v>
      </c>
      <c r="AI42" s="7"/>
      <c r="AJ42" s="7"/>
      <c r="AK42" s="54"/>
      <c r="AL42" s="7"/>
      <c r="AM42" s="55"/>
    </row>
    <row r="43" customHeight="1" spans="1:39">
      <c r="A43" s="12"/>
      <c r="B43" s="73"/>
      <c r="C43" s="167"/>
      <c r="D43" s="167"/>
      <c r="E43" s="7"/>
      <c r="F43" s="56"/>
      <c r="G43" s="194" t="s">
        <v>102</v>
      </c>
      <c r="H43" s="195">
        <f t="shared" si="10"/>
        <v>1722.52</v>
      </c>
      <c r="I43" s="50"/>
      <c r="J43" s="51"/>
      <c r="K43" s="33"/>
      <c r="L43" s="43"/>
      <c r="M43" s="196">
        <v>4</v>
      </c>
      <c r="N43" s="7"/>
      <c r="O43" s="49"/>
      <c r="P43" s="7"/>
      <c r="Q43" s="68"/>
      <c r="R43" s="13"/>
      <c r="S43" s="40" t="s">
        <v>97</v>
      </c>
      <c r="T43" s="188">
        <v>2</v>
      </c>
      <c r="U43" s="96"/>
      <c r="V43" s="68"/>
      <c r="W43" s="7"/>
      <c r="Y43" s="7"/>
      <c r="Z43" s="7"/>
      <c r="AA43" s="7"/>
      <c r="AB43" s="56"/>
      <c r="AC43" s="199"/>
      <c r="AD43" s="130" t="s">
        <v>103</v>
      </c>
      <c r="AE43" s="128">
        <f>SUMIF($AD$34:$AD$39,"Efectivo",$AE$34:$AE$39)</f>
        <v>0</v>
      </c>
      <c r="AF43" s="41"/>
      <c r="AG43" s="43"/>
      <c r="AH43" s="60">
        <v>4</v>
      </c>
      <c r="AI43" s="7"/>
      <c r="AJ43" s="7"/>
      <c r="AK43" s="54"/>
      <c r="AL43" s="7"/>
      <c r="AM43" s="55"/>
    </row>
    <row r="44" customHeight="1" spans="1:39">
      <c r="A44" s="12"/>
      <c r="B44" s="73"/>
      <c r="C44" s="167"/>
      <c r="D44" s="167"/>
      <c r="E44" s="12"/>
      <c r="F44" s="73"/>
      <c r="G44" s="7"/>
      <c r="H44" s="73"/>
      <c r="I44" s="50"/>
      <c r="J44" s="51"/>
      <c r="K44" s="33"/>
      <c r="L44" s="43"/>
      <c r="M44" s="200">
        <v>5</v>
      </c>
      <c r="N44" s="7"/>
      <c r="O44" s="49"/>
      <c r="P44" s="7"/>
      <c r="Q44" s="7"/>
      <c r="R44" s="13"/>
      <c r="S44" s="40" t="s">
        <v>104</v>
      </c>
      <c r="T44" s="188">
        <v>5</v>
      </c>
      <c r="U44" s="96"/>
      <c r="V44" s="56"/>
      <c r="W44" s="7"/>
      <c r="Y44" s="7"/>
      <c r="Z44" s="7"/>
      <c r="AA44" s="7"/>
      <c r="AB44" s="56"/>
      <c r="AC44" s="199"/>
      <c r="AD44" s="130" t="s">
        <v>105</v>
      </c>
      <c r="AE44" s="128">
        <f>SUMIF($AD$34:$AD$39,"Pichincha",$AE$34:$AE$39)</f>
        <v>0</v>
      </c>
      <c r="AF44" s="41"/>
      <c r="AG44" s="43"/>
      <c r="AH44" s="60">
        <v>1</v>
      </c>
      <c r="AI44" s="7"/>
      <c r="AJ44" s="7"/>
      <c r="AK44" s="54"/>
      <c r="AL44" s="7"/>
      <c r="AM44" s="55"/>
    </row>
    <row r="45" customHeight="1" spans="1:39">
      <c r="A45" s="12"/>
      <c r="B45" s="73"/>
      <c r="C45" s="167"/>
      <c r="D45" s="167"/>
      <c r="E45" s="12"/>
      <c r="F45" s="73"/>
      <c r="G45" s="7"/>
      <c r="H45" s="73"/>
      <c r="I45" s="50"/>
      <c r="J45" s="51"/>
      <c r="K45" s="33"/>
      <c r="L45" s="43"/>
      <c r="M45" s="53">
        <v>6</v>
      </c>
      <c r="N45" s="7"/>
      <c r="O45" s="49"/>
      <c r="P45" s="7"/>
      <c r="Q45" s="68"/>
      <c r="R45" s="13"/>
      <c r="S45" s="40" t="s">
        <v>106</v>
      </c>
      <c r="T45" s="188">
        <v>70</v>
      </c>
      <c r="U45" s="96"/>
      <c r="V45" s="56"/>
      <c r="W45" s="7"/>
      <c r="Y45" s="1"/>
      <c r="Z45" s="1"/>
      <c r="AA45" s="1"/>
      <c r="AB45" s="34"/>
      <c r="AC45" s="201"/>
      <c r="AD45" s="130" t="s">
        <v>107</v>
      </c>
      <c r="AE45" s="128">
        <f>SUMIF($AD$34:$AD$39,"JEP",$AE$34:$AE$39)</f>
        <v>0</v>
      </c>
      <c r="AF45" s="41"/>
      <c r="AG45" s="43"/>
      <c r="AH45" s="60">
        <v>2</v>
      </c>
      <c r="AI45" s="7"/>
      <c r="AJ45" s="7"/>
      <c r="AK45" s="54"/>
      <c r="AL45" s="7"/>
      <c r="AM45" s="55"/>
    </row>
    <row r="46" customHeight="1" spans="1:39">
      <c r="A46" s="12"/>
      <c r="B46" s="73"/>
      <c r="C46" s="167"/>
      <c r="D46" s="167"/>
      <c r="E46" s="12"/>
      <c r="F46" s="73"/>
      <c r="G46" s="7"/>
      <c r="H46" s="73"/>
      <c r="I46" s="50"/>
      <c r="J46" s="51"/>
      <c r="K46" s="33"/>
      <c r="L46" s="43"/>
      <c r="M46" s="63">
        <v>7</v>
      </c>
      <c r="N46" s="7"/>
      <c r="O46" s="49"/>
      <c r="P46" s="7"/>
      <c r="Q46" s="68"/>
      <c r="R46" s="13"/>
      <c r="S46" s="40" t="s">
        <v>8</v>
      </c>
      <c r="T46" s="202">
        <v>277.75</v>
      </c>
      <c r="U46" s="1">
        <v>341.5</v>
      </c>
      <c r="V46" s="203">
        <v>342.75</v>
      </c>
      <c r="W46" s="7"/>
      <c r="Y46" s="96"/>
      <c r="Z46" s="68"/>
      <c r="AA46" s="204" t="s">
        <v>45</v>
      </c>
      <c r="AB46" s="205">
        <f>SUM(AE46:AE47)</f>
        <v>5.6843418860808e-14</v>
      </c>
      <c r="AC46" s="206"/>
      <c r="AD46" s="194" t="s">
        <v>56</v>
      </c>
      <c r="AE46" s="128">
        <f>SUMIF(PLATAFORMA!Z2:Z50,AD46,PLATAFORMA!Y2:Y50)+SUMIF(BAÑOS!AL2:AL247,AD46,BAÑOS!AK2:AK247)+SUMIF(SAYAUSI!AL2:AL152,AD46,SAYAUSI!Z2:Z152)-AE19-AE40+AE43</f>
        <v>4</v>
      </c>
      <c r="AF46" s="41"/>
      <c r="AG46" s="43"/>
      <c r="AH46" s="60">
        <v>3</v>
      </c>
      <c r="AI46" s="7"/>
      <c r="AJ46" s="7"/>
      <c r="AK46" s="54"/>
      <c r="AL46" s="7"/>
      <c r="AM46" s="55"/>
    </row>
    <row r="47" customHeight="1" spans="1:39">
      <c r="A47" s="12"/>
      <c r="B47" s="73"/>
      <c r="C47" s="167"/>
      <c r="D47" s="167"/>
      <c r="E47" s="12"/>
      <c r="F47" s="73"/>
      <c r="G47" s="7"/>
      <c r="H47" s="73"/>
      <c r="I47" s="50"/>
      <c r="J47" s="51"/>
      <c r="K47" s="33"/>
      <c r="L47" s="43"/>
      <c r="M47" s="63">
        <v>8</v>
      </c>
      <c r="N47" s="7"/>
      <c r="O47" s="7"/>
      <c r="P47" s="7"/>
      <c r="Q47" s="7"/>
      <c r="R47" s="13"/>
      <c r="S47" s="7"/>
      <c r="T47" s="207">
        <f t="shared" ref="T47:V47" si="11">SUM(T37:T46)</f>
        <v>720</v>
      </c>
      <c r="U47" s="208">
        <f t="shared" si="11"/>
        <v>720</v>
      </c>
      <c r="V47" s="209">
        <f t="shared" si="11"/>
        <v>720</v>
      </c>
      <c r="W47" s="7"/>
      <c r="Y47" s="96"/>
      <c r="Z47" s="68"/>
      <c r="AA47" s="43"/>
      <c r="AB47" s="67"/>
      <c r="AC47" s="206"/>
      <c r="AD47" s="194" t="s">
        <v>23</v>
      </c>
      <c r="AE47" s="128">
        <f>SUMIF(PLATAFORMA!Z2:Z50,AD47,PLATAFORMA!Y2:Y50)+SUMIF(BAÑOS!AL2:AL247,AD47,BAÑOS!AK2:AK247)+SUMIF(SAYAUSI!AL2:AL152,AD47,SAYAUSI!Z2:Z152)-AE20-AE41+AE44</f>
        <v>-3.99999999999994</v>
      </c>
      <c r="AF47" s="41"/>
      <c r="AG47" s="43"/>
      <c r="AH47" s="60">
        <v>1</v>
      </c>
      <c r="AI47" s="7"/>
      <c r="AJ47" s="7"/>
      <c r="AK47" s="54"/>
      <c r="AL47" s="7"/>
      <c r="AM47" s="55"/>
    </row>
    <row r="48" customHeight="1" spans="1:39">
      <c r="A48" s="12"/>
      <c r="B48" s="73"/>
      <c r="C48" s="167"/>
      <c r="D48" s="167"/>
      <c r="E48" s="12"/>
      <c r="F48" s="73"/>
      <c r="G48" s="7"/>
      <c r="H48" s="73"/>
      <c r="I48" s="50"/>
      <c r="J48" s="51"/>
      <c r="K48" s="33"/>
      <c r="L48" s="43"/>
      <c r="M48" s="53">
        <v>9</v>
      </c>
      <c r="N48" s="7"/>
      <c r="O48" s="7"/>
      <c r="P48" s="7"/>
      <c r="Q48" s="7"/>
      <c r="R48" s="13"/>
      <c r="S48" s="7"/>
      <c r="T48" s="7"/>
      <c r="U48" s="7"/>
      <c r="V48" s="7"/>
      <c r="W48" s="7"/>
      <c r="Y48" s="7"/>
      <c r="Z48" s="56"/>
      <c r="AA48" s="79"/>
      <c r="AB48" s="138"/>
      <c r="AC48" s="206"/>
      <c r="AD48" s="210" t="s">
        <v>35</v>
      </c>
      <c r="AE48" s="128">
        <f>SUMIF(PLATAFORMA!Z2:Z50,AD48,PLATAFORMA!Y2:Y50)+SUMIF(BAÑOS!AL2:AL247,AD48,BAÑOS!AK2:AK247)+SUMIF(SAYAUSI!AL2:AL152,AD48,SAYAUSI!Z2:Z152)-AE21-AE42+AE45</f>
        <v>64.07</v>
      </c>
      <c r="AF48" s="41"/>
      <c r="AG48" s="43"/>
      <c r="AH48" s="60">
        <v>2</v>
      </c>
      <c r="AI48" s="7"/>
      <c r="AJ48" s="7"/>
      <c r="AK48" s="54"/>
      <c r="AL48" s="7"/>
      <c r="AM48" s="55"/>
    </row>
    <row r="49" customHeight="1" spans="1:39">
      <c r="A49" s="12"/>
      <c r="B49" s="73"/>
      <c r="C49" s="167"/>
      <c r="D49" s="167"/>
      <c r="E49" s="12"/>
      <c r="F49" s="73"/>
      <c r="G49" s="7"/>
      <c r="H49" s="73"/>
      <c r="I49" s="50"/>
      <c r="J49" s="51"/>
      <c r="K49" s="33"/>
      <c r="L49" s="43"/>
      <c r="M49" s="211">
        <v>10</v>
      </c>
      <c r="N49" s="7"/>
      <c r="O49" s="7"/>
      <c r="P49" s="7"/>
      <c r="Q49" s="7"/>
      <c r="R49" s="13"/>
      <c r="S49" s="7"/>
      <c r="T49" s="7"/>
      <c r="U49" s="7"/>
      <c r="V49" s="7"/>
      <c r="W49" s="7"/>
      <c r="Y49" s="7"/>
      <c r="Z49" s="7"/>
      <c r="AA49" s="7"/>
      <c r="AB49" s="7"/>
      <c r="AC49" s="7"/>
      <c r="AD49" s="7"/>
      <c r="AE49" s="56"/>
      <c r="AF49" s="41"/>
      <c r="AG49" s="43"/>
      <c r="AH49" s="60">
        <v>3</v>
      </c>
      <c r="AI49" s="7"/>
      <c r="AJ49" s="7"/>
      <c r="AK49" s="54"/>
      <c r="AL49" s="7"/>
      <c r="AM49" s="55"/>
    </row>
    <row r="50" customHeight="1" spans="1:39">
      <c r="A50" s="12"/>
      <c r="B50" s="73"/>
      <c r="C50" s="167"/>
      <c r="D50" s="167"/>
      <c r="E50" s="12"/>
      <c r="F50" s="73"/>
      <c r="G50" s="7"/>
      <c r="H50" s="73"/>
      <c r="I50" s="50"/>
      <c r="J50" s="51"/>
      <c r="K50" s="33"/>
      <c r="L50" s="43"/>
      <c r="M50" s="53">
        <v>11</v>
      </c>
      <c r="N50" s="7"/>
      <c r="O50" s="7"/>
      <c r="P50" s="7"/>
      <c r="Q50" s="7"/>
      <c r="R50" s="13"/>
      <c r="S50" s="7"/>
      <c r="T50" s="7"/>
      <c r="U50" s="7"/>
      <c r="V50" s="7"/>
      <c r="W50" s="7"/>
      <c r="Y50" s="7"/>
      <c r="Z50" s="7"/>
      <c r="AA50" s="7"/>
      <c r="AB50" s="7"/>
      <c r="AC50" s="7"/>
      <c r="AD50" s="7"/>
      <c r="AE50" s="7"/>
      <c r="AF50" s="41"/>
      <c r="AG50" s="43"/>
      <c r="AH50" s="60">
        <v>4</v>
      </c>
      <c r="AI50" s="7"/>
      <c r="AJ50" s="7"/>
      <c r="AK50" s="54"/>
      <c r="AL50" s="7"/>
      <c r="AM50" s="55"/>
    </row>
    <row r="51" customHeight="1" spans="1:39">
      <c r="A51" s="7"/>
      <c r="B51" s="49"/>
      <c r="C51" s="167"/>
      <c r="D51" s="167"/>
      <c r="E51" s="12"/>
      <c r="F51" s="73"/>
      <c r="G51" s="7"/>
      <c r="H51" s="73"/>
      <c r="I51" s="50"/>
      <c r="J51" s="51"/>
      <c r="K51" s="33"/>
      <c r="L51" s="79"/>
      <c r="M51" s="38"/>
      <c r="N51" s="1"/>
      <c r="O51" s="1"/>
      <c r="P51" s="1"/>
      <c r="Q51" s="7"/>
      <c r="R51" s="13"/>
      <c r="S51" s="7"/>
      <c r="T51" s="7"/>
      <c r="U51" s="7"/>
      <c r="V51" s="7"/>
      <c r="W51" s="7"/>
      <c r="Y51" s="7"/>
      <c r="Z51" s="7"/>
      <c r="AA51" s="7"/>
      <c r="AB51" s="7"/>
      <c r="AC51" s="7"/>
      <c r="AD51" s="7"/>
      <c r="AE51" s="7"/>
      <c r="AF51" s="41"/>
      <c r="AG51" s="43"/>
      <c r="AH51" s="60">
        <v>5</v>
      </c>
      <c r="AI51" s="7"/>
      <c r="AJ51" s="7"/>
      <c r="AK51" s="54"/>
      <c r="AL51" s="7"/>
      <c r="AM51" s="55"/>
    </row>
    <row r="52" customHeight="1" spans="1:39">
      <c r="A52" s="7"/>
      <c r="B52" s="49"/>
      <c r="C52" s="167"/>
      <c r="D52" s="167"/>
      <c r="E52" s="12"/>
      <c r="F52" s="73"/>
      <c r="G52" s="7"/>
      <c r="H52" s="73"/>
      <c r="I52" s="50"/>
      <c r="J52" s="51"/>
      <c r="K52" s="33"/>
      <c r="L52" s="212" t="s">
        <v>108</v>
      </c>
      <c r="M52" s="63">
        <v>1</v>
      </c>
      <c r="N52" s="7"/>
      <c r="O52" s="49"/>
      <c r="P52" s="64"/>
      <c r="Q52" s="213"/>
      <c r="R52" s="13"/>
      <c r="S52" s="7"/>
      <c r="T52" s="7"/>
      <c r="U52" s="7" t="s">
        <v>4130</v>
      </c>
      <c r="V52" s="7"/>
      <c r="W52" s="7"/>
      <c r="Y52" s="7"/>
      <c r="Z52" s="7"/>
      <c r="AA52" s="7"/>
      <c r="AB52" s="7"/>
      <c r="AC52" s="7"/>
      <c r="AD52" s="7"/>
      <c r="AE52" s="7"/>
      <c r="AF52" s="41"/>
      <c r="AG52" s="43"/>
      <c r="AH52" s="60">
        <v>2</v>
      </c>
      <c r="AI52" s="7"/>
      <c r="AJ52" s="7"/>
      <c r="AK52" s="54"/>
      <c r="AL52" s="7"/>
      <c r="AM52" s="55"/>
    </row>
    <row r="53" customHeight="1" spans="1:39">
      <c r="A53" s="12"/>
      <c r="B53" s="49"/>
      <c r="C53" s="167"/>
      <c r="D53" s="167"/>
      <c r="E53" s="12"/>
      <c r="F53" s="73"/>
      <c r="G53" s="7"/>
      <c r="H53" s="73"/>
      <c r="I53" s="50"/>
      <c r="J53" s="51"/>
      <c r="K53" s="33"/>
      <c r="L53" s="43"/>
      <c r="M53" s="63">
        <v>2</v>
      </c>
      <c r="N53" s="7"/>
      <c r="O53" s="49"/>
      <c r="P53" s="7"/>
      <c r="Q53" s="68"/>
      <c r="R53" s="13"/>
      <c r="S53" s="7"/>
      <c r="T53" s="7" t="s">
        <v>4131</v>
      </c>
      <c r="U53" s="7">
        <v>50</v>
      </c>
      <c r="V53" s="7"/>
      <c r="W53" s="7"/>
      <c r="Y53" s="7"/>
      <c r="Z53" s="7"/>
      <c r="AA53" s="7"/>
      <c r="AB53" s="7"/>
      <c r="AC53" s="7"/>
      <c r="AD53" s="7"/>
      <c r="AE53" s="7"/>
      <c r="AF53" s="41"/>
      <c r="AG53" s="43"/>
      <c r="AH53" s="60">
        <v>6</v>
      </c>
      <c r="AI53" s="7"/>
      <c r="AJ53" s="7"/>
      <c r="AK53" s="54"/>
      <c r="AL53" s="7"/>
      <c r="AM53" s="55"/>
    </row>
    <row r="54" customHeight="1" spans="1:39">
      <c r="A54" s="12"/>
      <c r="B54" s="73"/>
      <c r="C54" s="167"/>
      <c r="D54" s="167"/>
      <c r="E54" s="12"/>
      <c r="F54" s="73"/>
      <c r="G54" s="7"/>
      <c r="H54" s="73"/>
      <c r="I54" s="50"/>
      <c r="J54" s="51"/>
      <c r="K54" s="33"/>
      <c r="L54" s="43"/>
      <c r="M54" s="63">
        <v>3</v>
      </c>
      <c r="N54" s="7"/>
      <c r="O54" s="49"/>
      <c r="P54" s="7"/>
      <c r="Q54" s="68"/>
      <c r="R54" s="13"/>
      <c r="S54" s="7"/>
      <c r="T54" s="7"/>
      <c r="U54" s="7"/>
      <c r="V54" s="7"/>
      <c r="W54" s="7"/>
      <c r="Y54" s="7"/>
      <c r="Z54" s="7"/>
      <c r="AA54" s="7"/>
      <c r="AB54" s="7"/>
      <c r="AC54" s="7"/>
      <c r="AD54" s="7"/>
      <c r="AE54" s="7"/>
      <c r="AF54" s="41"/>
      <c r="AG54" s="43"/>
      <c r="AH54" s="60">
        <v>7</v>
      </c>
      <c r="AI54" s="7"/>
      <c r="AK54" s="54"/>
      <c r="AL54" s="214"/>
      <c r="AM54" s="77"/>
    </row>
    <row r="55" customHeight="1" spans="1:39">
      <c r="A55" s="12"/>
      <c r="B55" s="73"/>
      <c r="C55" s="167"/>
      <c r="D55" s="167"/>
      <c r="E55" s="12"/>
      <c r="F55" s="73"/>
      <c r="G55" s="7"/>
      <c r="H55" s="73"/>
      <c r="I55" s="50"/>
      <c r="J55" s="51"/>
      <c r="K55" s="33"/>
      <c r="L55" s="43"/>
      <c r="M55" s="63">
        <v>4</v>
      </c>
      <c r="N55" s="7"/>
      <c r="O55" s="7"/>
      <c r="P55" s="7"/>
      <c r="Q55" s="68"/>
      <c r="R55" s="13"/>
      <c r="S55" s="7"/>
      <c r="T55" s="7"/>
      <c r="U55" s="7"/>
      <c r="V55" s="7"/>
      <c r="W55" s="7"/>
      <c r="Y55" s="7"/>
      <c r="Z55" s="7"/>
      <c r="AA55" s="7"/>
      <c r="AB55" s="7"/>
      <c r="AC55" s="7"/>
      <c r="AD55" s="7"/>
      <c r="AE55" s="7"/>
      <c r="AF55" s="41"/>
      <c r="AG55" s="43"/>
      <c r="AH55" s="60">
        <v>3</v>
      </c>
      <c r="AI55" s="7"/>
      <c r="AJ55" s="7"/>
      <c r="AK55" s="7"/>
      <c r="AL55" s="7"/>
      <c r="AM55" s="55"/>
    </row>
    <row r="56" customHeight="1" spans="1:39">
      <c r="A56" s="12"/>
      <c r="B56" s="73"/>
      <c r="C56" s="167"/>
      <c r="D56" s="167"/>
      <c r="E56" s="12"/>
      <c r="F56" s="73"/>
      <c r="G56" s="7"/>
      <c r="H56" s="73"/>
      <c r="I56" s="50"/>
      <c r="J56" s="51"/>
      <c r="K56" s="33"/>
      <c r="L56" s="43"/>
      <c r="M56" s="63">
        <v>5</v>
      </c>
      <c r="N56" s="7"/>
      <c r="O56" s="7"/>
      <c r="P56" s="7"/>
      <c r="Q56" s="68"/>
      <c r="R56" s="13"/>
      <c r="S56" s="7"/>
      <c r="T56" s="7"/>
      <c r="U56" s="7"/>
      <c r="V56" s="7"/>
      <c r="W56" s="7"/>
      <c r="Y56" s="7"/>
      <c r="Z56" s="7"/>
      <c r="AA56" s="7"/>
      <c r="AB56" s="7"/>
      <c r="AC56" s="7"/>
      <c r="AD56" s="7"/>
      <c r="AE56" s="7"/>
      <c r="AF56" s="41"/>
      <c r="AG56" s="79"/>
      <c r="AH56" s="60">
        <v>4</v>
      </c>
      <c r="AI56" s="7"/>
      <c r="AK56" s="54"/>
      <c r="AL56" s="47"/>
      <c r="AM56" s="77"/>
    </row>
    <row r="57" customHeight="1" spans="1:39">
      <c r="A57" s="12"/>
      <c r="B57" s="73"/>
      <c r="C57" s="167"/>
      <c r="D57" s="167"/>
      <c r="E57" s="12"/>
      <c r="F57" s="73"/>
      <c r="G57" s="7"/>
      <c r="H57" s="73"/>
      <c r="I57" s="50"/>
      <c r="J57" s="51"/>
      <c r="K57" s="33"/>
      <c r="L57" s="43"/>
      <c r="M57" s="63">
        <v>6</v>
      </c>
      <c r="N57" s="7"/>
      <c r="O57" s="7"/>
      <c r="P57" s="7"/>
      <c r="Q57" s="68"/>
      <c r="R57" s="13"/>
      <c r="S57" s="7"/>
      <c r="T57" s="7"/>
      <c r="U57" s="7"/>
      <c r="V57" s="7"/>
      <c r="W57" s="7"/>
      <c r="Y57" s="7"/>
      <c r="Z57" s="7"/>
      <c r="AA57" s="7"/>
      <c r="AB57" s="7"/>
      <c r="AC57" s="7"/>
      <c r="AD57" s="7"/>
      <c r="AE57" s="7"/>
      <c r="AF57" s="41"/>
      <c r="AG57" s="215" t="s">
        <v>109</v>
      </c>
      <c r="AH57" s="216">
        <v>1</v>
      </c>
      <c r="AI57" s="217"/>
      <c r="AJ57" s="218"/>
      <c r="AK57" s="219"/>
      <c r="AL57" s="220"/>
      <c r="AM57" s="221"/>
    </row>
    <row r="58" customHeight="1" spans="1:39">
      <c r="A58" s="12"/>
      <c r="B58" s="73"/>
      <c r="C58" s="167"/>
      <c r="D58" s="167"/>
      <c r="E58" s="12"/>
      <c r="F58" s="73"/>
      <c r="G58" s="7"/>
      <c r="H58" s="73"/>
      <c r="I58" s="50"/>
      <c r="J58" s="51"/>
      <c r="K58" s="33"/>
      <c r="L58" s="43"/>
      <c r="M58" s="63">
        <v>7</v>
      </c>
      <c r="N58" s="7"/>
      <c r="O58" s="7"/>
      <c r="P58" s="7"/>
      <c r="Q58" s="68"/>
      <c r="R58" s="13"/>
      <c r="S58" s="7"/>
      <c r="T58" s="7"/>
      <c r="U58" s="7"/>
      <c r="V58" s="7"/>
      <c r="W58" s="7"/>
      <c r="Y58" s="7"/>
      <c r="Z58" s="7"/>
      <c r="AA58" s="7"/>
      <c r="AB58" s="7"/>
      <c r="AC58" s="7"/>
      <c r="AD58" s="7"/>
      <c r="AE58" s="7"/>
      <c r="AF58" s="29"/>
      <c r="AH58" s="60">
        <v>2</v>
      </c>
      <c r="AI58" s="7"/>
      <c r="AK58" s="54"/>
      <c r="AL58" s="108"/>
      <c r="AM58" s="140"/>
    </row>
    <row r="59" customHeight="1" spans="1:39">
      <c r="A59" s="12"/>
      <c r="B59" s="73"/>
      <c r="C59" s="167"/>
      <c r="D59" s="167"/>
      <c r="E59" s="12"/>
      <c r="F59" s="73"/>
      <c r="G59" s="7"/>
      <c r="H59" s="73"/>
      <c r="I59" s="50"/>
      <c r="J59" s="51"/>
      <c r="K59" s="33"/>
      <c r="L59" s="43"/>
      <c r="M59" s="63">
        <v>8</v>
      </c>
      <c r="N59" s="7"/>
      <c r="O59" s="7"/>
      <c r="P59" s="7"/>
      <c r="Q59" s="68"/>
      <c r="R59" s="13"/>
      <c r="S59" s="7"/>
      <c r="T59" s="7"/>
      <c r="U59" s="7"/>
      <c r="V59" s="7"/>
      <c r="W59" s="7"/>
      <c r="Y59" s="7"/>
      <c r="Z59" s="7"/>
      <c r="AA59" s="7"/>
      <c r="AB59" s="7"/>
      <c r="AC59" s="7"/>
      <c r="AD59" s="7"/>
      <c r="AE59" s="7"/>
      <c r="AF59" s="41"/>
      <c r="AH59" s="60">
        <v>3</v>
      </c>
      <c r="AI59" s="7"/>
      <c r="AK59" s="54"/>
      <c r="AL59" s="47"/>
      <c r="AM59" s="137"/>
    </row>
    <row r="60" customHeight="1" spans="1:39">
      <c r="A60" s="12"/>
      <c r="B60" s="73"/>
      <c r="C60" s="167"/>
      <c r="D60" s="167"/>
      <c r="E60" s="12"/>
      <c r="F60" s="73"/>
      <c r="G60" s="7"/>
      <c r="H60" s="73"/>
      <c r="I60" s="50"/>
      <c r="J60" s="51"/>
      <c r="K60" s="33"/>
      <c r="L60" s="43"/>
      <c r="M60" s="63">
        <v>9</v>
      </c>
      <c r="N60" s="7"/>
      <c r="O60" s="7"/>
      <c r="P60" s="7"/>
      <c r="Q60" s="68"/>
      <c r="R60" s="13"/>
      <c r="S60" s="7"/>
      <c r="T60" s="7"/>
      <c r="U60" s="7"/>
      <c r="V60" s="7"/>
      <c r="W60" s="7"/>
      <c r="Y60" s="7"/>
      <c r="Z60" s="7"/>
      <c r="AA60" s="7"/>
      <c r="AB60" s="7"/>
      <c r="AC60" s="7"/>
      <c r="AD60" s="7"/>
      <c r="AE60" s="7"/>
      <c r="AF60" s="41"/>
      <c r="AH60" s="60">
        <v>4</v>
      </c>
      <c r="AI60" s="7"/>
      <c r="AK60" s="54"/>
      <c r="AL60" s="47"/>
      <c r="AM60" s="137"/>
    </row>
    <row r="61" customHeight="1" spans="1:39">
      <c r="A61" s="12"/>
      <c r="B61" s="73"/>
      <c r="C61" s="167"/>
      <c r="D61" s="167"/>
      <c r="E61" s="12"/>
      <c r="F61" s="73"/>
      <c r="G61" s="7"/>
      <c r="H61" s="73"/>
      <c r="I61" s="50"/>
      <c r="J61" s="51"/>
      <c r="K61" s="33"/>
      <c r="L61" s="43"/>
      <c r="M61" s="63">
        <v>10</v>
      </c>
      <c r="N61" s="7"/>
      <c r="O61" s="7"/>
      <c r="P61" s="7"/>
      <c r="Q61" s="68"/>
      <c r="R61" s="13"/>
      <c r="S61" s="7"/>
      <c r="T61" s="7"/>
      <c r="U61" s="7"/>
      <c r="V61" s="7"/>
      <c r="W61" s="7"/>
      <c r="Y61" s="7"/>
      <c r="Z61" s="7"/>
      <c r="AA61" s="7"/>
      <c r="AB61" s="7"/>
      <c r="AC61" s="7"/>
      <c r="AD61" s="7"/>
      <c r="AE61" s="7"/>
      <c r="AF61" s="41"/>
      <c r="AH61" s="60">
        <v>5</v>
      </c>
      <c r="AI61" s="7"/>
      <c r="AK61" s="54"/>
      <c r="AL61" s="7"/>
      <c r="AM61" s="77"/>
    </row>
    <row r="62" customHeight="1" spans="1:39">
      <c r="B62" s="73"/>
      <c r="C62" s="167"/>
      <c r="D62" s="167"/>
      <c r="E62" s="7"/>
      <c r="F62" s="73"/>
      <c r="G62" s="7"/>
      <c r="H62" s="49"/>
      <c r="I62" s="222"/>
      <c r="J62" s="51"/>
      <c r="K62" s="33"/>
      <c r="L62" s="79"/>
      <c r="M62" s="53">
        <v>11</v>
      </c>
      <c r="N62" s="223"/>
      <c r="O62" s="187"/>
      <c r="P62" s="1"/>
      <c r="Q62" s="68"/>
      <c r="R62" s="13"/>
      <c r="S62" s="7"/>
      <c r="T62" s="7"/>
      <c r="U62" s="7"/>
      <c r="V62" s="7"/>
      <c r="W62" s="7"/>
      <c r="Y62" s="7"/>
      <c r="Z62" s="7"/>
      <c r="AA62" s="7"/>
      <c r="AB62" s="7"/>
      <c r="AC62" s="7"/>
      <c r="AD62" s="7"/>
      <c r="AE62" s="7"/>
      <c r="AF62" s="41"/>
      <c r="AH62" s="60">
        <v>6</v>
      </c>
      <c r="AI62" s="7"/>
      <c r="AK62" s="54"/>
      <c r="AL62" s="7"/>
      <c r="AM62" s="77"/>
    </row>
    <row r="63" customHeight="1" spans="1:39">
      <c r="A63" s="12"/>
      <c r="B63" s="73"/>
      <c r="C63" s="167"/>
      <c r="D63" s="167"/>
      <c r="E63" s="12"/>
      <c r="F63" s="73"/>
      <c r="G63" s="7"/>
      <c r="H63" s="49"/>
      <c r="I63" s="50"/>
      <c r="J63" s="51"/>
      <c r="K63" s="33"/>
      <c r="L63" s="224" t="s">
        <v>110</v>
      </c>
      <c r="M63" s="148" t="s">
        <v>111</v>
      </c>
      <c r="N63" s="131" t="s">
        <v>112</v>
      </c>
      <c r="O63" s="259">
        <v>45696</v>
      </c>
      <c r="P63" s="47" t="s">
        <v>23</v>
      </c>
      <c r="Q63" s="66">
        <v>267.41</v>
      </c>
      <c r="R63" s="13"/>
      <c r="S63" s="7"/>
      <c r="T63" s="7"/>
      <c r="U63" s="7"/>
      <c r="V63" s="7"/>
      <c r="W63" s="7"/>
      <c r="Y63" s="7"/>
      <c r="Z63" s="7"/>
      <c r="AA63" s="7"/>
      <c r="AB63" s="7"/>
      <c r="AC63" s="7"/>
      <c r="AD63" s="7"/>
      <c r="AE63" s="7"/>
      <c r="AF63" s="41"/>
      <c r="AH63" s="60">
        <v>7</v>
      </c>
      <c r="AI63" s="7"/>
      <c r="AK63" s="54"/>
      <c r="AL63" s="7"/>
      <c r="AM63" s="77"/>
    </row>
    <row r="64" customHeight="1" spans="1:39">
      <c r="A64" s="12"/>
      <c r="B64" s="73"/>
      <c r="C64" s="167"/>
      <c r="D64" s="167"/>
      <c r="E64" s="12"/>
      <c r="F64" s="73"/>
      <c r="G64" s="7"/>
      <c r="H64" s="49"/>
      <c r="I64" s="50"/>
      <c r="J64" s="51"/>
      <c r="K64" s="33"/>
      <c r="L64" s="43"/>
      <c r="M64" s="148" t="s">
        <v>113</v>
      </c>
      <c r="N64" s="7" t="s">
        <v>114</v>
      </c>
      <c r="O64" s="260">
        <v>45700</v>
      </c>
      <c r="P64" s="47" t="s">
        <v>23</v>
      </c>
      <c r="Q64" s="101">
        <f>24.64+0.41</f>
        <v>25.05</v>
      </c>
      <c r="R64" s="13"/>
      <c r="S64" s="7"/>
      <c r="T64" s="7"/>
      <c r="U64" s="7"/>
      <c r="V64" s="7"/>
      <c r="W64" s="7"/>
      <c r="Y64" s="7"/>
      <c r="Z64" s="7"/>
      <c r="AA64" s="7"/>
      <c r="AB64" s="7"/>
      <c r="AC64" s="7"/>
      <c r="AD64" s="7"/>
      <c r="AE64" s="7"/>
      <c r="AF64" s="41"/>
      <c r="AH64" s="60">
        <v>8</v>
      </c>
      <c r="AI64" s="7"/>
      <c r="AK64" s="54"/>
      <c r="AL64" s="7"/>
      <c r="AM64" s="77"/>
    </row>
    <row r="65" customHeight="1" spans="1:39">
      <c r="A65" s="12"/>
      <c r="B65" s="73"/>
      <c r="C65" s="167"/>
      <c r="D65" s="167"/>
      <c r="E65" s="12"/>
      <c r="F65" s="73"/>
      <c r="G65" s="7"/>
      <c r="H65" s="73"/>
      <c r="I65" s="50"/>
      <c r="J65" s="51"/>
      <c r="K65" s="225"/>
      <c r="L65" s="43"/>
      <c r="M65" s="148" t="s">
        <v>115</v>
      </c>
      <c r="R65" s="13"/>
      <c r="S65" s="7"/>
      <c r="T65" s="7"/>
      <c r="U65" s="7"/>
      <c r="V65" s="7"/>
      <c r="W65" s="7"/>
      <c r="Y65" s="7"/>
      <c r="Z65" s="7"/>
      <c r="AA65" s="7"/>
      <c r="AB65" s="7"/>
      <c r="AC65" s="7"/>
      <c r="AD65" s="7"/>
      <c r="AE65" s="7"/>
      <c r="AF65" s="41"/>
      <c r="AH65" s="60">
        <v>9</v>
      </c>
      <c r="AI65" s="7"/>
      <c r="AK65" s="54"/>
      <c r="AL65" s="7"/>
      <c r="AM65" s="77"/>
    </row>
    <row r="66" customHeight="1" spans="1:39">
      <c r="A66" s="12"/>
      <c r="B66" s="73"/>
      <c r="C66" s="167"/>
      <c r="D66" s="167"/>
      <c r="E66" s="12"/>
      <c r="F66" s="73"/>
      <c r="G66" s="7"/>
      <c r="H66" s="73"/>
      <c r="I66" s="50"/>
      <c r="J66" s="51"/>
      <c r="K66" s="33"/>
      <c r="L66" s="43"/>
      <c r="M66" s="148" t="s">
        <v>117</v>
      </c>
      <c r="N66" s="81" t="s">
        <v>118</v>
      </c>
      <c r="O66" s="260">
        <v>45698</v>
      </c>
      <c r="P66" s="47" t="s">
        <v>23</v>
      </c>
      <c r="Q66" s="101">
        <v>150.41</v>
      </c>
      <c r="R66" s="13"/>
      <c r="S66" s="7"/>
      <c r="T66" s="7"/>
      <c r="U66" s="7"/>
      <c r="V66" s="7"/>
      <c r="W66" s="7"/>
      <c r="Y66" s="7"/>
      <c r="Z66" s="7"/>
      <c r="AA66" s="7"/>
      <c r="AB66" s="7"/>
      <c r="AC66" s="7"/>
      <c r="AD66" s="7"/>
      <c r="AE66" s="7"/>
      <c r="AF66" s="41"/>
      <c r="AH66" s="60">
        <v>10</v>
      </c>
      <c r="AI66" s="7"/>
      <c r="AK66" s="54"/>
      <c r="AL66" s="7"/>
      <c r="AM66" s="77"/>
    </row>
    <row r="67" customHeight="1" spans="1:39">
      <c r="A67" s="12"/>
      <c r="B67" s="73"/>
      <c r="C67" s="167"/>
      <c r="D67" s="167"/>
      <c r="E67" s="12"/>
      <c r="F67" s="73"/>
      <c r="G67" s="7"/>
      <c r="H67" s="73"/>
      <c r="I67" s="50"/>
      <c r="J67" s="51"/>
      <c r="K67" s="33"/>
      <c r="L67" s="43"/>
      <c r="M67" s="148" t="s">
        <v>119</v>
      </c>
      <c r="N67" s="7" t="s">
        <v>124</v>
      </c>
      <c r="O67" s="260">
        <v>45703</v>
      </c>
      <c r="P67" s="7" t="s">
        <v>35</v>
      </c>
      <c r="Q67" s="60">
        <v>283.66</v>
      </c>
      <c r="R67" s="13"/>
      <c r="S67" s="7"/>
      <c r="T67" s="7"/>
      <c r="U67" s="7"/>
      <c r="V67" s="7"/>
      <c r="W67" s="7"/>
      <c r="Y67" s="7"/>
      <c r="Z67" s="7"/>
      <c r="AA67" s="7"/>
      <c r="AB67" s="7"/>
      <c r="AC67" s="7"/>
      <c r="AD67" s="7"/>
      <c r="AE67" s="7"/>
      <c r="AF67" s="41"/>
      <c r="AH67" s="60">
        <v>11</v>
      </c>
      <c r="AI67" s="7"/>
      <c r="AJ67" s="7"/>
      <c r="AK67" s="54"/>
      <c r="AL67" s="7"/>
      <c r="AM67" s="77"/>
    </row>
    <row r="68" customHeight="1" spans="1:39">
      <c r="A68" s="7"/>
      <c r="B68" s="73"/>
      <c r="C68" s="167"/>
      <c r="D68" s="167"/>
      <c r="E68" s="7"/>
      <c r="F68" s="49"/>
      <c r="G68" s="7"/>
      <c r="H68" s="49"/>
      <c r="I68" s="222"/>
      <c r="J68" s="68"/>
      <c r="K68" s="33"/>
      <c r="L68" s="43"/>
      <c r="M68" s="148" t="s">
        <v>121</v>
      </c>
      <c r="N68" s="81" t="s">
        <v>120</v>
      </c>
      <c r="O68" s="260">
        <v>45705</v>
      </c>
      <c r="P68" s="7" t="s">
        <v>35</v>
      </c>
      <c r="Q68" s="101">
        <v>200</v>
      </c>
      <c r="R68" s="13"/>
      <c r="S68" s="7"/>
      <c r="T68" s="7"/>
      <c r="U68" s="7"/>
      <c r="V68" s="7"/>
      <c r="W68" s="7"/>
      <c r="Y68" s="7"/>
      <c r="Z68" s="7"/>
      <c r="AA68" s="7"/>
      <c r="AB68" s="7"/>
      <c r="AC68" s="7"/>
      <c r="AD68" s="7"/>
      <c r="AE68" s="7"/>
      <c r="AF68" s="41"/>
      <c r="AH68" s="60">
        <v>5</v>
      </c>
      <c r="AI68" s="7"/>
      <c r="AJ68" s="7"/>
      <c r="AK68" s="54"/>
      <c r="AL68" s="7"/>
      <c r="AM68" s="77"/>
    </row>
    <row r="69" customHeight="1" spans="1:39">
      <c r="A69" s="7"/>
      <c r="B69" s="73"/>
      <c r="C69" s="167"/>
      <c r="D69" s="167"/>
      <c r="E69" s="7"/>
      <c r="F69" s="49"/>
      <c r="G69" s="7"/>
      <c r="H69" s="49"/>
      <c r="I69" s="222"/>
      <c r="J69" s="68"/>
      <c r="K69" s="33"/>
      <c r="L69" s="43"/>
      <c r="M69" s="148" t="s">
        <v>122</v>
      </c>
      <c r="N69" s="81" t="s">
        <v>116</v>
      </c>
      <c r="O69" s="260">
        <v>46070</v>
      </c>
      <c r="P69" s="47" t="s">
        <v>23</v>
      </c>
      <c r="Q69" s="101">
        <v>76.08</v>
      </c>
      <c r="R69" s="13"/>
      <c r="S69" s="7"/>
      <c r="T69" s="7"/>
      <c r="U69" s="7"/>
      <c r="V69" s="7"/>
      <c r="W69" s="7"/>
      <c r="Y69" s="7"/>
      <c r="Z69" s="7"/>
      <c r="AA69" s="7"/>
      <c r="AB69" s="7"/>
      <c r="AC69" s="7"/>
      <c r="AD69" s="7"/>
      <c r="AE69" s="7"/>
      <c r="AF69" s="41"/>
      <c r="AH69" s="60">
        <v>6</v>
      </c>
      <c r="AI69" s="7"/>
      <c r="AJ69" s="7"/>
      <c r="AK69" s="54"/>
      <c r="AL69" s="7"/>
      <c r="AM69" s="77"/>
    </row>
    <row r="70" customHeight="1" spans="1:39">
      <c r="A70" s="7"/>
      <c r="B70" s="73"/>
      <c r="C70" s="167"/>
      <c r="D70" s="167"/>
      <c r="E70" s="7"/>
      <c r="F70" s="49"/>
      <c r="G70" s="7"/>
      <c r="H70" s="49"/>
      <c r="I70" s="222"/>
      <c r="J70" s="68"/>
      <c r="K70" s="33"/>
      <c r="L70" s="43"/>
      <c r="M70" s="148" t="s">
        <v>123</v>
      </c>
      <c r="R70" s="13"/>
      <c r="S70" s="7"/>
      <c r="T70" s="7"/>
      <c r="U70" s="7"/>
      <c r="V70" s="7"/>
      <c r="W70" s="7"/>
      <c r="Y70" s="7"/>
      <c r="Z70" s="7"/>
      <c r="AA70" s="7"/>
      <c r="AB70" s="7"/>
      <c r="AC70" s="7"/>
      <c r="AD70" s="7"/>
      <c r="AE70" s="7"/>
      <c r="AF70" s="41"/>
      <c r="AH70" s="60">
        <v>7</v>
      </c>
      <c r="AI70" s="7"/>
      <c r="AJ70" s="7"/>
      <c r="AK70" s="54"/>
      <c r="AL70" s="7"/>
      <c r="AM70" s="77"/>
    </row>
    <row r="71" customHeight="1" spans="1:39">
      <c r="A71" s="7"/>
      <c r="B71" s="73"/>
      <c r="C71" s="167"/>
      <c r="D71" s="167"/>
      <c r="E71" s="7"/>
      <c r="F71" s="49"/>
      <c r="G71" s="7"/>
      <c r="H71" s="49"/>
      <c r="I71" s="222"/>
      <c r="J71" s="68"/>
      <c r="K71" s="33"/>
      <c r="L71" s="43"/>
      <c r="M71" s="148" t="s">
        <v>125</v>
      </c>
      <c r="N71" s="7" t="s">
        <v>126</v>
      </c>
      <c r="O71" s="260">
        <v>46072</v>
      </c>
      <c r="P71" s="47" t="s">
        <v>23</v>
      </c>
      <c r="Q71" s="101">
        <v>476.38</v>
      </c>
      <c r="R71" s="13"/>
      <c r="S71" s="7"/>
      <c r="T71" s="7"/>
      <c r="U71" s="7"/>
      <c r="V71" s="7"/>
      <c r="W71" s="7"/>
      <c r="Y71" s="7"/>
      <c r="Z71" s="7"/>
      <c r="AA71" s="7"/>
      <c r="AB71" s="7"/>
      <c r="AC71" s="7"/>
      <c r="AD71" s="7"/>
      <c r="AE71" s="7"/>
      <c r="AF71" s="41"/>
      <c r="AH71" s="60">
        <v>8</v>
      </c>
      <c r="AI71" s="7"/>
      <c r="AJ71" s="7"/>
      <c r="AK71" s="54"/>
      <c r="AL71" s="7"/>
      <c r="AM71" s="77"/>
    </row>
    <row r="72" customHeight="1" spans="1:39">
      <c r="A72" s="7"/>
      <c r="B72" s="73"/>
      <c r="C72" s="167"/>
      <c r="D72" s="167"/>
      <c r="E72" s="7"/>
      <c r="F72" s="49"/>
      <c r="G72" s="7"/>
      <c r="H72" s="49"/>
      <c r="I72" s="222"/>
      <c r="J72" s="68"/>
      <c r="K72" s="33"/>
      <c r="L72" s="43"/>
      <c r="M72" s="148" t="s">
        <v>127</v>
      </c>
      <c r="N72" s="226" t="s">
        <v>86</v>
      </c>
      <c r="O72" s="260">
        <v>45700</v>
      </c>
      <c r="P72" s="47" t="s">
        <v>23</v>
      </c>
      <c r="Q72" s="101">
        <v>360</v>
      </c>
      <c r="R72" s="13"/>
      <c r="S72" s="7"/>
      <c r="T72" s="7"/>
      <c r="U72" s="7"/>
      <c r="V72" s="7"/>
      <c r="W72" s="7"/>
      <c r="Y72" s="7"/>
      <c r="Z72" s="7"/>
      <c r="AA72" s="7"/>
      <c r="AB72" s="7"/>
      <c r="AC72" s="7"/>
      <c r="AD72" s="7"/>
      <c r="AE72" s="7"/>
      <c r="AF72" s="29"/>
      <c r="AH72" s="60">
        <v>1</v>
      </c>
      <c r="AI72" s="7"/>
      <c r="AJ72" s="7"/>
      <c r="AK72" s="54"/>
      <c r="AL72" s="7"/>
      <c r="AM72" s="55"/>
    </row>
    <row r="73" customHeight="1" spans="1:39">
      <c r="A73" s="7"/>
      <c r="B73" s="73"/>
      <c r="C73" s="167"/>
      <c r="D73" s="167"/>
      <c r="E73" s="7"/>
      <c r="F73" s="49"/>
      <c r="G73" s="7"/>
      <c r="H73" s="49"/>
      <c r="I73" s="222"/>
      <c r="J73" s="68"/>
      <c r="K73" s="33"/>
      <c r="L73" s="43"/>
      <c r="M73" s="148" t="s">
        <v>128</v>
      </c>
      <c r="N73" s="227" t="s">
        <v>87</v>
      </c>
      <c r="O73" s="260">
        <v>45705</v>
      </c>
      <c r="P73" s="47" t="s">
        <v>23</v>
      </c>
      <c r="Q73" s="101">
        <v>360</v>
      </c>
      <c r="R73" s="13"/>
      <c r="S73" s="7"/>
      <c r="T73" s="7"/>
      <c r="U73" s="7"/>
      <c r="V73" s="7"/>
      <c r="W73" s="7"/>
      <c r="Y73" s="7"/>
      <c r="Z73" s="7"/>
      <c r="AA73" s="7"/>
      <c r="AB73" s="7"/>
      <c r="AC73" s="7"/>
      <c r="AD73" s="7"/>
      <c r="AE73" s="7"/>
      <c r="AF73" s="41"/>
      <c r="AH73" s="60">
        <v>2</v>
      </c>
      <c r="AI73" s="7"/>
      <c r="AJ73" s="7"/>
      <c r="AK73" s="54"/>
      <c r="AL73" s="7"/>
      <c r="AM73" s="55"/>
    </row>
    <row r="74" customHeight="1" spans="1:39">
      <c r="A74" s="7"/>
      <c r="B74" s="73"/>
      <c r="C74" s="167"/>
      <c r="D74" s="167"/>
      <c r="E74" s="7"/>
      <c r="F74" s="49"/>
      <c r="G74" s="7"/>
      <c r="H74" s="49"/>
      <c r="I74" s="222"/>
      <c r="J74" s="68"/>
      <c r="K74" s="33"/>
      <c r="L74" s="43"/>
      <c r="M74" s="148" t="s">
        <v>129</v>
      </c>
      <c r="N74" s="81" t="s">
        <v>85</v>
      </c>
      <c r="O74" s="260">
        <v>45703</v>
      </c>
      <c r="P74" s="47" t="s">
        <v>23</v>
      </c>
      <c r="Q74" s="101">
        <v>360</v>
      </c>
      <c r="R74" s="13"/>
      <c r="S74" s="7"/>
      <c r="T74" s="7"/>
      <c r="U74" s="7"/>
      <c r="V74" s="7"/>
      <c r="W74" s="7"/>
      <c r="Y74" s="7"/>
      <c r="Z74" s="7"/>
      <c r="AA74" s="7"/>
      <c r="AB74" s="7"/>
      <c r="AC74" s="7"/>
      <c r="AD74" s="7"/>
      <c r="AE74" s="7"/>
      <c r="AF74" s="41"/>
      <c r="AG74" s="25"/>
      <c r="AH74" s="60">
        <v>3</v>
      </c>
      <c r="AI74" s="7"/>
      <c r="AJ74" s="7"/>
      <c r="AK74" s="54"/>
      <c r="AL74" s="7"/>
      <c r="AM74" s="55"/>
    </row>
    <row r="75" customHeight="1" spans="1:39">
      <c r="A75" s="7"/>
      <c r="B75" s="73"/>
      <c r="C75" s="167"/>
      <c r="D75" s="167"/>
      <c r="E75" s="7"/>
      <c r="F75" s="49"/>
      <c r="G75" s="7"/>
      <c r="H75" s="49"/>
      <c r="I75" s="222"/>
      <c r="J75" s="68"/>
      <c r="K75" s="33"/>
      <c r="L75" s="43"/>
      <c r="M75" s="148" t="s">
        <v>130</v>
      </c>
      <c r="N75" s="7" t="s">
        <v>141</v>
      </c>
      <c r="O75" s="260">
        <v>45708</v>
      </c>
      <c r="P75" s="47" t="s">
        <v>23</v>
      </c>
      <c r="Q75" s="101">
        <v>42.17</v>
      </c>
      <c r="R75" s="13"/>
      <c r="S75" s="7"/>
      <c r="T75" s="7"/>
      <c r="U75" s="7"/>
      <c r="V75" s="7"/>
      <c r="W75" s="7"/>
      <c r="Y75" s="7"/>
      <c r="Z75" s="7"/>
      <c r="AA75" s="7"/>
      <c r="AB75" s="7"/>
      <c r="AC75" s="7"/>
      <c r="AD75" s="7"/>
      <c r="AE75" s="7"/>
      <c r="AF75" s="41"/>
      <c r="AG75" s="228" t="s">
        <v>131</v>
      </c>
      <c r="AH75" s="181">
        <v>1</v>
      </c>
      <c r="AI75" s="64"/>
      <c r="AJ75" s="61"/>
      <c r="AK75" s="61"/>
      <c r="AL75" s="64"/>
      <c r="AM75" s="229"/>
    </row>
    <row r="76" customHeight="1" spans="1:39">
      <c r="A76" s="7"/>
      <c r="B76" s="73"/>
      <c r="C76" s="167"/>
      <c r="D76" s="167"/>
      <c r="E76" s="7"/>
      <c r="F76" s="49"/>
      <c r="G76" s="7"/>
      <c r="H76" s="49"/>
      <c r="I76" s="222"/>
      <c r="J76" s="68"/>
      <c r="K76" s="33"/>
      <c r="L76" s="43"/>
      <c r="M76" s="148" t="s">
        <v>132</v>
      </c>
      <c r="N76" s="7"/>
      <c r="O76" s="261"/>
      <c r="P76" s="7"/>
      <c r="Q76" s="68"/>
      <c r="R76" s="13"/>
      <c r="S76" s="7"/>
      <c r="T76" s="7"/>
      <c r="U76" s="7"/>
      <c r="V76" s="7"/>
      <c r="W76" s="7"/>
      <c r="Y76" s="7"/>
      <c r="Z76" s="7"/>
      <c r="AA76" s="7"/>
      <c r="AB76" s="7"/>
      <c r="AC76" s="7"/>
      <c r="AD76" s="7"/>
      <c r="AE76" s="7"/>
      <c r="AF76" s="41"/>
      <c r="AG76" s="230"/>
      <c r="AH76" s="60">
        <v>2</v>
      </c>
      <c r="AI76" s="198"/>
      <c r="AJ76" s="65"/>
      <c r="AK76" s="61"/>
      <c r="AL76" s="64"/>
      <c r="AM76" s="115"/>
    </row>
    <row r="77" customHeight="1" spans="1:39">
      <c r="A77" s="7"/>
      <c r="B77" s="73"/>
      <c r="C77" s="167"/>
      <c r="D77" s="167"/>
      <c r="E77" s="7"/>
      <c r="F77" s="49"/>
      <c r="G77" s="7"/>
      <c r="H77" s="49"/>
      <c r="I77" s="222"/>
      <c r="J77" s="68"/>
      <c r="K77" s="33"/>
      <c r="L77" s="43"/>
      <c r="M77" s="148" t="s">
        <v>133</v>
      </c>
      <c r="N77" s="7" t="s">
        <v>134</v>
      </c>
      <c r="O77" s="260">
        <v>45707</v>
      </c>
      <c r="P77" s="47" t="s">
        <v>23</v>
      </c>
      <c r="Q77" s="101">
        <v>175</v>
      </c>
      <c r="R77" s="13"/>
      <c r="S77" s="7"/>
      <c r="T77" s="7"/>
      <c r="U77" s="7"/>
      <c r="V77" s="7"/>
      <c r="W77" s="7"/>
      <c r="Y77" s="7"/>
      <c r="Z77" s="7"/>
      <c r="AA77" s="7"/>
      <c r="AB77" s="7"/>
      <c r="AC77" s="7"/>
      <c r="AD77" s="7"/>
      <c r="AE77" s="7"/>
      <c r="AF77" s="41"/>
      <c r="AG77" s="230"/>
      <c r="AH77" s="60">
        <v>3</v>
      </c>
      <c r="AI77" s="7"/>
      <c r="AK77" s="54"/>
      <c r="AL77" s="7"/>
      <c r="AM77" s="55"/>
    </row>
    <row r="78" customHeight="1" spans="1:39">
      <c r="A78" s="7"/>
      <c r="B78" s="73"/>
      <c r="C78" s="167"/>
      <c r="D78" s="167"/>
      <c r="E78" s="7"/>
      <c r="F78" s="49"/>
      <c r="G78" s="7"/>
      <c r="H78" s="49"/>
      <c r="I78" s="222"/>
      <c r="J78" s="68"/>
      <c r="K78" s="33"/>
      <c r="L78" s="43"/>
      <c r="M78" s="148" t="s">
        <v>135</v>
      </c>
      <c r="N78" s="7"/>
      <c r="O78" s="261"/>
      <c r="P78" s="7"/>
      <c r="Q78" s="68"/>
      <c r="R78" s="13"/>
      <c r="S78" s="7"/>
      <c r="T78" s="7"/>
      <c r="U78" s="7"/>
      <c r="V78" s="7"/>
      <c r="W78" s="7"/>
      <c r="Y78" s="7"/>
      <c r="Z78" s="7"/>
      <c r="AA78" s="7"/>
      <c r="AB78" s="7"/>
      <c r="AC78" s="7"/>
      <c r="AD78" s="7"/>
      <c r="AE78" s="7"/>
      <c r="AF78" s="41"/>
      <c r="AG78" s="230"/>
      <c r="AH78" s="60">
        <v>4</v>
      </c>
      <c r="AI78" s="1"/>
      <c r="AJ78" s="3"/>
      <c r="AK78" s="231"/>
      <c r="AL78" s="1"/>
      <c r="AM78" s="55"/>
    </row>
    <row r="79" customHeight="1" spans="1:39">
      <c r="A79" s="7"/>
      <c r="B79" s="73"/>
      <c r="C79" s="167"/>
      <c r="D79" s="167"/>
      <c r="E79" s="7"/>
      <c r="F79" s="232"/>
      <c r="G79" s="7"/>
      <c r="H79" s="232"/>
      <c r="I79" s="222"/>
      <c r="J79" s="68"/>
      <c r="K79" s="33"/>
      <c r="L79" s="43"/>
      <c r="M79" s="148" t="s">
        <v>136</v>
      </c>
      <c r="N79" s="227" t="s">
        <v>137</v>
      </c>
      <c r="O79" s="262">
        <v>46076</v>
      </c>
      <c r="P79" s="47" t="s">
        <v>23</v>
      </c>
      <c r="Q79" s="101">
        <v>906.75</v>
      </c>
      <c r="R79" s="13"/>
      <c r="S79" s="7"/>
      <c r="T79" s="7"/>
      <c r="U79" s="7"/>
      <c r="V79" s="7"/>
      <c r="W79" s="7"/>
      <c r="Y79" s="7"/>
      <c r="Z79" s="7"/>
      <c r="AA79" s="7"/>
      <c r="AB79" s="7"/>
      <c r="AC79" s="7"/>
      <c r="AD79" s="7"/>
      <c r="AE79" s="7"/>
      <c r="AF79" s="41"/>
      <c r="AG79" s="230"/>
      <c r="AH79" s="60">
        <v>5</v>
      </c>
      <c r="AI79" s="7"/>
      <c r="AK79" s="54"/>
      <c r="AL79" s="7"/>
      <c r="AM79" s="55"/>
    </row>
    <row r="80" customHeight="1" spans="1:39">
      <c r="A80" s="7"/>
      <c r="B80" s="73"/>
      <c r="C80" s="167"/>
      <c r="D80" s="167"/>
      <c r="E80" s="7"/>
      <c r="F80" s="49"/>
      <c r="G80" s="7"/>
      <c r="H80" s="49"/>
      <c r="I80" s="222"/>
      <c r="J80" s="68"/>
      <c r="K80" s="33"/>
      <c r="L80" s="43"/>
      <c r="M80" s="148" t="s">
        <v>138</v>
      </c>
      <c r="N80" s="7" t="s">
        <v>139</v>
      </c>
      <c r="O80" s="260">
        <v>46079</v>
      </c>
      <c r="P80" s="47" t="s">
        <v>35</v>
      </c>
      <c r="Q80" s="101">
        <v>42.58</v>
      </c>
      <c r="R80" s="13"/>
      <c r="S80" s="7"/>
      <c r="T80" s="7"/>
      <c r="U80" s="7"/>
      <c r="V80" s="7"/>
      <c r="W80" s="7"/>
      <c r="Y80" s="7"/>
      <c r="Z80" s="7"/>
      <c r="AA80" s="7"/>
      <c r="AB80" s="7"/>
      <c r="AC80" s="7"/>
      <c r="AD80" s="7"/>
      <c r="AE80" s="7"/>
      <c r="AF80" s="41"/>
      <c r="AG80" s="230"/>
      <c r="AH80" s="60">
        <v>6</v>
      </c>
      <c r="AI80" s="7"/>
      <c r="AK80" s="54"/>
      <c r="AL80" s="7"/>
      <c r="AM80" s="55"/>
    </row>
    <row r="81" customHeight="1" spans="1:39">
      <c r="A81" s="7"/>
      <c r="B81" s="73"/>
      <c r="C81" s="167"/>
      <c r="D81" s="167"/>
      <c r="E81" s="7"/>
      <c r="F81" s="49"/>
      <c r="G81" s="7"/>
      <c r="H81" s="49"/>
      <c r="I81" s="222"/>
      <c r="J81" s="68"/>
      <c r="K81" s="33"/>
      <c r="L81" s="43"/>
      <c r="M81" s="148" t="s">
        <v>140</v>
      </c>
      <c r="R81" s="13"/>
      <c r="S81" s="7"/>
      <c r="T81" s="7"/>
      <c r="U81" s="7"/>
      <c r="V81" s="7"/>
      <c r="W81" s="7"/>
      <c r="Y81" s="7"/>
      <c r="Z81" s="7"/>
      <c r="AA81" s="7"/>
      <c r="AB81" s="7"/>
      <c r="AC81" s="7"/>
      <c r="AD81" s="7"/>
      <c r="AE81" s="7"/>
      <c r="AF81" s="41"/>
      <c r="AG81" s="230"/>
      <c r="AH81" s="60">
        <v>7</v>
      </c>
      <c r="AI81" s="64"/>
      <c r="AJ81" s="64"/>
      <c r="AK81" s="61"/>
      <c r="AL81" s="7"/>
      <c r="AM81" s="115"/>
    </row>
    <row r="82" customHeight="1" spans="1:39">
      <c r="A82" s="7"/>
      <c r="B82" s="73"/>
      <c r="C82" s="167"/>
      <c r="D82" s="167"/>
      <c r="E82" s="7"/>
      <c r="F82" s="49"/>
      <c r="G82" s="7"/>
      <c r="H82" s="49"/>
      <c r="I82" s="222"/>
      <c r="J82" s="68"/>
      <c r="K82" s="33"/>
      <c r="L82" s="43"/>
      <c r="M82" s="148" t="s">
        <v>142</v>
      </c>
      <c r="N82" s="81" t="s">
        <v>87</v>
      </c>
      <c r="O82" s="263">
        <v>45715</v>
      </c>
      <c r="P82" s="7" t="s">
        <v>23</v>
      </c>
      <c r="Q82" s="101">
        <v>360</v>
      </c>
      <c r="R82" s="13"/>
      <c r="S82" s="7"/>
      <c r="T82" s="7"/>
      <c r="U82" s="7"/>
      <c r="V82" s="7"/>
      <c r="W82" s="7"/>
      <c r="Y82" s="7"/>
      <c r="Z82" s="7"/>
      <c r="AA82" s="7"/>
      <c r="AB82" s="7"/>
      <c r="AC82" s="7"/>
      <c r="AD82" s="7"/>
      <c r="AE82" s="7"/>
      <c r="AF82" s="90"/>
      <c r="AG82" s="230"/>
      <c r="AH82" s="60">
        <v>8</v>
      </c>
      <c r="AI82" s="234"/>
      <c r="AJ82" s="234"/>
      <c r="AK82" s="235"/>
      <c r="AL82" s="1"/>
      <c r="AM82" s="107"/>
    </row>
    <row r="83" customHeight="1" spans="1:39">
      <c r="A83" s="7"/>
      <c r="B83" s="73"/>
      <c r="C83" s="167"/>
      <c r="D83" s="167"/>
      <c r="E83" s="7"/>
      <c r="F83" s="7"/>
      <c r="G83" s="7"/>
      <c r="H83" s="96"/>
      <c r="I83" s="222"/>
      <c r="J83" s="68"/>
      <c r="K83" s="33"/>
      <c r="L83" s="43"/>
      <c r="M83" s="148" t="s">
        <v>143</v>
      </c>
      <c r="N83" s="227" t="s">
        <v>86</v>
      </c>
      <c r="O83" s="263">
        <v>45715</v>
      </c>
      <c r="P83" s="7" t="s">
        <v>23</v>
      </c>
      <c r="Q83" s="101">
        <v>360</v>
      </c>
      <c r="R83" s="13"/>
      <c r="S83" s="7"/>
      <c r="T83" s="7"/>
      <c r="U83" s="7"/>
      <c r="V83" s="7"/>
      <c r="W83" s="7"/>
      <c r="Y83" s="7"/>
      <c r="Z83" s="7"/>
      <c r="AA83" s="7"/>
      <c r="AB83" s="7"/>
      <c r="AC83" s="7"/>
      <c r="AD83" s="7"/>
      <c r="AE83" s="7"/>
      <c r="AF83" s="41"/>
      <c r="AG83" s="230"/>
      <c r="AH83" s="60">
        <v>9</v>
      </c>
      <c r="AI83" s="7"/>
      <c r="AJ83" s="7"/>
      <c r="AK83" s="54"/>
      <c r="AL83" s="7"/>
      <c r="AM83" s="55"/>
    </row>
    <row r="84" customHeight="1" spans="1:39">
      <c r="A84" s="7"/>
      <c r="B84" s="73"/>
      <c r="C84" s="167"/>
      <c r="D84" s="167"/>
      <c r="E84" s="7"/>
      <c r="F84" s="7"/>
      <c r="G84" s="7"/>
      <c r="H84" s="96"/>
      <c r="I84" s="222"/>
      <c r="J84" s="68"/>
      <c r="K84" s="33"/>
      <c r="L84" s="43"/>
      <c r="M84" s="189" t="s">
        <v>144</v>
      </c>
      <c r="N84" s="81" t="s">
        <v>145</v>
      </c>
      <c r="O84" s="263">
        <v>45715</v>
      </c>
      <c r="P84" s="7" t="s">
        <v>23</v>
      </c>
      <c r="Q84" s="74">
        <v>360</v>
      </c>
      <c r="R84" s="13"/>
      <c r="S84" s="7"/>
      <c r="T84" s="7"/>
      <c r="U84" s="7"/>
      <c r="V84" s="7"/>
      <c r="W84" s="7"/>
      <c r="Y84" s="7"/>
      <c r="Z84" s="7"/>
      <c r="AA84" s="7"/>
      <c r="AB84" s="7"/>
      <c r="AC84" s="7"/>
      <c r="AD84" s="7"/>
      <c r="AE84" s="7"/>
      <c r="AF84" s="41"/>
      <c r="AG84" s="230"/>
      <c r="AH84" s="60">
        <v>10</v>
      </c>
      <c r="AI84" s="7"/>
      <c r="AJ84" s="7"/>
      <c r="AK84" s="54"/>
      <c r="AL84" s="7"/>
      <c r="AM84" s="55"/>
    </row>
    <row r="85" customHeight="1" spans="1:39">
      <c r="A85" s="7"/>
      <c r="B85" s="73"/>
      <c r="C85" s="167"/>
      <c r="D85" s="167"/>
      <c r="E85" s="7"/>
      <c r="F85" s="7"/>
      <c r="G85" s="7"/>
      <c r="H85" s="96"/>
      <c r="I85" s="222"/>
      <c r="J85" s="68"/>
      <c r="K85" s="33"/>
      <c r="L85" s="43"/>
      <c r="M85" s="148" t="s">
        <v>146</v>
      </c>
      <c r="N85" s="81" t="s">
        <v>147</v>
      </c>
      <c r="O85" s="263">
        <v>45716</v>
      </c>
      <c r="P85" s="7" t="s">
        <v>23</v>
      </c>
      <c r="Q85" s="74">
        <f>580+22.12</f>
        <v>602.12</v>
      </c>
      <c r="R85" s="13"/>
      <c r="S85" s="7"/>
      <c r="T85" s="7"/>
      <c r="U85" s="7"/>
      <c r="V85" s="7"/>
      <c r="W85" s="7"/>
      <c r="Y85" s="7"/>
      <c r="Z85" s="7"/>
      <c r="AA85" s="7"/>
      <c r="AB85" s="7"/>
      <c r="AC85" s="7"/>
      <c r="AD85" s="7"/>
      <c r="AE85" s="7"/>
      <c r="AF85" s="41"/>
      <c r="AG85" s="230"/>
      <c r="AH85" s="60">
        <v>11</v>
      </c>
      <c r="AI85" s="7"/>
      <c r="AJ85" s="7"/>
      <c r="AK85" s="54"/>
      <c r="AL85" s="7"/>
      <c r="AM85" s="55"/>
    </row>
    <row r="86" customHeight="1" spans="1:39">
      <c r="A86" s="7"/>
      <c r="B86" s="73"/>
      <c r="C86" s="167"/>
      <c r="D86" s="167"/>
      <c r="E86" s="7"/>
      <c r="F86" s="7"/>
      <c r="G86" s="7"/>
      <c r="H86" s="96"/>
      <c r="I86" s="222"/>
      <c r="J86" s="68"/>
      <c r="K86" s="33"/>
      <c r="L86" s="43"/>
      <c r="M86" s="148" t="s">
        <v>148</v>
      </c>
      <c r="N86" s="81" t="s">
        <v>4132</v>
      </c>
      <c r="O86" s="261">
        <v>46081</v>
      </c>
      <c r="P86" s="7" t="s">
        <v>23</v>
      </c>
      <c r="Q86" s="68">
        <v>120.06</v>
      </c>
      <c r="R86" s="13"/>
      <c r="S86" s="7"/>
      <c r="T86" s="7"/>
      <c r="U86" s="7"/>
      <c r="V86" s="7"/>
      <c r="W86" s="7"/>
      <c r="Y86" s="7"/>
      <c r="Z86" s="7"/>
      <c r="AA86" s="7"/>
      <c r="AB86" s="7"/>
      <c r="AC86" s="7"/>
      <c r="AD86" s="7"/>
      <c r="AE86" s="7"/>
      <c r="AF86" s="41"/>
      <c r="AG86" s="230"/>
      <c r="AH86" s="178">
        <v>13</v>
      </c>
      <c r="AI86" s="7"/>
      <c r="AJ86" s="7"/>
      <c r="AK86" s="54"/>
      <c r="AL86" s="7"/>
      <c r="AM86" s="55"/>
    </row>
    <row r="87" customHeight="1" spans="1:39">
      <c r="A87" s="7"/>
      <c r="B87" s="73"/>
      <c r="C87" s="167"/>
      <c r="D87" s="167"/>
      <c r="E87" s="7"/>
      <c r="F87" s="7"/>
      <c r="G87" s="7"/>
      <c r="H87" s="96"/>
      <c r="I87" s="222"/>
      <c r="J87" s="68"/>
      <c r="K87" s="33"/>
      <c r="L87" s="79"/>
      <c r="M87" s="236" t="s">
        <v>149</v>
      </c>
      <c r="N87" s="81"/>
      <c r="O87" s="264"/>
      <c r="P87" s="7"/>
      <c r="Q87" s="58"/>
      <c r="R87" s="13"/>
      <c r="S87" s="7"/>
      <c r="T87" s="7"/>
      <c r="U87" s="7"/>
      <c r="V87" s="7"/>
      <c r="W87" s="7"/>
      <c r="Y87" s="7"/>
      <c r="Z87" s="7"/>
      <c r="AA87" s="7"/>
      <c r="AB87" s="7"/>
      <c r="AC87" s="7"/>
      <c r="AD87" s="7"/>
      <c r="AE87" s="7"/>
      <c r="AF87" s="41"/>
      <c r="AG87" s="230"/>
      <c r="AH87" s="178">
        <v>14</v>
      </c>
      <c r="AI87" s="7"/>
      <c r="AJ87" s="7"/>
      <c r="AK87" s="54"/>
      <c r="AL87" s="7"/>
      <c r="AM87" s="55"/>
    </row>
    <row r="88" customHeight="1" spans="1:39">
      <c r="A88" s="7"/>
      <c r="B88" s="73"/>
      <c r="C88" s="167"/>
      <c r="D88" s="167"/>
      <c r="E88" s="7"/>
      <c r="F88" s="7"/>
      <c r="G88" s="7"/>
      <c r="H88" s="96"/>
      <c r="I88" s="222"/>
      <c r="J88" s="68"/>
      <c r="K88" s="33"/>
      <c r="L88" s="237" t="s">
        <v>150</v>
      </c>
      <c r="M88" s="53" t="s">
        <v>151</v>
      </c>
      <c r="N88" s="238" t="s">
        <v>152</v>
      </c>
      <c r="O88" s="265">
        <v>46057</v>
      </c>
      <c r="P88" s="64" t="s">
        <v>56</v>
      </c>
      <c r="Q88" s="101">
        <v>20</v>
      </c>
      <c r="R88" s="13"/>
      <c r="S88" s="7"/>
      <c r="T88" s="7"/>
      <c r="U88" s="7"/>
      <c r="V88" s="7"/>
      <c r="W88" s="7"/>
      <c r="Y88" s="7"/>
      <c r="Z88" s="7"/>
      <c r="AA88" s="7"/>
      <c r="AB88" s="7"/>
      <c r="AC88" s="7"/>
      <c r="AD88" s="7"/>
      <c r="AE88" s="7"/>
      <c r="AF88" s="41"/>
      <c r="AG88" s="230"/>
      <c r="AH88" s="178">
        <v>15</v>
      </c>
      <c r="AI88" s="7"/>
      <c r="AJ88" s="7"/>
      <c r="AK88" s="54"/>
      <c r="AL88" s="7"/>
      <c r="AM88" s="55"/>
    </row>
    <row r="89" customHeight="1" spans="1:39">
      <c r="A89" s="7"/>
      <c r="B89" s="73"/>
      <c r="C89" s="167"/>
      <c r="D89" s="167"/>
      <c r="E89" s="7"/>
      <c r="F89" s="7"/>
      <c r="G89" s="7"/>
      <c r="H89" s="96"/>
      <c r="I89" s="222"/>
      <c r="J89" s="68"/>
      <c r="K89" s="33"/>
      <c r="L89" s="43"/>
      <c r="M89" s="53" t="s">
        <v>153</v>
      </c>
      <c r="N89" s="7" t="s">
        <v>152</v>
      </c>
      <c r="O89" s="61">
        <v>46060</v>
      </c>
      <c r="P89" s="64" t="s">
        <v>56</v>
      </c>
      <c r="Q89" s="101">
        <v>20</v>
      </c>
      <c r="R89" s="13"/>
      <c r="S89" s="7"/>
      <c r="T89" s="7"/>
      <c r="U89" s="7"/>
      <c r="V89" s="7"/>
      <c r="W89" s="7"/>
      <c r="Y89" s="7"/>
      <c r="Z89" s="7"/>
      <c r="AA89" s="7"/>
      <c r="AB89" s="7"/>
      <c r="AC89" s="7"/>
      <c r="AD89" s="7"/>
      <c r="AE89" s="7"/>
      <c r="AF89" s="41"/>
      <c r="AG89" s="230"/>
      <c r="AH89" s="178">
        <v>16</v>
      </c>
      <c r="AI89" s="7"/>
      <c r="AK89" s="54"/>
      <c r="AL89" s="7"/>
      <c r="AM89" s="55"/>
    </row>
    <row r="90" customHeight="1" spans="1:39">
      <c r="A90" s="7"/>
      <c r="B90" s="73"/>
      <c r="C90" s="167"/>
      <c r="D90" s="167"/>
      <c r="E90" s="7"/>
      <c r="F90" s="7"/>
      <c r="G90" s="7"/>
      <c r="H90" s="96"/>
      <c r="I90" s="222"/>
      <c r="J90" s="68"/>
      <c r="K90" s="33"/>
      <c r="L90" s="43"/>
      <c r="M90" s="53" t="s">
        <v>154</v>
      </c>
      <c r="N90" s="238" t="s">
        <v>152</v>
      </c>
      <c r="O90" s="61">
        <v>46062</v>
      </c>
      <c r="P90" s="64" t="s">
        <v>56</v>
      </c>
      <c r="Q90" s="101">
        <v>20</v>
      </c>
      <c r="R90" s="13"/>
      <c r="S90" s="7"/>
      <c r="T90" s="7"/>
      <c r="U90" s="7"/>
      <c r="V90" s="7"/>
      <c r="W90" s="7"/>
      <c r="Y90" s="7"/>
      <c r="Z90" s="7"/>
      <c r="AA90" s="7"/>
      <c r="AB90" s="7"/>
      <c r="AC90" s="7"/>
      <c r="AD90" s="7"/>
      <c r="AE90" s="7"/>
      <c r="AF90" s="41"/>
      <c r="AG90" s="230"/>
      <c r="AH90" s="178">
        <v>17</v>
      </c>
      <c r="AI90" s="7"/>
      <c r="AJ90" s="7"/>
      <c r="AK90" s="54"/>
      <c r="AL90" s="7"/>
      <c r="AM90" s="55"/>
    </row>
    <row r="91" customHeight="1" spans="1:39">
      <c r="A91" s="7"/>
      <c r="B91" s="73"/>
      <c r="C91" s="167"/>
      <c r="D91" s="96"/>
      <c r="E91" s="7"/>
      <c r="F91" s="7"/>
      <c r="G91" s="7"/>
      <c r="H91" s="96"/>
      <c r="I91" s="222"/>
      <c r="J91" s="68"/>
      <c r="K91" s="33"/>
      <c r="L91" s="43"/>
      <c r="M91" s="53" t="s">
        <v>155</v>
      </c>
      <c r="N91" s="250" t="s">
        <v>152</v>
      </c>
      <c r="O91" s="251">
        <v>46065</v>
      </c>
      <c r="P91" s="64" t="s">
        <v>23</v>
      </c>
      <c r="Q91" s="101">
        <v>20.23</v>
      </c>
      <c r="R91" s="13"/>
      <c r="S91" s="7"/>
      <c r="T91" s="7"/>
      <c r="U91" s="7"/>
      <c r="V91" s="7"/>
      <c r="W91" s="7"/>
      <c r="Y91" s="7"/>
      <c r="Z91" s="7"/>
      <c r="AA91" s="7"/>
      <c r="AB91" s="7"/>
      <c r="AC91" s="7"/>
      <c r="AD91" s="7"/>
      <c r="AE91" s="7"/>
      <c r="AF91" s="41"/>
      <c r="AG91" s="230"/>
      <c r="AH91" s="60">
        <v>18</v>
      </c>
      <c r="AI91" s="7"/>
      <c r="AJ91" s="7"/>
      <c r="AK91" s="54"/>
      <c r="AL91" s="7"/>
      <c r="AM91" s="55"/>
    </row>
    <row r="92" customHeight="1" spans="1:39">
      <c r="A92" s="7"/>
      <c r="B92" s="73"/>
      <c r="C92" s="167"/>
      <c r="D92" s="96"/>
      <c r="E92" s="7"/>
      <c r="F92" s="7"/>
      <c r="G92" s="7"/>
      <c r="H92" s="96"/>
      <c r="I92" s="222"/>
      <c r="J92" s="68"/>
      <c r="K92" s="33"/>
      <c r="L92" s="43"/>
      <c r="M92" s="53" t="s">
        <v>156</v>
      </c>
      <c r="N92" s="250" t="s">
        <v>152</v>
      </c>
      <c r="O92" s="251">
        <v>46069</v>
      </c>
      <c r="P92" s="64" t="s">
        <v>23</v>
      </c>
      <c r="Q92" s="101">
        <v>6.43</v>
      </c>
      <c r="R92" s="13"/>
      <c r="S92" s="7"/>
      <c r="T92" s="7"/>
      <c r="U92" s="7"/>
      <c r="V92" s="7"/>
      <c r="W92" s="7"/>
      <c r="Y92" s="7"/>
      <c r="Z92" s="7"/>
      <c r="AA92" s="7"/>
      <c r="AB92" s="7"/>
      <c r="AC92" s="7"/>
      <c r="AD92" s="7"/>
      <c r="AE92" s="7"/>
      <c r="AF92" s="41"/>
      <c r="AG92" s="230"/>
      <c r="AH92" s="60">
        <v>19</v>
      </c>
      <c r="AI92" s="7"/>
      <c r="AJ92" s="7"/>
      <c r="AK92" s="54"/>
      <c r="AL92" s="7"/>
      <c r="AM92" s="55"/>
    </row>
    <row r="93" customHeight="1" spans="1:39">
      <c r="A93" s="7"/>
      <c r="B93" s="73"/>
      <c r="C93" s="167"/>
      <c r="D93" s="96"/>
      <c r="E93" s="7"/>
      <c r="F93" s="7"/>
      <c r="G93" s="7"/>
      <c r="H93" s="96"/>
      <c r="I93" s="222"/>
      <c r="J93" s="68"/>
      <c r="K93" s="33"/>
      <c r="L93" s="43"/>
      <c r="M93" s="53" t="s">
        <v>157</v>
      </c>
      <c r="N93" s="7" t="s">
        <v>4133</v>
      </c>
      <c r="O93" s="61">
        <v>46073</v>
      </c>
      <c r="P93" s="64" t="s">
        <v>56</v>
      </c>
      <c r="Q93" s="101">
        <v>20</v>
      </c>
      <c r="R93" s="13"/>
      <c r="S93" s="7"/>
      <c r="T93" s="7"/>
      <c r="U93" s="7"/>
      <c r="V93" s="7"/>
      <c r="W93" s="7"/>
      <c r="Y93" s="7"/>
      <c r="Z93" s="7"/>
      <c r="AA93" s="7"/>
      <c r="AB93" s="7"/>
      <c r="AC93" s="7"/>
      <c r="AD93" s="7"/>
      <c r="AE93" s="7"/>
      <c r="AF93" s="41"/>
      <c r="AG93" s="230"/>
      <c r="AH93" s="60">
        <v>20</v>
      </c>
      <c r="AI93" s="7"/>
      <c r="AJ93" s="7"/>
      <c r="AK93" s="54"/>
      <c r="AL93" s="7"/>
      <c r="AM93" s="55"/>
    </row>
    <row r="94" customHeight="1" spans="1:39">
      <c r="A94" s="7"/>
      <c r="B94" s="73"/>
      <c r="C94" s="167"/>
      <c r="D94" s="96"/>
      <c r="E94" s="7"/>
      <c r="F94" s="7"/>
      <c r="G94" s="7"/>
      <c r="H94" s="96"/>
      <c r="I94" s="222"/>
      <c r="J94" s="68"/>
      <c r="K94" s="33"/>
      <c r="L94" s="43"/>
      <c r="M94" s="53" t="s">
        <v>158</v>
      </c>
      <c r="N94" s="64" t="s">
        <v>152</v>
      </c>
      <c r="O94" s="61">
        <v>46073</v>
      </c>
      <c r="P94" s="64" t="s">
        <v>56</v>
      </c>
      <c r="Q94" s="101">
        <f>5+3</f>
        <v>8</v>
      </c>
      <c r="R94" s="13"/>
      <c r="S94" s="7"/>
      <c r="T94" s="7"/>
      <c r="U94" s="7"/>
      <c r="V94" s="7"/>
      <c r="W94" s="7"/>
      <c r="Y94" s="7"/>
      <c r="Z94" s="7"/>
      <c r="AA94" s="7"/>
      <c r="AB94" s="7"/>
      <c r="AC94" s="7"/>
      <c r="AD94" s="7"/>
      <c r="AE94" s="7"/>
      <c r="AF94" s="41"/>
      <c r="AG94" s="230"/>
      <c r="AH94" s="60">
        <v>21</v>
      </c>
      <c r="AI94" s="7"/>
      <c r="AJ94" s="7"/>
      <c r="AK94" s="54"/>
      <c r="AL94" s="7"/>
      <c r="AM94" s="55"/>
    </row>
    <row r="95" customHeight="1" spans="1:39">
      <c r="A95" s="7"/>
      <c r="B95" s="49"/>
      <c r="C95" s="167"/>
      <c r="D95" s="96"/>
      <c r="E95" s="7"/>
      <c r="F95" s="7"/>
      <c r="G95" s="7"/>
      <c r="H95" s="96"/>
      <c r="I95" s="222"/>
      <c r="J95" s="96"/>
      <c r="K95" s="33"/>
      <c r="L95" s="43"/>
      <c r="M95" s="53" t="s">
        <v>159</v>
      </c>
      <c r="N95" s="64" t="s">
        <v>152</v>
      </c>
      <c r="O95" s="61">
        <v>46078</v>
      </c>
      <c r="P95" s="64" t="s">
        <v>56</v>
      </c>
      <c r="Q95" s="101">
        <v>20</v>
      </c>
      <c r="R95" s="13"/>
      <c r="S95" s="7"/>
      <c r="T95" s="7"/>
      <c r="U95" s="7"/>
      <c r="V95" s="7"/>
      <c r="W95" s="7"/>
      <c r="Y95" s="7"/>
      <c r="Z95" s="7"/>
      <c r="AA95" s="7"/>
      <c r="AB95" s="7"/>
      <c r="AC95" s="7"/>
      <c r="AD95" s="7"/>
      <c r="AE95" s="7"/>
      <c r="AF95" s="41"/>
      <c r="AG95" s="230"/>
      <c r="AH95" s="60">
        <v>22</v>
      </c>
      <c r="AI95" s="7"/>
      <c r="AJ95" s="7"/>
      <c r="AK95" s="54"/>
      <c r="AL95" s="7"/>
      <c r="AM95" s="55"/>
    </row>
    <row r="96" customHeight="1" spans="1:39">
      <c r="A96" s="7"/>
      <c r="B96" s="7"/>
      <c r="C96" s="167"/>
      <c r="D96" s="7"/>
      <c r="E96" s="7"/>
      <c r="F96" s="7"/>
      <c r="G96" s="7"/>
      <c r="H96" s="7"/>
      <c r="I96" s="7"/>
      <c r="J96" s="7"/>
      <c r="K96" s="225"/>
      <c r="L96" s="43"/>
      <c r="M96" s="53" t="s">
        <v>160</v>
      </c>
      <c r="N96" s="64" t="s">
        <v>152</v>
      </c>
      <c r="O96" s="61">
        <v>46079</v>
      </c>
      <c r="P96" s="64" t="s">
        <v>56</v>
      </c>
      <c r="Q96" s="101">
        <v>10</v>
      </c>
      <c r="R96" s="13"/>
      <c r="S96" s="7"/>
      <c r="T96" s="7"/>
      <c r="U96" s="7"/>
      <c r="V96" s="7"/>
      <c r="W96" s="7"/>
      <c r="Y96" s="7"/>
      <c r="Z96" s="7"/>
      <c r="AA96" s="7"/>
      <c r="AB96" s="7"/>
      <c r="AC96" s="7"/>
      <c r="AD96" s="7"/>
      <c r="AE96" s="7"/>
      <c r="AF96" s="41"/>
      <c r="AG96" s="230"/>
      <c r="AH96" s="60">
        <v>23</v>
      </c>
      <c r="AI96" s="7"/>
      <c r="AJ96" s="7"/>
      <c r="AK96" s="54"/>
      <c r="AL96" s="7"/>
      <c r="AM96" s="55"/>
    </row>
    <row r="97" customHeight="1" spans="1:39">
      <c r="A97" s="7"/>
      <c r="B97" s="7"/>
      <c r="C97" s="167"/>
      <c r="D97" s="7"/>
      <c r="E97" s="7"/>
      <c r="F97" s="7"/>
      <c r="G97" s="7"/>
      <c r="H97" s="7"/>
      <c r="I97" s="7"/>
      <c r="J97" s="7"/>
      <c r="K97" s="225"/>
      <c r="L97" s="43"/>
      <c r="M97" s="53" t="s">
        <v>161</v>
      </c>
      <c r="R97" s="13"/>
      <c r="S97" s="7"/>
      <c r="T97" s="7"/>
      <c r="U97" s="7"/>
      <c r="V97" s="7"/>
      <c r="W97" s="7"/>
      <c r="Y97" s="7"/>
      <c r="Z97" s="7"/>
      <c r="AA97" s="7"/>
      <c r="AB97" s="7"/>
      <c r="AC97" s="7"/>
      <c r="AD97" s="7"/>
      <c r="AE97" s="7"/>
      <c r="AF97" s="41"/>
      <c r="AG97" s="230"/>
      <c r="AH97" s="60">
        <v>24</v>
      </c>
      <c r="AI97" s="7"/>
      <c r="AJ97" s="7"/>
      <c r="AK97" s="54"/>
      <c r="AL97" s="7"/>
      <c r="AM97" s="55"/>
    </row>
    <row r="98" customHeight="1" spans="1:39">
      <c r="A98" s="7"/>
      <c r="B98" s="7"/>
      <c r="C98" s="167"/>
      <c r="D98" s="7"/>
      <c r="E98" s="7"/>
      <c r="F98" s="7"/>
      <c r="G98" s="7"/>
      <c r="H98" s="7"/>
      <c r="I98" s="7"/>
      <c r="J98" s="7"/>
      <c r="K98" s="225"/>
      <c r="L98" s="43"/>
      <c r="M98" s="53" t="s">
        <v>162</v>
      </c>
      <c r="R98" s="13"/>
      <c r="S98" s="7"/>
      <c r="T98" s="7"/>
      <c r="U98" s="7"/>
      <c r="V98" s="7"/>
      <c r="W98" s="7"/>
      <c r="Y98" s="7"/>
      <c r="Z98" s="7"/>
      <c r="AA98" s="7"/>
      <c r="AB98" s="7"/>
      <c r="AC98" s="7"/>
      <c r="AD98" s="7"/>
      <c r="AE98" s="7"/>
      <c r="AF98" s="29"/>
      <c r="AG98" s="230"/>
      <c r="AH98" s="60">
        <v>25</v>
      </c>
      <c r="AI98" s="7"/>
      <c r="AJ98" s="7"/>
      <c r="AK98" s="54"/>
      <c r="AL98" s="7"/>
      <c r="AM98" s="55"/>
    </row>
    <row r="99" customHeight="1" spans="1:39">
      <c r="A99" s="7"/>
      <c r="B99" s="7"/>
      <c r="C99" s="167"/>
      <c r="D99" s="7"/>
      <c r="E99" s="7"/>
      <c r="F99" s="7"/>
      <c r="G99" s="7"/>
      <c r="H99" s="7"/>
      <c r="I99" s="7"/>
      <c r="J99" s="7"/>
      <c r="K99" s="33"/>
      <c r="L99" s="43"/>
      <c r="M99" s="53" t="s">
        <v>163</v>
      </c>
      <c r="N99" s="7"/>
      <c r="O99" s="61"/>
      <c r="P99" s="64"/>
      <c r="Q99" s="101"/>
      <c r="R99" s="13"/>
      <c r="S99" s="96"/>
      <c r="T99" s="96"/>
      <c r="U99" s="96"/>
      <c r="V99" s="96"/>
      <c r="W99" s="96"/>
      <c r="Y99" s="7"/>
      <c r="Z99" s="7"/>
      <c r="AA99" s="7"/>
      <c r="AB99" s="7"/>
      <c r="AC99" s="7"/>
      <c r="AD99" s="7"/>
      <c r="AE99" s="7"/>
      <c r="AF99" s="29"/>
      <c r="AG99" s="230"/>
      <c r="AH99" s="60">
        <v>26</v>
      </c>
      <c r="AI99" s="7"/>
      <c r="AJ99" s="7"/>
      <c r="AK99" s="54"/>
      <c r="AL99" s="7"/>
      <c r="AM99" s="55"/>
    </row>
    <row r="100" customHeight="1" spans="1:39">
      <c r="A100" s="7"/>
      <c r="B100" s="7"/>
      <c r="C100" s="167"/>
      <c r="D100" s="7"/>
      <c r="E100" s="7"/>
      <c r="F100" s="7"/>
      <c r="G100" s="7"/>
      <c r="H100" s="7"/>
      <c r="I100" s="7"/>
      <c r="J100" s="7"/>
      <c r="K100" s="33"/>
      <c r="L100" s="43"/>
      <c r="M100" s="53" t="s">
        <v>164</v>
      </c>
      <c r="N100" s="7"/>
      <c r="O100" s="49"/>
      <c r="P100" s="64"/>
      <c r="Q100" s="68"/>
      <c r="R100" s="13"/>
      <c r="S100" s="96"/>
      <c r="T100" s="96"/>
      <c r="U100" s="96"/>
      <c r="V100" s="96"/>
      <c r="W100" s="96"/>
      <c r="Y100" s="7"/>
      <c r="Z100" s="7"/>
      <c r="AA100" s="7"/>
      <c r="AB100" s="7"/>
      <c r="AC100" s="7"/>
      <c r="AD100" s="7"/>
      <c r="AE100" s="7"/>
      <c r="AF100" s="29"/>
      <c r="AG100" s="239" t="s">
        <v>165</v>
      </c>
      <c r="AH100" s="60">
        <v>27</v>
      </c>
      <c r="AI100" s="7"/>
      <c r="AJ100" s="7"/>
      <c r="AK100" s="54"/>
      <c r="AL100" s="7"/>
      <c r="AM100" s="55"/>
    </row>
    <row r="101" customHeight="1" spans="1:39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33"/>
      <c r="L101" s="56"/>
      <c r="M101" s="7"/>
      <c r="N101" s="7"/>
      <c r="O101" s="56"/>
      <c r="P101" s="240" t="s">
        <v>96</v>
      </c>
      <c r="Q101" s="124">
        <f>SUMIF(P4:P100,"Efectivo",Q4:Q100)</f>
        <v>685.41</v>
      </c>
      <c r="R101" s="13"/>
      <c r="S101" s="96"/>
      <c r="T101" s="96"/>
      <c r="U101" s="96"/>
      <c r="V101" s="96"/>
      <c r="W101" s="96"/>
      <c r="Y101" s="7"/>
      <c r="Z101" s="7"/>
      <c r="AA101" s="7"/>
      <c r="AB101" s="7"/>
      <c r="AC101" s="7"/>
      <c r="AD101" s="7"/>
      <c r="AE101" s="7"/>
      <c r="AF101" s="29"/>
      <c r="AG101" s="230"/>
      <c r="AH101" s="60">
        <v>28</v>
      </c>
      <c r="AI101" s="7"/>
      <c r="AJ101" s="7"/>
      <c r="AK101" s="54"/>
      <c r="AL101" s="7"/>
      <c r="AM101" s="55"/>
    </row>
    <row r="102" customHeight="1" spans="1:39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225"/>
      <c r="L102" s="56"/>
      <c r="M102" s="7"/>
      <c r="N102" s="7"/>
      <c r="O102" s="56"/>
      <c r="P102" s="127" t="s">
        <v>99</v>
      </c>
      <c r="Q102" s="128">
        <f>SUMIF(P4:P100,"Pichincha",Q4:Q100)</f>
        <v>5363.98</v>
      </c>
      <c r="R102" s="13"/>
      <c r="S102" s="96"/>
      <c r="T102" s="96"/>
      <c r="U102" s="96"/>
      <c r="V102" s="96"/>
      <c r="W102" s="96"/>
      <c r="Y102" s="7"/>
      <c r="Z102" s="7"/>
      <c r="AA102" s="7"/>
      <c r="AB102" s="7"/>
      <c r="AC102" s="7"/>
      <c r="AD102" s="7"/>
      <c r="AE102" s="7"/>
      <c r="AF102" s="29"/>
      <c r="AG102" s="230"/>
      <c r="AH102" s="181">
        <v>1</v>
      </c>
      <c r="AI102" s="64"/>
      <c r="AJ102" s="64"/>
      <c r="AK102" s="61"/>
      <c r="AL102" s="64"/>
      <c r="AM102" s="115"/>
    </row>
    <row r="103" customHeight="1" spans="1:39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33"/>
      <c r="L103" s="34"/>
      <c r="M103" s="1"/>
      <c r="N103" s="1"/>
      <c r="O103" s="34"/>
      <c r="P103" s="127" t="s">
        <v>102</v>
      </c>
      <c r="Q103" s="128">
        <f>SUMIF(P4:P100,"JEP",Q4:Q100)</f>
        <v>526.24</v>
      </c>
      <c r="R103" s="13"/>
      <c r="S103" s="96"/>
      <c r="T103" s="96"/>
      <c r="U103" s="96"/>
      <c r="V103" s="96"/>
      <c r="W103" s="96"/>
      <c r="Y103" s="7"/>
      <c r="Z103" s="7"/>
      <c r="AA103" s="7"/>
      <c r="AB103" s="7"/>
      <c r="AC103" s="7"/>
      <c r="AD103" s="7"/>
      <c r="AE103" s="7"/>
      <c r="AF103" s="29"/>
      <c r="AG103" s="230"/>
      <c r="AH103" s="60">
        <v>2</v>
      </c>
      <c r="AI103" s="7"/>
      <c r="AJ103" s="7"/>
      <c r="AK103" s="54"/>
      <c r="AL103" s="7"/>
      <c r="AM103" s="55"/>
    </row>
    <row r="104" customHeight="1" spans="1:39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33"/>
      <c r="L104" s="120"/>
      <c r="M104" s="120"/>
      <c r="N104" s="121" t="s">
        <v>68</v>
      </c>
      <c r="O104" s="120"/>
      <c r="P104" s="120"/>
      <c r="Q104" s="144"/>
      <c r="R104" s="13"/>
      <c r="S104" s="96"/>
      <c r="T104" s="96"/>
      <c r="U104" s="96"/>
      <c r="V104" s="96"/>
      <c r="W104" s="96"/>
      <c r="Y104" s="7"/>
      <c r="Z104" s="7"/>
      <c r="AA104" s="7"/>
      <c r="AB104" s="7"/>
      <c r="AC104" s="7"/>
      <c r="AD104" s="7"/>
      <c r="AE104" s="7"/>
      <c r="AF104" s="29"/>
      <c r="AG104" s="230"/>
      <c r="AH104" s="60">
        <v>3</v>
      </c>
      <c r="AI104" s="227"/>
      <c r="AK104" s="54"/>
      <c r="AL104" s="7"/>
      <c r="AM104" s="101"/>
    </row>
    <row r="105" customHeight="1" spans="1:39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33"/>
      <c r="L105" s="34"/>
      <c r="M105" s="31" t="s">
        <v>18</v>
      </c>
      <c r="N105" s="31" t="s">
        <v>166</v>
      </c>
      <c r="O105" s="31" t="s">
        <v>13</v>
      </c>
      <c r="P105" s="31" t="s">
        <v>14</v>
      </c>
      <c r="Q105" s="111" t="s">
        <v>15</v>
      </c>
      <c r="R105" s="13"/>
      <c r="S105" s="96"/>
      <c r="T105" s="96"/>
      <c r="U105" s="96"/>
      <c r="V105" s="96"/>
      <c r="W105" s="96"/>
      <c r="Y105" s="7"/>
      <c r="Z105" s="7"/>
      <c r="AA105" s="7"/>
      <c r="AB105" s="7"/>
      <c r="AC105" s="7"/>
      <c r="AD105" s="7"/>
      <c r="AE105" s="7"/>
      <c r="AF105" s="29"/>
      <c r="AG105" s="230"/>
      <c r="AH105" s="60">
        <v>4</v>
      </c>
      <c r="AI105" s="7"/>
      <c r="AJ105" s="7"/>
      <c r="AK105" s="54"/>
      <c r="AL105" s="7"/>
      <c r="AM105" s="101"/>
    </row>
    <row r="106" customHeight="1" spans="1:39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33"/>
      <c r="L106" s="152" t="s">
        <v>167</v>
      </c>
      <c r="M106" s="69">
        <v>1</v>
      </c>
      <c r="N106" s="134" t="s">
        <v>32</v>
      </c>
      <c r="O106" s="135">
        <v>46062</v>
      </c>
      <c r="P106" s="134" t="s">
        <v>32</v>
      </c>
      <c r="Q106" s="136">
        <f>AM8</f>
        <v>300</v>
      </c>
      <c r="R106" s="13"/>
      <c r="S106" s="96"/>
      <c r="T106" s="96"/>
      <c r="U106" s="96"/>
      <c r="V106" s="96"/>
      <c r="W106" s="96"/>
      <c r="Y106" s="7"/>
      <c r="Z106" s="7"/>
      <c r="AA106" s="7"/>
      <c r="AB106" s="7"/>
      <c r="AC106" s="7"/>
      <c r="AD106" s="7"/>
      <c r="AE106" s="7"/>
      <c r="AF106" s="29"/>
      <c r="AG106" s="241"/>
      <c r="AH106" s="60">
        <v>5</v>
      </c>
      <c r="AI106" s="7"/>
      <c r="AK106" s="54"/>
      <c r="AL106" s="7"/>
      <c r="AM106" s="101"/>
    </row>
    <row r="107" customHeight="1" spans="1:39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33"/>
      <c r="L107" s="43"/>
      <c r="M107" s="69">
        <v>2</v>
      </c>
      <c r="N107" s="47" t="s">
        <v>23</v>
      </c>
      <c r="O107" s="135">
        <v>46066</v>
      </c>
      <c r="P107" s="47" t="s">
        <v>35</v>
      </c>
      <c r="Q107" s="101">
        <v>337.98</v>
      </c>
      <c r="R107" s="13"/>
      <c r="S107" s="96"/>
      <c r="T107" s="96"/>
      <c r="U107" s="96"/>
      <c r="V107" s="96"/>
      <c r="W107" s="96"/>
      <c r="Y107" s="7"/>
      <c r="Z107" s="7"/>
      <c r="AA107" s="7"/>
      <c r="AB107" s="7"/>
      <c r="AC107" s="7"/>
      <c r="AD107" s="7"/>
      <c r="AE107" s="7"/>
      <c r="AF107" s="7"/>
      <c r="AG107" s="228" t="s">
        <v>168</v>
      </c>
      <c r="AH107" s="60">
        <v>6</v>
      </c>
      <c r="AI107" s="7"/>
      <c r="AK107" s="54"/>
      <c r="AL107" s="7"/>
      <c r="AM107" s="101"/>
    </row>
    <row r="108" customHeight="1" spans="1:39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33"/>
      <c r="L108" s="43"/>
      <c r="M108" s="69">
        <v>3</v>
      </c>
      <c r="N108" s="47" t="s">
        <v>23</v>
      </c>
      <c r="O108" s="135">
        <v>46066</v>
      </c>
      <c r="P108" s="47" t="s">
        <v>56</v>
      </c>
      <c r="Q108" s="101">
        <v>540.08</v>
      </c>
      <c r="R108" s="13"/>
      <c r="S108" s="7"/>
      <c r="T108" s="7"/>
      <c r="U108" s="7"/>
      <c r="V108" s="7"/>
      <c r="W108" s="7"/>
      <c r="Y108" s="7"/>
      <c r="Z108" s="7"/>
      <c r="AA108" s="7"/>
      <c r="AB108" s="7"/>
      <c r="AC108" s="7"/>
      <c r="AD108" s="7"/>
      <c r="AE108" s="7"/>
      <c r="AF108" s="7"/>
      <c r="AG108" s="230"/>
      <c r="AH108" s="181">
        <v>1</v>
      </c>
      <c r="AI108" s="64"/>
      <c r="AJ108" s="64"/>
      <c r="AK108" s="61"/>
      <c r="AL108" s="64"/>
      <c r="AM108" s="115"/>
    </row>
    <row r="109" customHeight="1" spans="1:3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33"/>
      <c r="L109" s="43"/>
      <c r="M109" s="69">
        <v>4</v>
      </c>
      <c r="N109" s="7" t="s">
        <v>23</v>
      </c>
      <c r="O109" s="73">
        <v>46080</v>
      </c>
      <c r="P109" s="7" t="s">
        <v>56</v>
      </c>
      <c r="Q109" s="68">
        <v>1708.52</v>
      </c>
      <c r="R109" s="13"/>
      <c r="S109" s="7"/>
      <c r="T109" s="7"/>
      <c r="U109" s="7"/>
      <c r="V109" s="7"/>
      <c r="W109" s="7"/>
      <c r="Y109" s="7"/>
      <c r="Z109" s="7"/>
      <c r="AA109" s="7"/>
      <c r="AB109" s="7"/>
      <c r="AC109" s="7"/>
      <c r="AD109" s="7"/>
      <c r="AE109" s="7"/>
      <c r="AF109" s="7"/>
      <c r="AG109" s="230"/>
      <c r="AH109" s="60">
        <v>2</v>
      </c>
      <c r="AI109" s="7"/>
      <c r="AJ109" s="7"/>
      <c r="AK109" s="54"/>
      <c r="AL109" s="7"/>
      <c r="AM109" s="55"/>
    </row>
    <row r="110" customHeight="1" spans="1:39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33"/>
      <c r="L110" s="43"/>
      <c r="M110" s="69">
        <v>5</v>
      </c>
      <c r="N110" s="7" t="s">
        <v>23</v>
      </c>
      <c r="O110" s="49">
        <v>46080</v>
      </c>
      <c r="P110" s="7" t="s">
        <v>35</v>
      </c>
      <c r="Q110" s="68">
        <v>905.12</v>
      </c>
      <c r="R110" s="13"/>
      <c r="S110" s="7"/>
      <c r="T110" s="7"/>
      <c r="U110" s="7"/>
      <c r="V110" s="7"/>
      <c r="W110" s="7"/>
      <c r="Y110" s="7"/>
      <c r="Z110" s="7"/>
      <c r="AA110" s="7"/>
      <c r="AB110" s="7"/>
      <c r="AC110" s="7"/>
      <c r="AD110" s="7"/>
      <c r="AE110" s="7"/>
      <c r="AF110" s="7"/>
      <c r="AG110" s="230"/>
      <c r="AH110" s="60">
        <v>3</v>
      </c>
      <c r="AI110" s="7"/>
      <c r="AJ110" s="7"/>
      <c r="AK110" s="54"/>
      <c r="AL110" s="7"/>
      <c r="AM110" s="242"/>
    </row>
    <row r="111" customHeight="1" spans="1:39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33"/>
      <c r="L111" s="43"/>
      <c r="M111" s="69">
        <v>6</v>
      </c>
      <c r="N111" s="7" t="s">
        <v>23</v>
      </c>
      <c r="O111" s="49">
        <v>46081</v>
      </c>
      <c r="P111" s="7" t="s">
        <v>23</v>
      </c>
      <c r="Q111" s="68">
        <v>632.55</v>
      </c>
      <c r="R111" s="13"/>
      <c r="S111" s="7"/>
      <c r="T111" s="7"/>
      <c r="U111" s="7"/>
      <c r="V111" s="7"/>
      <c r="W111" s="7"/>
      <c r="Y111" s="7"/>
      <c r="Z111" s="7"/>
      <c r="AA111" s="7"/>
      <c r="AB111" s="7"/>
      <c r="AC111" s="7"/>
      <c r="AD111" s="7"/>
      <c r="AE111" s="7"/>
      <c r="AF111" s="7"/>
      <c r="AG111" s="230"/>
      <c r="AH111" s="60">
        <v>4</v>
      </c>
      <c r="AI111" s="7"/>
      <c r="AJ111" s="7"/>
      <c r="AK111" s="54"/>
      <c r="AL111" s="7"/>
      <c r="AM111" s="55"/>
    </row>
    <row r="112" customHeight="1" spans="1:39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33"/>
      <c r="L112" s="43"/>
      <c r="M112" s="69">
        <v>7</v>
      </c>
      <c r="N112" s="7"/>
      <c r="O112" s="49"/>
      <c r="P112" s="7"/>
      <c r="Q112" s="68"/>
      <c r="R112" s="13"/>
      <c r="S112" s="7"/>
      <c r="T112" s="7"/>
      <c r="U112" s="7"/>
      <c r="V112" s="7"/>
      <c r="W112" s="7"/>
      <c r="Y112" s="7"/>
      <c r="Z112" s="7"/>
      <c r="AA112" s="7"/>
      <c r="AB112" s="7"/>
      <c r="AC112" s="7"/>
      <c r="AD112" s="7"/>
      <c r="AE112" s="7"/>
      <c r="AF112" s="7"/>
      <c r="AG112" s="230"/>
      <c r="AH112" s="60">
        <v>5</v>
      </c>
      <c r="AI112" s="7"/>
      <c r="AJ112" s="7"/>
      <c r="AK112" s="54"/>
      <c r="AL112" s="7"/>
      <c r="AM112" s="55"/>
    </row>
    <row r="113" customHeight="1" spans="1:39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33"/>
      <c r="L113" s="43"/>
      <c r="M113" s="69">
        <v>8</v>
      </c>
      <c r="N113" s="7"/>
      <c r="O113" s="49"/>
      <c r="P113" s="7"/>
      <c r="Q113" s="68"/>
      <c r="R113" s="13"/>
      <c r="S113" s="7"/>
      <c r="T113" s="7"/>
      <c r="U113" s="7"/>
      <c r="V113" s="7"/>
      <c r="W113" s="7"/>
      <c r="Y113" s="7"/>
      <c r="Z113" s="7"/>
      <c r="AA113" s="7"/>
      <c r="AB113" s="7"/>
      <c r="AC113" s="7"/>
      <c r="AD113" s="7"/>
      <c r="AE113" s="7"/>
      <c r="AF113" s="7"/>
      <c r="AG113" s="230"/>
      <c r="AH113" s="60">
        <v>6</v>
      </c>
      <c r="AI113" s="7"/>
      <c r="AJ113" s="7"/>
      <c r="AK113" s="54"/>
      <c r="AL113" s="7"/>
      <c r="AM113" s="55"/>
    </row>
    <row r="114" customHeight="1" spans="1:39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33"/>
      <c r="L114" s="43"/>
      <c r="M114" s="69">
        <v>9</v>
      </c>
      <c r="N114" s="7"/>
      <c r="O114" s="49"/>
      <c r="P114" s="7"/>
      <c r="Q114" s="68"/>
      <c r="R114" s="13"/>
      <c r="S114" s="96"/>
      <c r="T114" s="96"/>
      <c r="U114" s="96"/>
      <c r="V114" s="96"/>
      <c r="W114" s="96"/>
      <c r="Y114" s="7"/>
      <c r="Z114" s="7"/>
      <c r="AA114" s="7"/>
      <c r="AB114" s="7"/>
      <c r="AC114" s="7"/>
      <c r="AD114" s="7"/>
      <c r="AE114" s="7"/>
      <c r="AF114" s="7"/>
      <c r="AG114" s="241"/>
      <c r="AH114" s="60">
        <v>7</v>
      </c>
      <c r="AI114" s="7"/>
      <c r="AJ114" s="7"/>
      <c r="AK114" s="54"/>
      <c r="AL114" s="7"/>
      <c r="AM114" s="55"/>
    </row>
    <row r="115" customHeight="1" spans="1:39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33"/>
      <c r="L115" s="43"/>
      <c r="M115" s="69">
        <v>10</v>
      </c>
      <c r="N115" s="7"/>
      <c r="O115" s="49"/>
      <c r="P115" s="7"/>
      <c r="Q115" s="68"/>
      <c r="R115" s="13"/>
      <c r="S115" s="96"/>
      <c r="T115" s="96"/>
      <c r="U115" s="96"/>
      <c r="V115" s="96"/>
      <c r="W115" s="96"/>
      <c r="Y115" s="7"/>
      <c r="Z115" s="7"/>
      <c r="AA115" s="7"/>
      <c r="AB115" s="7"/>
      <c r="AC115" s="7"/>
      <c r="AD115" s="7"/>
      <c r="AE115" s="7"/>
      <c r="AF115" s="7"/>
      <c r="AG115" s="228" t="s">
        <v>169</v>
      </c>
      <c r="AH115" s="181">
        <v>1</v>
      </c>
      <c r="AI115" s="64"/>
      <c r="AJ115" s="64"/>
      <c r="AK115" s="61"/>
      <c r="AL115" s="108"/>
      <c r="AM115" s="243"/>
    </row>
    <row r="116" customHeight="1" spans="1:39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33"/>
      <c r="L116" s="43"/>
      <c r="M116" s="69">
        <v>11</v>
      </c>
      <c r="N116" s="7"/>
      <c r="O116" s="49"/>
      <c r="P116" s="7"/>
      <c r="Q116" s="68"/>
      <c r="R116" s="13"/>
      <c r="S116" s="96"/>
      <c r="T116" s="96"/>
      <c r="U116" s="96"/>
      <c r="V116" s="96"/>
      <c r="W116" s="96"/>
      <c r="Y116" s="7"/>
      <c r="Z116" s="7"/>
      <c r="AA116" s="7"/>
      <c r="AB116" s="7"/>
      <c r="AC116" s="7"/>
      <c r="AD116" s="7"/>
      <c r="AE116" s="7"/>
      <c r="AF116" s="7"/>
      <c r="AG116" s="230"/>
      <c r="AH116" s="60">
        <v>2</v>
      </c>
      <c r="AI116" s="7"/>
      <c r="AJ116" s="7"/>
      <c r="AK116" s="54"/>
      <c r="AL116" s="7"/>
      <c r="AM116" s="170"/>
    </row>
    <row r="117" customHeight="1" spans="1:39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33"/>
      <c r="L117" s="43"/>
      <c r="M117" s="69">
        <v>12</v>
      </c>
      <c r="N117" s="7"/>
      <c r="O117" s="49"/>
      <c r="P117" s="7"/>
      <c r="Q117" s="68"/>
      <c r="R117" s="13"/>
      <c r="S117" s="96"/>
      <c r="T117" s="96"/>
      <c r="U117" s="96"/>
      <c r="V117" s="96"/>
      <c r="W117" s="96"/>
      <c r="Y117" s="7"/>
      <c r="Z117" s="7"/>
      <c r="AA117" s="7"/>
      <c r="AB117" s="7"/>
      <c r="AC117" s="7"/>
      <c r="AD117" s="7"/>
      <c r="AE117" s="7"/>
      <c r="AF117" s="7"/>
      <c r="AG117" s="230"/>
      <c r="AH117" s="60">
        <v>3</v>
      </c>
      <c r="AI117" s="7"/>
      <c r="AJ117" s="7"/>
      <c r="AK117" s="54"/>
      <c r="AL117" s="7"/>
      <c r="AM117" s="55"/>
    </row>
    <row r="118" customHeight="1" spans="1:39">
      <c r="A118" s="7"/>
      <c r="B118" s="7"/>
      <c r="C118" s="7"/>
      <c r="D118" s="7"/>
      <c r="E118" s="7"/>
      <c r="F118" s="7"/>
      <c r="G118" s="7"/>
      <c r="H118" s="96"/>
      <c r="I118" s="96"/>
      <c r="J118" s="96"/>
      <c r="K118" s="33"/>
      <c r="L118" s="43"/>
      <c r="M118" s="69">
        <v>13</v>
      </c>
      <c r="N118" s="7"/>
      <c r="O118" s="232"/>
      <c r="P118" s="7"/>
      <c r="Q118" s="68"/>
      <c r="R118" s="13"/>
      <c r="S118" s="96"/>
      <c r="T118" s="96"/>
      <c r="U118" s="96"/>
      <c r="V118" s="96"/>
      <c r="W118" s="96"/>
      <c r="Y118" s="7"/>
      <c r="Z118" s="7"/>
      <c r="AA118" s="7"/>
      <c r="AB118" s="7"/>
      <c r="AC118" s="7"/>
      <c r="AD118" s="7"/>
      <c r="AE118" s="7"/>
      <c r="AF118" s="7"/>
      <c r="AG118" s="230"/>
      <c r="AH118" s="60">
        <v>4</v>
      </c>
      <c r="AI118" s="7"/>
      <c r="AJ118" s="7"/>
      <c r="AK118" s="54"/>
      <c r="AL118" s="7"/>
      <c r="AM118" s="55"/>
    </row>
    <row r="119" customHeight="1" spans="1:39">
      <c r="A119" s="7"/>
      <c r="B119" s="7"/>
      <c r="C119" s="7"/>
      <c r="D119" s="7"/>
      <c r="E119" s="7"/>
      <c r="F119" s="7"/>
      <c r="G119" s="7"/>
      <c r="H119" s="96"/>
      <c r="I119" s="96"/>
      <c r="J119" s="96"/>
      <c r="K119" s="33"/>
      <c r="L119" s="43"/>
      <c r="M119" s="69">
        <v>15</v>
      </c>
      <c r="N119" s="7"/>
      <c r="O119" s="232"/>
      <c r="P119" s="7"/>
      <c r="Q119" s="68"/>
      <c r="R119" s="13"/>
      <c r="S119" s="96"/>
      <c r="T119" s="96"/>
      <c r="U119" s="96"/>
      <c r="V119" s="96"/>
      <c r="W119" s="96"/>
      <c r="Y119" s="7"/>
      <c r="Z119" s="7"/>
      <c r="AA119" s="7"/>
      <c r="AB119" s="7"/>
      <c r="AC119" s="7"/>
      <c r="AD119" s="7"/>
      <c r="AE119" s="7"/>
      <c r="AF119" s="7"/>
      <c r="AG119" s="230"/>
      <c r="AH119" s="60">
        <v>5</v>
      </c>
      <c r="AI119" s="7"/>
      <c r="AJ119" s="7"/>
      <c r="AK119" s="54"/>
      <c r="AL119" s="7"/>
      <c r="AM119" s="55"/>
    </row>
    <row r="120" customHeight="1" spans="1:39">
      <c r="A120" s="7"/>
      <c r="B120" s="7"/>
      <c r="C120" s="7"/>
      <c r="D120" s="7"/>
      <c r="E120" s="7"/>
      <c r="F120" s="7"/>
      <c r="G120" s="7"/>
      <c r="H120" s="96"/>
      <c r="I120" s="96"/>
      <c r="J120" s="96"/>
      <c r="K120" s="33"/>
      <c r="L120" s="43"/>
      <c r="M120" s="60">
        <v>16</v>
      </c>
      <c r="N120" s="7"/>
      <c r="O120" s="49"/>
      <c r="P120" s="7"/>
      <c r="Q120" s="68"/>
      <c r="R120" s="13"/>
      <c r="S120" s="96"/>
      <c r="T120" s="96"/>
      <c r="U120" s="96"/>
      <c r="V120" s="96"/>
      <c r="W120" s="96"/>
      <c r="Y120" s="7"/>
      <c r="Z120" s="7"/>
      <c r="AA120" s="7"/>
      <c r="AB120" s="7"/>
      <c r="AC120" s="7"/>
      <c r="AD120" s="7"/>
      <c r="AE120" s="7"/>
      <c r="AF120" s="7"/>
      <c r="AG120" s="230"/>
      <c r="AH120" s="60">
        <v>6</v>
      </c>
      <c r="AI120" s="7"/>
      <c r="AJ120" s="7"/>
      <c r="AK120" s="75"/>
      <c r="AL120" s="7"/>
      <c r="AM120" s="55"/>
    </row>
    <row r="121" customHeight="1" spans="1:39">
      <c r="A121" s="7"/>
      <c r="B121" s="7"/>
      <c r="C121" s="7"/>
      <c r="D121" s="7"/>
      <c r="E121" s="7"/>
      <c r="F121" s="7"/>
      <c r="G121" s="7"/>
      <c r="H121" s="96"/>
      <c r="I121" s="96"/>
      <c r="J121" s="96"/>
      <c r="K121" s="33"/>
      <c r="L121" s="43"/>
      <c r="M121" s="60">
        <v>17</v>
      </c>
      <c r="N121" s="7"/>
      <c r="O121" s="49"/>
      <c r="P121" s="7"/>
      <c r="Q121" s="68"/>
      <c r="R121" s="13"/>
      <c r="S121" s="96"/>
      <c r="T121" s="96"/>
      <c r="U121" s="96"/>
      <c r="V121" s="96"/>
      <c r="W121" s="96"/>
      <c r="Y121" s="7"/>
      <c r="Z121" s="7"/>
      <c r="AA121" s="7"/>
      <c r="AB121" s="7"/>
      <c r="AC121" s="7"/>
      <c r="AD121" s="7"/>
      <c r="AE121" s="7"/>
      <c r="AF121" s="7"/>
      <c r="AG121" s="230"/>
      <c r="AH121" s="60">
        <v>7</v>
      </c>
      <c r="AI121" s="7"/>
      <c r="AJ121" s="7"/>
      <c r="AK121" s="54"/>
      <c r="AL121" s="7"/>
      <c r="AM121" s="55"/>
    </row>
    <row r="122" customHeight="1" spans="1:39">
      <c r="A122" s="7"/>
      <c r="B122" s="7"/>
      <c r="C122" s="7"/>
      <c r="D122" s="7"/>
      <c r="E122" s="7"/>
      <c r="F122" s="7"/>
      <c r="G122" s="7"/>
      <c r="H122" s="96"/>
      <c r="I122" s="96"/>
      <c r="J122" s="96"/>
      <c r="K122" s="33"/>
      <c r="L122" s="43"/>
      <c r="M122" s="60">
        <v>17</v>
      </c>
      <c r="N122" s="7"/>
      <c r="O122" s="49"/>
      <c r="P122" s="7"/>
      <c r="Q122" s="68"/>
      <c r="R122" s="13"/>
      <c r="S122" s="96"/>
      <c r="T122" s="96"/>
      <c r="U122" s="96"/>
      <c r="V122" s="96"/>
      <c r="W122" s="96"/>
      <c r="Y122" s="7"/>
      <c r="Z122" s="7"/>
      <c r="AA122" s="7"/>
      <c r="AB122" s="7"/>
      <c r="AC122" s="7"/>
      <c r="AD122" s="7"/>
      <c r="AE122" s="7"/>
      <c r="AF122" s="7"/>
      <c r="AG122" s="230"/>
      <c r="AH122" s="60">
        <v>8</v>
      </c>
      <c r="AI122" s="7"/>
      <c r="AJ122" s="7"/>
      <c r="AK122" s="54"/>
      <c r="AL122" s="7"/>
      <c r="AM122" s="55"/>
    </row>
    <row r="123" customHeight="1" spans="1:39">
      <c r="A123" s="7"/>
      <c r="B123" s="7"/>
      <c r="C123" s="7"/>
      <c r="D123" s="7"/>
      <c r="E123" s="7"/>
      <c r="F123" s="7"/>
      <c r="G123" s="7"/>
      <c r="H123" s="96"/>
      <c r="I123" s="96"/>
      <c r="J123" s="96"/>
      <c r="K123" s="33"/>
      <c r="L123" s="43"/>
      <c r="M123" s="7"/>
      <c r="N123" s="7"/>
      <c r="O123" s="7"/>
      <c r="P123" s="7"/>
      <c r="Q123" s="68"/>
      <c r="R123" s="13"/>
      <c r="S123" s="96"/>
      <c r="T123" s="96"/>
      <c r="U123" s="96"/>
      <c r="V123" s="96"/>
      <c r="W123" s="96"/>
      <c r="Y123" s="7"/>
      <c r="Z123" s="7"/>
      <c r="AA123" s="7"/>
      <c r="AB123" s="7"/>
      <c r="AC123" s="7"/>
      <c r="AD123" s="7"/>
      <c r="AE123" s="7"/>
      <c r="AF123" s="7"/>
      <c r="AG123" s="230"/>
      <c r="AH123" s="60">
        <v>9</v>
      </c>
      <c r="AI123" s="7"/>
      <c r="AJ123" s="7"/>
      <c r="AK123" s="54"/>
      <c r="AL123" s="7"/>
      <c r="AM123" s="55"/>
    </row>
    <row r="124" customHeight="1" spans="1:39">
      <c r="A124" s="7"/>
      <c r="B124" s="7"/>
      <c r="C124" s="7"/>
      <c r="D124" s="96"/>
      <c r="E124" s="7"/>
      <c r="F124" s="7"/>
      <c r="G124" s="7"/>
      <c r="H124" s="96"/>
      <c r="I124" s="96"/>
      <c r="J124" s="96"/>
      <c r="K124" s="33"/>
      <c r="L124" s="79"/>
      <c r="M124" s="7"/>
      <c r="N124" s="7"/>
      <c r="O124" s="7"/>
      <c r="P124" s="7"/>
      <c r="Q124" s="58"/>
      <c r="R124" s="244"/>
      <c r="S124" s="96"/>
      <c r="T124" s="96"/>
      <c r="U124" s="96"/>
      <c r="V124" s="96"/>
      <c r="W124" s="96"/>
      <c r="X124" s="3"/>
      <c r="Y124" s="7"/>
      <c r="Z124" s="7"/>
      <c r="AA124" s="7"/>
      <c r="AB124" s="7"/>
      <c r="AC124" s="7"/>
      <c r="AD124" s="7"/>
      <c r="AE124" s="7"/>
      <c r="AF124" s="7"/>
      <c r="AG124" s="230"/>
      <c r="AH124" s="60">
        <v>10</v>
      </c>
      <c r="AI124" s="7"/>
      <c r="AJ124" s="7"/>
      <c r="AK124" s="75"/>
      <c r="AL124" s="7"/>
      <c r="AM124" s="55"/>
    </row>
    <row r="125" customHeight="1" spans="1:39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80"/>
      <c r="M125" s="64"/>
      <c r="N125" s="64"/>
      <c r="O125" s="117"/>
      <c r="P125" s="245" t="s">
        <v>96</v>
      </c>
      <c r="Q125" s="119">
        <f>SUMIF(P106:P124,"Efectivo",Q106:Q124)</f>
        <v>2248.6</v>
      </c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230"/>
      <c r="AH125" s="60">
        <v>11</v>
      </c>
      <c r="AI125" s="7"/>
      <c r="AJ125" s="7"/>
      <c r="AK125" s="75"/>
      <c r="AL125" s="7"/>
      <c r="AM125" s="55"/>
    </row>
    <row r="126" customHeight="1" spans="1:39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56"/>
      <c r="P126" s="127" t="s">
        <v>99</v>
      </c>
      <c r="Q126" s="128">
        <f>SUMIF(P106:P124,"Pichincha",Q106:Q124)</f>
        <v>932.55</v>
      </c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230"/>
      <c r="AH126" s="60" t="s">
        <v>170</v>
      </c>
      <c r="AI126" s="1"/>
      <c r="AJ126" s="1"/>
      <c r="AK126" s="231"/>
      <c r="AL126" s="7"/>
      <c r="AM126" s="55"/>
    </row>
    <row r="127" customHeight="1" spans="1:39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56"/>
      <c r="P127" s="127" t="s">
        <v>102</v>
      </c>
      <c r="Q127" s="128">
        <f>SUMIF(P106:P124,"JEP",Q106:Q124)</f>
        <v>1243.1</v>
      </c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230"/>
      <c r="AH127" s="181">
        <v>13</v>
      </c>
      <c r="AI127" s="7"/>
      <c r="AJ127" s="7"/>
      <c r="AK127" s="54"/>
      <c r="AL127" s="7"/>
      <c r="AM127" s="55"/>
    </row>
    <row r="128" customHeight="1" spans="1:39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56"/>
      <c r="P128" s="194" t="s">
        <v>96</v>
      </c>
      <c r="Q128" s="195">
        <f t="shared" ref="Q128:Q130" si="12">Q101+Q125</f>
        <v>2934.01</v>
      </c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230"/>
      <c r="AH128" s="60">
        <v>14</v>
      </c>
      <c r="AI128" s="1"/>
      <c r="AJ128" s="7"/>
      <c r="AK128" s="54"/>
      <c r="AL128" s="7"/>
      <c r="AM128" s="55"/>
    </row>
    <row r="129" customHeight="1" spans="1:3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56"/>
      <c r="P129" s="194" t="s">
        <v>99</v>
      </c>
      <c r="Q129" s="195">
        <f t="shared" si="12"/>
        <v>6296.53</v>
      </c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230"/>
      <c r="AH129" s="60">
        <v>15</v>
      </c>
      <c r="AI129" s="217"/>
      <c r="AJ129" s="7"/>
      <c r="AK129" s="54"/>
      <c r="AL129" s="7"/>
      <c r="AM129" s="55"/>
    </row>
    <row r="130" customHeight="1" spans="1:39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56"/>
      <c r="P130" s="194" t="s">
        <v>102</v>
      </c>
      <c r="Q130" s="195">
        <f t="shared" si="12"/>
        <v>1769.34</v>
      </c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230"/>
      <c r="AH130" s="60">
        <v>16</v>
      </c>
      <c r="AI130" s="7"/>
      <c r="AJ130" s="7"/>
      <c r="AK130" s="54"/>
      <c r="AL130" s="7"/>
      <c r="AM130" s="55"/>
    </row>
    <row r="131" customHeight="1" spans="1:39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230"/>
      <c r="AH131" s="1"/>
      <c r="AI131" s="7"/>
      <c r="AJ131" s="7"/>
      <c r="AK131" s="7"/>
      <c r="AL131" s="7"/>
      <c r="AM131" s="7"/>
    </row>
    <row r="132" customHeight="1" spans="1:39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230"/>
      <c r="AH132" s="7"/>
      <c r="AI132" s="7"/>
      <c r="AJ132" s="7"/>
      <c r="AK132" s="7"/>
      <c r="AL132" s="7"/>
      <c r="AM132" s="7"/>
    </row>
    <row r="133" customHeight="1" spans="1:39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230"/>
      <c r="AH133" s="7"/>
      <c r="AI133" s="7"/>
      <c r="AJ133" s="7"/>
      <c r="AK133" s="7"/>
      <c r="AL133" s="7"/>
      <c r="AM133" s="7"/>
    </row>
    <row r="134" customHeight="1" spans="1:39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230"/>
      <c r="AH134" s="7"/>
      <c r="AI134" s="7"/>
      <c r="AJ134" s="7"/>
      <c r="AK134" s="7"/>
      <c r="AL134" s="7"/>
      <c r="AM134" s="7"/>
    </row>
    <row r="135" customHeight="1" spans="1:39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230"/>
      <c r="AH135" s="7"/>
      <c r="AI135" s="1"/>
      <c r="AJ135" s="1"/>
      <c r="AK135" s="231"/>
      <c r="AL135" s="7"/>
      <c r="AM135" s="55"/>
    </row>
    <row r="136" customHeight="1" spans="1:39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230"/>
      <c r="AH136" s="7"/>
      <c r="AI136" s="7"/>
      <c r="AJ136" s="7"/>
      <c r="AK136" s="54"/>
      <c r="AL136" s="7"/>
      <c r="AM136" s="55"/>
    </row>
    <row r="137" customHeight="1" spans="1:39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230"/>
      <c r="AH137" s="7"/>
      <c r="AI137" s="7"/>
      <c r="AJ137" s="7"/>
      <c r="AK137" s="54"/>
      <c r="AL137" s="7"/>
      <c r="AM137" s="55"/>
    </row>
    <row r="138" customHeight="1" spans="1:39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230"/>
      <c r="AH138" s="7"/>
      <c r="AI138" s="7"/>
      <c r="AJ138" s="7"/>
      <c r="AK138" s="54"/>
      <c r="AL138" s="7"/>
      <c r="AM138" s="60"/>
    </row>
    <row r="139" customHeight="1" spans="1: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230"/>
      <c r="AH139" s="7"/>
      <c r="AI139" s="7"/>
      <c r="AJ139" s="7"/>
      <c r="AK139" s="54"/>
      <c r="AL139" s="7"/>
      <c r="AM139" s="60"/>
    </row>
    <row r="140" customHeight="1" spans="1:39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230"/>
      <c r="AH140" s="7"/>
      <c r="AI140" s="7"/>
      <c r="AJ140" s="7"/>
      <c r="AK140" s="54"/>
      <c r="AL140" s="7"/>
      <c r="AM140" s="60"/>
    </row>
    <row r="141" customHeight="1" spans="1:39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241"/>
      <c r="AH141" s="7"/>
      <c r="AI141" s="7"/>
      <c r="AJ141" s="7"/>
      <c r="AK141" s="7"/>
      <c r="AL141" s="7"/>
      <c r="AM141" s="7"/>
    </row>
    <row r="142" customHeight="1" spans="1:39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246" t="s">
        <v>171</v>
      </c>
      <c r="AH142" s="7"/>
      <c r="AI142" s="64"/>
      <c r="AJ142" s="64"/>
      <c r="AK142" s="61"/>
      <c r="AL142" s="64"/>
      <c r="AM142" s="243"/>
    </row>
    <row r="143" customHeight="1" spans="1:39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H143" s="7"/>
      <c r="AI143" s="7"/>
      <c r="AJ143" s="7"/>
      <c r="AK143" s="54"/>
      <c r="AL143" s="64"/>
      <c r="AM143" s="55"/>
    </row>
    <row r="144" customHeight="1" spans="1:39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H144" s="7"/>
      <c r="AI144" s="7"/>
      <c r="AJ144" s="7"/>
      <c r="AK144" s="54"/>
      <c r="AL144" s="64"/>
      <c r="AM144" s="115"/>
    </row>
    <row r="145" customHeight="1" spans="1:39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H145" s="7"/>
      <c r="AI145" s="7"/>
      <c r="AJ145" s="7"/>
      <c r="AK145" s="54"/>
      <c r="AL145" s="64"/>
      <c r="AM145" s="115"/>
    </row>
    <row r="146" customHeight="1" spans="1:39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H146" s="7"/>
      <c r="AI146" s="1"/>
      <c r="AJ146" s="1"/>
      <c r="AK146" s="231"/>
      <c r="AL146" s="64"/>
      <c r="AM146" s="115"/>
    </row>
    <row r="147" customHeight="1" spans="1:39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H147" s="7"/>
      <c r="AI147" s="7"/>
      <c r="AJ147" s="7"/>
      <c r="AK147" s="54"/>
      <c r="AL147" s="64"/>
      <c r="AM147" s="115"/>
    </row>
    <row r="148" customHeight="1" spans="1:39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H148" s="7"/>
      <c r="AI148" s="7"/>
      <c r="AJ148" s="7"/>
      <c r="AK148" s="54"/>
      <c r="AL148" s="64"/>
      <c r="AM148" s="115"/>
    </row>
    <row r="149" customHeight="1" spans="1:3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247"/>
      <c r="AJ149" s="7"/>
      <c r="AK149" s="54"/>
      <c r="AL149" s="7"/>
      <c r="AM149" s="55"/>
    </row>
    <row r="150" customHeight="1" spans="1:39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247"/>
      <c r="AJ150" s="7"/>
      <c r="AK150" s="54"/>
      <c r="AL150" s="7"/>
      <c r="AM150" s="55"/>
    </row>
    <row r="151" customHeight="1" spans="1:39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247"/>
      <c r="AJ151" s="7"/>
      <c r="AK151" s="54"/>
      <c r="AL151" s="7"/>
      <c r="AM151" s="55"/>
    </row>
    <row r="152" customHeight="1" spans="1:39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247"/>
      <c r="AJ152" s="1"/>
      <c r="AK152" s="54"/>
      <c r="AL152" s="7"/>
      <c r="AM152" s="55"/>
    </row>
    <row r="153" customHeight="1" spans="1:39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248" t="s">
        <v>172</v>
      </c>
      <c r="AM153" s="249">
        <f>AM14-SUMIF(AL18:AL152,"Pichincha",AM18:AM152)</f>
        <v>1349.48</v>
      </c>
    </row>
    <row r="154" customHeight="1" spans="1:39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</row>
    <row r="155" customHeight="1" spans="1:39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60"/>
    </row>
  </sheetData>
  <mergeCells count="77">
    <mergeCell ref="D1:E1"/>
    <mergeCell ref="AA1:AE1"/>
    <mergeCell ref="AI1:AM1"/>
    <mergeCell ref="N2:P2"/>
    <mergeCell ref="Z2:AE2"/>
    <mergeCell ref="AH2:AM2"/>
    <mergeCell ref="AI3:AJ3"/>
    <mergeCell ref="AI4:AJ4"/>
    <mergeCell ref="AI5:AJ5"/>
    <mergeCell ref="AI6:AJ6"/>
    <mergeCell ref="AI7:AJ7"/>
    <mergeCell ref="U8:V8"/>
    <mergeCell ref="AI8:AJ8"/>
    <mergeCell ref="U9:V9"/>
    <mergeCell ref="AI9:AJ9"/>
    <mergeCell ref="T10:U10"/>
    <mergeCell ref="V10:W10"/>
    <mergeCell ref="AI10:AJ10"/>
    <mergeCell ref="AI11:AJ11"/>
    <mergeCell ref="AI13:AJ13"/>
    <mergeCell ref="AI17:AJ17"/>
    <mergeCell ref="AI18:AJ18"/>
    <mergeCell ref="F19:G19"/>
    <mergeCell ref="T19:U19"/>
    <mergeCell ref="AI19:AJ19"/>
    <mergeCell ref="AI20:AJ20"/>
    <mergeCell ref="AI21:AJ21"/>
    <mergeCell ref="AI31:AJ31"/>
    <mergeCell ref="AI33:AJ33"/>
    <mergeCell ref="AI34:AJ34"/>
    <mergeCell ref="AI39:AJ39"/>
    <mergeCell ref="AI54:AJ54"/>
    <mergeCell ref="AI56:AJ56"/>
    <mergeCell ref="AI57:AJ57"/>
    <mergeCell ref="AI58:AJ58"/>
    <mergeCell ref="AI59:AJ59"/>
    <mergeCell ref="AI60:AJ60"/>
    <mergeCell ref="AI61:AJ61"/>
    <mergeCell ref="AI62:AJ62"/>
    <mergeCell ref="AI63:AJ63"/>
    <mergeCell ref="AI64:AJ64"/>
    <mergeCell ref="AI65:AJ65"/>
    <mergeCell ref="AI66:AJ66"/>
    <mergeCell ref="AI76:AJ76"/>
    <mergeCell ref="AI77:AJ77"/>
    <mergeCell ref="AI78:AJ78"/>
    <mergeCell ref="AI79:AJ79"/>
    <mergeCell ref="AI80:AJ80"/>
    <mergeCell ref="AI89:AJ89"/>
    <mergeCell ref="AI104:AJ104"/>
    <mergeCell ref="AI106:AJ106"/>
    <mergeCell ref="AI107:AJ107"/>
    <mergeCell ref="A61:A62"/>
    <mergeCell ref="L4:L22"/>
    <mergeCell ref="L25:L27"/>
    <mergeCell ref="L28:L30"/>
    <mergeCell ref="L31:L39"/>
    <mergeCell ref="L40:L51"/>
    <mergeCell ref="L52:L62"/>
    <mergeCell ref="L63:L87"/>
    <mergeCell ref="L88:L100"/>
    <mergeCell ref="L106:L124"/>
    <mergeCell ref="R1:R124"/>
    <mergeCell ref="X1:X124"/>
    <mergeCell ref="Y4:Y14"/>
    <mergeCell ref="Y25:Y33"/>
    <mergeCell ref="Y34:Y39"/>
    <mergeCell ref="AA46:AA48"/>
    <mergeCell ref="AB46:AB48"/>
    <mergeCell ref="AG18:AG56"/>
    <mergeCell ref="AG57:AG74"/>
    <mergeCell ref="AG75:AG99"/>
    <mergeCell ref="AG100:AG106"/>
    <mergeCell ref="AG107:AG114"/>
    <mergeCell ref="AG115:AG141"/>
    <mergeCell ref="AG142:AG148"/>
    <mergeCell ref="AG15:AM16"/>
  </mergeCells>
  <dataValidations count="1">
    <dataValidation type="list" allowBlank="1" showErrorMessage="1" sqref="AD4 AL13 P36 P77 AL140 C10:C18 G10:G18 N107:N124 P4:P27 P29:P30 P32:P34 P40:P46 P52:P54 P63:P64 P66:P69 P71:P75 P79:P80 P82:P86 P88:P96 P99:P100 P107:P124 AA25:AA35 AD6:AD13 AD17:AD18 AD25:AD35 AD37:AD39 AL4:AL9 AL18:AL130 AL135:AL137 AL142:AL152">
      <formula1>"JEP,Pichincha,Efectivo,Extra Efectivo,Extra JEP,Extra Pichincha,Reserva Pichincha,Reserva Efectivo"</formula1>
    </dataValidation>
  </dataValidations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M1000"/>
  <sheetViews>
    <sheetView tabSelected="1" topLeftCell="W1" workbookViewId="0">
      <selection activeCell="F14" sqref="F14"/>
    </sheetView>
  </sheetViews>
  <sheetFormatPr defaultColWidth="12.6296296296296" defaultRowHeight="15.75" customHeight="1"/>
  <cols>
    <col min="27" max="27" width="13.5" customWidth="1"/>
    <col min="30" max="30" width="14.6296296296296" customWidth="1"/>
    <col min="38" max="38" width="13.75" customWidth="1"/>
  </cols>
  <sheetData>
    <row r="1" customHeight="1" spans="1:39">
      <c r="A1" s="1"/>
      <c r="B1" s="1"/>
      <c r="C1" s="1"/>
      <c r="D1" s="2" t="s">
        <v>0</v>
      </c>
      <c r="E1" s="3"/>
      <c r="F1" s="1"/>
      <c r="G1" s="1"/>
      <c r="H1" s="4"/>
      <c r="I1" s="4"/>
      <c r="J1" s="5"/>
      <c r="K1" s="6"/>
      <c r="L1" s="7"/>
      <c r="M1" s="7"/>
      <c r="N1" s="7"/>
      <c r="O1" s="7"/>
      <c r="P1" s="7"/>
      <c r="Q1" s="8"/>
      <c r="R1" s="9"/>
      <c r="S1" s="10"/>
      <c r="T1" s="10"/>
      <c r="U1" s="10"/>
      <c r="V1" s="10"/>
      <c r="W1" s="10"/>
      <c r="X1" s="11"/>
      <c r="Y1" s="7"/>
      <c r="Z1" s="7"/>
      <c r="AA1" s="12"/>
      <c r="AE1" s="13"/>
      <c r="AF1" s="7"/>
      <c r="AG1" s="7"/>
      <c r="AH1" s="7"/>
      <c r="AI1" s="14" t="s">
        <v>1</v>
      </c>
      <c r="AM1" s="13"/>
    </row>
    <row r="2" customHeight="1" spans="1:39">
      <c r="A2" s="15"/>
      <c r="B2" s="15"/>
      <c r="C2" s="16" t="s">
        <v>2</v>
      </c>
      <c r="D2" s="17"/>
      <c r="E2" s="18"/>
      <c r="F2" s="18"/>
      <c r="G2" s="19" t="s">
        <v>3</v>
      </c>
      <c r="H2" s="20"/>
      <c r="I2" s="21" t="s">
        <v>4</v>
      </c>
      <c r="J2" s="22"/>
      <c r="K2" s="6"/>
      <c r="L2" s="23"/>
      <c r="M2" s="23"/>
      <c r="N2" s="24" t="s">
        <v>5</v>
      </c>
      <c r="O2" s="25"/>
      <c r="P2" s="25"/>
      <c r="Q2" s="26"/>
      <c r="R2" s="13"/>
      <c r="S2" s="27" t="s">
        <v>6</v>
      </c>
      <c r="T2" s="27" t="s">
        <v>7</v>
      </c>
      <c r="U2" s="27" t="s">
        <v>8</v>
      </c>
      <c r="V2" s="27" t="s">
        <v>9</v>
      </c>
      <c r="W2" s="15"/>
      <c r="Y2" s="7"/>
      <c r="Z2" s="28" t="s">
        <v>10</v>
      </c>
      <c r="AF2" s="29"/>
      <c r="AG2" s="23"/>
      <c r="AH2" s="30" t="s">
        <v>11</v>
      </c>
      <c r="AI2" s="25"/>
      <c r="AJ2" s="25"/>
      <c r="AK2" s="25"/>
      <c r="AL2" s="25"/>
      <c r="AM2" s="25"/>
    </row>
    <row r="3" customHeight="1" spans="1:39">
      <c r="A3" s="31" t="s">
        <v>12</v>
      </c>
      <c r="B3" s="31" t="s">
        <v>13</v>
      </c>
      <c r="C3" s="31" t="s">
        <v>14</v>
      </c>
      <c r="D3" s="32" t="s">
        <v>15</v>
      </c>
      <c r="E3" s="31" t="s">
        <v>12</v>
      </c>
      <c r="F3" s="31" t="s">
        <v>13</v>
      </c>
      <c r="G3" s="31" t="s">
        <v>14</v>
      </c>
      <c r="H3" s="32" t="s">
        <v>16</v>
      </c>
      <c r="I3" s="32" t="s">
        <v>17</v>
      </c>
      <c r="J3" s="32" t="s">
        <v>15</v>
      </c>
      <c r="K3" s="33"/>
      <c r="L3" s="34"/>
      <c r="M3" s="35" t="s">
        <v>18</v>
      </c>
      <c r="N3" s="31" t="s">
        <v>19</v>
      </c>
      <c r="O3" s="31" t="s">
        <v>20</v>
      </c>
      <c r="P3" s="31" t="s">
        <v>14</v>
      </c>
      <c r="Q3" s="32" t="s">
        <v>21</v>
      </c>
      <c r="R3" s="13"/>
      <c r="S3" s="1"/>
      <c r="T3" s="36" t="s">
        <v>22</v>
      </c>
      <c r="U3" s="37" t="s">
        <v>8</v>
      </c>
      <c r="V3" s="32" t="s">
        <v>9</v>
      </c>
      <c r="W3" s="31" t="s">
        <v>23</v>
      </c>
      <c r="Y3" s="38"/>
      <c r="Z3" s="39" t="s">
        <v>18</v>
      </c>
      <c r="AA3" s="39" t="s">
        <v>24</v>
      </c>
      <c r="AB3" s="38"/>
      <c r="AC3" s="39" t="s">
        <v>25</v>
      </c>
      <c r="AD3" s="39" t="s">
        <v>14</v>
      </c>
      <c r="AE3" s="40" t="s">
        <v>21</v>
      </c>
      <c r="AF3" s="41"/>
      <c r="AG3" s="34"/>
      <c r="AH3" s="35" t="s">
        <v>18</v>
      </c>
      <c r="AI3" s="42" t="s">
        <v>24</v>
      </c>
      <c r="AJ3" s="43"/>
      <c r="AK3" s="35" t="s">
        <v>25</v>
      </c>
      <c r="AL3" s="31" t="s">
        <v>14</v>
      </c>
      <c r="AM3" s="44" t="s">
        <v>21</v>
      </c>
    </row>
    <row r="4" customHeight="1" spans="1:39">
      <c r="A4" s="45"/>
      <c r="B4" s="46">
        <f>BAÑOS!KR239</f>
        <v>0</v>
      </c>
      <c r="C4" s="47">
        <f>BAÑOS!KT239</f>
        <v>0</v>
      </c>
      <c r="D4" s="48">
        <f>BAÑOS!KS239</f>
        <v>0</v>
      </c>
      <c r="E4" s="7"/>
      <c r="F4" s="49">
        <f>SAYAUSI!LP145</f>
        <v>0</v>
      </c>
      <c r="G4" s="7"/>
      <c r="H4" s="12"/>
      <c r="I4" s="50"/>
      <c r="J4" s="51">
        <f>SAYAUSI!LQ145</f>
        <v>0</v>
      </c>
      <c r="K4" s="33"/>
      <c r="L4" s="52" t="s">
        <v>26</v>
      </c>
      <c r="M4" s="53">
        <v>1</v>
      </c>
      <c r="N4" s="7"/>
      <c r="O4" s="54"/>
      <c r="P4" s="7"/>
      <c r="Q4" s="55"/>
      <c r="R4" s="13"/>
      <c r="S4" s="56"/>
      <c r="T4" s="31" t="s">
        <v>27</v>
      </c>
      <c r="U4" s="57"/>
      <c r="V4" s="58"/>
      <c r="W4" s="7"/>
      <c r="Y4" s="59" t="s">
        <v>28</v>
      </c>
      <c r="Z4" s="60">
        <v>1</v>
      </c>
      <c r="AA4" s="7" t="s">
        <v>29</v>
      </c>
      <c r="AB4" s="7" t="s">
        <v>30</v>
      </c>
      <c r="AC4" s="61">
        <v>45389</v>
      </c>
      <c r="AD4" s="47"/>
      <c r="AE4" s="60"/>
      <c r="AF4" s="41"/>
      <c r="AG4" s="62"/>
      <c r="AH4" s="63">
        <v>1</v>
      </c>
      <c r="AI4" s="64" t="s">
        <v>31</v>
      </c>
      <c r="AJ4" s="65"/>
      <c r="AK4" s="61">
        <v>45743</v>
      </c>
      <c r="AL4" s="47"/>
      <c r="AM4" s="66"/>
    </row>
    <row r="5" customHeight="1" spans="1:39">
      <c r="A5" s="45"/>
      <c r="B5" s="46">
        <f>BAÑOS!KR240</f>
        <v>0</v>
      </c>
      <c r="C5" s="47">
        <f>BAÑOS!KT240</f>
        <v>0</v>
      </c>
      <c r="D5" s="48">
        <f>BAÑOS!KS240</f>
        <v>0</v>
      </c>
      <c r="E5" s="7"/>
      <c r="F5" s="49"/>
      <c r="G5" s="7"/>
      <c r="H5" s="12"/>
      <c r="I5" s="50"/>
      <c r="J5" s="51"/>
      <c r="K5" s="33"/>
      <c r="L5" s="67"/>
      <c r="M5" s="53">
        <v>2</v>
      </c>
      <c r="N5" s="7"/>
      <c r="O5" s="54"/>
      <c r="P5" s="7"/>
      <c r="Q5" s="55"/>
      <c r="R5" s="13"/>
      <c r="S5" s="56"/>
      <c r="T5" s="31" t="s">
        <v>32</v>
      </c>
      <c r="U5" s="57"/>
      <c r="V5" s="68"/>
      <c r="W5" s="42" t="s">
        <v>33</v>
      </c>
      <c r="Y5" s="43"/>
      <c r="Z5" s="69">
        <v>2</v>
      </c>
      <c r="AA5" s="70"/>
      <c r="AB5" s="7"/>
      <c r="AC5" s="49"/>
      <c r="AD5" s="7"/>
      <c r="AE5" s="68"/>
      <c r="AF5" s="41"/>
      <c r="AG5" s="71"/>
      <c r="AH5" s="60">
        <v>2</v>
      </c>
      <c r="AI5" s="7" t="s">
        <v>34</v>
      </c>
      <c r="AK5" s="54">
        <v>45743</v>
      </c>
      <c r="AL5" s="47"/>
      <c r="AM5" s="72"/>
    </row>
    <row r="6" customHeight="1" spans="1:39">
      <c r="A6" s="45"/>
      <c r="B6" s="46">
        <f>BAÑOS!KR241</f>
        <v>0</v>
      </c>
      <c r="C6" s="47">
        <f>BAÑOS!KT241</f>
        <v>0</v>
      </c>
      <c r="D6" s="48">
        <f>BAÑOS!KS241</f>
        <v>0</v>
      </c>
      <c r="E6" s="7"/>
      <c r="F6" s="49"/>
      <c r="G6" s="7"/>
      <c r="H6" s="73"/>
      <c r="I6" s="50"/>
      <c r="J6" s="51"/>
      <c r="K6" s="33"/>
      <c r="L6" s="67"/>
      <c r="M6" s="53">
        <v>3</v>
      </c>
      <c r="N6" s="7"/>
      <c r="O6" s="54"/>
      <c r="P6" s="7"/>
      <c r="Q6" s="55"/>
      <c r="R6" s="13"/>
      <c r="S6" s="56"/>
      <c r="T6" s="31" t="s">
        <v>35</v>
      </c>
      <c r="U6" s="57"/>
      <c r="V6" s="68"/>
      <c r="W6" s="42" t="s">
        <v>36</v>
      </c>
      <c r="Y6" s="43"/>
      <c r="Z6" s="69">
        <v>3</v>
      </c>
      <c r="AA6" s="7" t="s">
        <v>37</v>
      </c>
      <c r="AB6" s="7" t="s">
        <v>38</v>
      </c>
      <c r="AC6" s="54">
        <v>45769</v>
      </c>
      <c r="AD6" s="7"/>
      <c r="AE6" s="74"/>
      <c r="AF6" s="41"/>
      <c r="AG6" s="71"/>
      <c r="AH6" s="63">
        <v>1</v>
      </c>
      <c r="AI6" s="7" t="s">
        <v>31</v>
      </c>
      <c r="AK6" s="75">
        <v>45791</v>
      </c>
      <c r="AL6" s="47"/>
      <c r="AM6" s="72"/>
    </row>
    <row r="7" customHeight="1" spans="1:39">
      <c r="A7" s="45"/>
      <c r="B7" s="76">
        <f>BAÑOS!KR242</f>
        <v>0</v>
      </c>
      <c r="C7" s="7"/>
      <c r="D7" s="51">
        <f>BAÑOS!KS242</f>
        <v>0</v>
      </c>
      <c r="E7" s="7"/>
      <c r="F7" s="49"/>
      <c r="G7" s="7"/>
      <c r="H7" s="7"/>
      <c r="I7" s="7"/>
      <c r="J7" s="51"/>
      <c r="K7" s="33"/>
      <c r="L7" s="67"/>
      <c r="M7" s="63">
        <v>4</v>
      </c>
      <c r="N7" s="7"/>
      <c r="O7" s="54"/>
      <c r="P7" s="7"/>
      <c r="Q7" s="55"/>
      <c r="R7" s="13"/>
      <c r="S7" s="56"/>
      <c r="T7" s="31" t="s">
        <v>39</v>
      </c>
      <c r="U7" s="4"/>
      <c r="V7" s="58"/>
      <c r="W7" s="7"/>
      <c r="Y7" s="43"/>
      <c r="Z7" s="69">
        <v>4</v>
      </c>
      <c r="AA7" s="7" t="s">
        <v>40</v>
      </c>
      <c r="AB7" s="7" t="s">
        <v>38</v>
      </c>
      <c r="AC7" s="54">
        <v>45748</v>
      </c>
      <c r="AD7" s="7"/>
      <c r="AE7" s="77"/>
      <c r="AF7" s="41"/>
      <c r="AG7" s="71"/>
      <c r="AH7" s="63">
        <v>2</v>
      </c>
      <c r="AI7" s="7" t="s">
        <v>41</v>
      </c>
      <c r="AK7" s="46">
        <v>45792</v>
      </c>
      <c r="AL7" s="47"/>
      <c r="AM7" s="72"/>
    </row>
    <row r="8" customHeight="1" spans="1:39">
      <c r="A8" s="45" t="str">
        <f>BAÑOS!A243</f>
        <v>259</v>
      </c>
      <c r="B8" s="76">
        <f>BAÑOS!KR243</f>
        <v>0</v>
      </c>
      <c r="C8" s="7"/>
      <c r="D8" s="51"/>
      <c r="E8" s="7"/>
      <c r="F8" s="49"/>
      <c r="G8" s="7"/>
      <c r="H8" s="7"/>
      <c r="I8" s="7"/>
      <c r="J8" s="51"/>
      <c r="K8" s="33"/>
      <c r="L8" s="67"/>
      <c r="M8" s="63">
        <v>5</v>
      </c>
      <c r="N8" s="7"/>
      <c r="O8" s="54"/>
      <c r="P8" s="7"/>
      <c r="Q8" s="55"/>
      <c r="R8" s="13"/>
      <c r="S8" s="56"/>
      <c r="T8" s="78" t="s">
        <v>42</v>
      </c>
      <c r="U8" s="1"/>
      <c r="V8" s="79"/>
      <c r="W8" s="7"/>
      <c r="Y8" s="43"/>
      <c r="Z8" s="60">
        <v>5</v>
      </c>
      <c r="AA8" s="7" t="s">
        <v>43</v>
      </c>
      <c r="AB8" s="7" t="s">
        <v>38</v>
      </c>
      <c r="AC8" s="54">
        <v>45758</v>
      </c>
      <c r="AD8" s="7"/>
      <c r="AE8" s="77"/>
      <c r="AF8" s="29"/>
      <c r="AG8" s="71"/>
      <c r="AH8" s="63">
        <v>3</v>
      </c>
      <c r="AI8" s="7" t="s">
        <v>44</v>
      </c>
      <c r="AK8" s="75">
        <v>45874</v>
      </c>
      <c r="AL8" s="47"/>
      <c r="AM8" s="72"/>
    </row>
    <row r="9" customHeight="1" spans="1:39">
      <c r="A9" s="80"/>
      <c r="B9" s="76"/>
      <c r="C9" s="7"/>
      <c r="D9" s="51"/>
      <c r="E9" s="81"/>
      <c r="F9" s="49"/>
      <c r="G9" s="7"/>
      <c r="H9" s="73"/>
      <c r="I9" s="50"/>
      <c r="J9" s="51"/>
      <c r="K9" s="33"/>
      <c r="L9" s="67"/>
      <c r="M9" s="63">
        <v>6</v>
      </c>
      <c r="N9" s="7"/>
      <c r="O9" s="54"/>
      <c r="P9" s="7"/>
      <c r="Q9" s="55"/>
      <c r="R9" s="13"/>
      <c r="S9" s="56"/>
      <c r="T9" s="31" t="s">
        <v>45</v>
      </c>
      <c r="U9" s="4"/>
      <c r="V9" s="79"/>
      <c r="W9" s="7"/>
      <c r="Y9" s="43"/>
      <c r="Z9" s="60">
        <v>6</v>
      </c>
      <c r="AA9" s="7" t="s">
        <v>46</v>
      </c>
      <c r="AB9" s="7" t="s">
        <v>38</v>
      </c>
      <c r="AC9" s="54">
        <v>45749</v>
      </c>
      <c r="AD9" s="7"/>
      <c r="AE9" s="55"/>
      <c r="AF9" s="29"/>
      <c r="AG9" s="71"/>
      <c r="AH9" s="63">
        <v>4</v>
      </c>
      <c r="AI9" s="7" t="s">
        <v>47</v>
      </c>
      <c r="AK9" s="75">
        <v>45888</v>
      </c>
      <c r="AL9" s="47"/>
      <c r="AM9" s="72"/>
    </row>
    <row r="10" customHeight="1" spans="1:39">
      <c r="A10" s="80"/>
      <c r="B10" s="76"/>
      <c r="C10" s="7"/>
      <c r="D10" s="51"/>
      <c r="E10" s="7"/>
      <c r="F10" s="49"/>
      <c r="G10" s="7"/>
      <c r="H10" s="7"/>
      <c r="I10" s="7"/>
      <c r="J10" s="51"/>
      <c r="K10" s="33"/>
      <c r="L10" s="67"/>
      <c r="M10" s="63">
        <v>3</v>
      </c>
      <c r="N10" s="7"/>
      <c r="O10" s="54"/>
      <c r="P10" s="7"/>
      <c r="Q10" s="55"/>
      <c r="R10" s="13"/>
      <c r="S10" s="34"/>
      <c r="T10" s="82" t="s">
        <v>8</v>
      </c>
      <c r="U10" s="83"/>
      <c r="V10" s="84" t="s">
        <v>9</v>
      </c>
      <c r="W10" s="79"/>
      <c r="Y10" s="43"/>
      <c r="Z10" s="60">
        <v>7</v>
      </c>
      <c r="AA10" s="7" t="s">
        <v>48</v>
      </c>
      <c r="AB10" s="7" t="s">
        <v>38</v>
      </c>
      <c r="AC10" s="54">
        <v>45706</v>
      </c>
      <c r="AD10" s="7"/>
      <c r="AE10" s="77"/>
      <c r="AF10" s="41"/>
      <c r="AG10" s="71"/>
      <c r="AH10" s="63">
        <v>5</v>
      </c>
      <c r="AI10" s="7" t="s">
        <v>49</v>
      </c>
      <c r="AK10" s="75">
        <v>45930</v>
      </c>
      <c r="AL10" s="47"/>
      <c r="AM10" s="72"/>
    </row>
    <row r="11" customHeight="1" spans="1:39">
      <c r="A11" s="80"/>
      <c r="B11" s="76"/>
      <c r="C11" s="7"/>
      <c r="D11" s="51"/>
      <c r="E11" s="7"/>
      <c r="F11" s="7"/>
      <c r="G11" s="7"/>
      <c r="H11" s="7"/>
      <c r="I11" s="7"/>
      <c r="J11" s="7"/>
      <c r="K11" s="33"/>
      <c r="L11" s="67"/>
      <c r="M11" s="63">
        <v>4</v>
      </c>
      <c r="N11" s="7"/>
      <c r="O11" s="54"/>
      <c r="P11" s="7"/>
      <c r="Q11" s="55"/>
      <c r="R11" s="13"/>
      <c r="S11" s="85" t="s">
        <v>50</v>
      </c>
      <c r="T11" s="86">
        <f t="shared" ref="T11:T12" si="0">D19+D22+J19+J22+H38+U4-Q128</f>
        <v>-1874.93</v>
      </c>
      <c r="U11" s="87"/>
      <c r="V11" s="88"/>
      <c r="W11" s="89"/>
      <c r="Y11" s="43"/>
      <c r="Z11" s="60">
        <v>8</v>
      </c>
      <c r="AA11" s="7" t="s">
        <v>51</v>
      </c>
      <c r="AB11" s="7" t="s">
        <v>38</v>
      </c>
      <c r="AC11" s="54">
        <v>45997</v>
      </c>
      <c r="AD11" s="7"/>
      <c r="AE11" s="77"/>
      <c r="AF11" s="90"/>
      <c r="AG11" s="71"/>
      <c r="AH11" s="63">
        <v>6</v>
      </c>
      <c r="AI11" s="7"/>
      <c r="AK11" s="49"/>
      <c r="AL11" s="7"/>
      <c r="AM11" s="91"/>
    </row>
    <row r="12" customHeight="1" spans="1:39">
      <c r="A12" s="80"/>
      <c r="B12" s="49"/>
      <c r="C12" s="7"/>
      <c r="D12" s="51"/>
      <c r="E12" s="7"/>
      <c r="F12" s="7"/>
      <c r="G12" s="7"/>
      <c r="H12" s="7"/>
      <c r="I12" s="7"/>
      <c r="J12" s="7"/>
      <c r="K12" s="33"/>
      <c r="L12" s="67"/>
      <c r="M12" s="63">
        <v>5</v>
      </c>
      <c r="N12" s="7"/>
      <c r="O12" s="49"/>
      <c r="P12" s="7"/>
      <c r="Q12" s="68"/>
      <c r="R12" s="13"/>
      <c r="S12" s="85" t="s">
        <v>52</v>
      </c>
      <c r="T12" s="92">
        <f t="shared" si="0"/>
        <v>-3392.22</v>
      </c>
      <c r="U12" s="93"/>
      <c r="V12" s="94">
        <f>AB46</f>
        <v>0</v>
      </c>
      <c r="W12" s="95"/>
      <c r="Y12" s="43"/>
      <c r="Z12" s="7"/>
      <c r="AA12" s="7"/>
      <c r="AB12" s="7"/>
      <c r="AC12" s="49"/>
      <c r="AD12" s="7"/>
      <c r="AE12" s="96"/>
      <c r="AF12" s="90"/>
      <c r="AG12" s="71"/>
      <c r="AH12" s="97">
        <v>7</v>
      </c>
      <c r="AI12" s="7" t="s">
        <v>31</v>
      </c>
      <c r="AJ12" s="7"/>
      <c r="AK12" s="46">
        <v>45915</v>
      </c>
      <c r="AL12" s="47"/>
      <c r="AM12" s="77"/>
    </row>
    <row r="13" customHeight="1" spans="1:39">
      <c r="A13" s="80"/>
      <c r="B13" s="7"/>
      <c r="C13" s="7"/>
      <c r="D13" s="7"/>
      <c r="E13" s="81"/>
      <c r="F13" s="7"/>
      <c r="G13" s="7"/>
      <c r="H13" s="7"/>
      <c r="I13" s="7"/>
      <c r="J13" s="7"/>
      <c r="K13" s="33"/>
      <c r="L13" s="67"/>
      <c r="M13" s="63">
        <v>6</v>
      </c>
      <c r="N13" s="7"/>
      <c r="O13" s="49"/>
      <c r="P13" s="7"/>
      <c r="Q13" s="68"/>
      <c r="R13" s="13"/>
      <c r="S13" s="85" t="s">
        <v>35</v>
      </c>
      <c r="T13" s="86">
        <f>D21+D24+J21+J24+H40+U6+AE48-Q130</f>
        <v>-1491.35</v>
      </c>
      <c r="U13" s="93"/>
      <c r="V13" s="88"/>
      <c r="W13" s="91"/>
      <c r="Y13" s="43"/>
      <c r="Z13" s="7"/>
      <c r="AA13" s="7"/>
      <c r="AB13" s="7"/>
      <c r="AC13" s="49"/>
      <c r="AD13" s="7"/>
      <c r="AE13" s="96"/>
      <c r="AF13" s="90"/>
      <c r="AG13" s="71"/>
      <c r="AH13" s="63">
        <v>8</v>
      </c>
      <c r="AI13" s="7"/>
      <c r="AK13" s="49"/>
      <c r="AL13" s="7"/>
      <c r="AM13" s="68"/>
    </row>
    <row r="14" customHeight="1" spans="1:39">
      <c r="A14" s="7"/>
      <c r="B14" s="7"/>
      <c r="C14" s="7"/>
      <c r="D14" s="7"/>
      <c r="E14" s="81"/>
      <c r="F14" s="7"/>
      <c r="G14" s="7"/>
      <c r="H14" s="7"/>
      <c r="I14" s="7"/>
      <c r="J14" s="7"/>
      <c r="K14" s="33"/>
      <c r="L14" s="67"/>
      <c r="M14" s="63">
        <v>7</v>
      </c>
      <c r="N14" s="7"/>
      <c r="O14" s="49"/>
      <c r="P14" s="7"/>
      <c r="Q14" s="68"/>
      <c r="R14" s="13"/>
      <c r="S14" s="7"/>
      <c r="T14" s="7"/>
      <c r="U14" s="60"/>
      <c r="V14" s="96"/>
      <c r="W14" s="96"/>
      <c r="Y14" s="43"/>
      <c r="Z14" s="7"/>
      <c r="AA14" s="7"/>
      <c r="AB14" s="7"/>
      <c r="AC14" s="49"/>
      <c r="AD14" s="7"/>
      <c r="AE14" s="96"/>
      <c r="AF14" s="90"/>
      <c r="AG14" s="71"/>
      <c r="AH14" s="98"/>
      <c r="AI14" s="64"/>
      <c r="AJ14" s="64"/>
      <c r="AK14" s="99"/>
      <c r="AL14" s="100" t="s">
        <v>23</v>
      </c>
      <c r="AM14" s="101">
        <f>SUMIF(AL4:AL13,"Pichincha",AM4:AM13)</f>
        <v>0</v>
      </c>
    </row>
    <row r="15" customHeight="1" spans="1:39">
      <c r="A15" s="80"/>
      <c r="B15" s="49"/>
      <c r="C15" s="7"/>
      <c r="D15" s="51"/>
      <c r="E15" s="7"/>
      <c r="F15" s="7"/>
      <c r="G15" s="7"/>
      <c r="H15" s="7"/>
      <c r="I15" s="7"/>
      <c r="J15" s="7"/>
      <c r="K15" s="33"/>
      <c r="L15" s="67"/>
      <c r="M15" s="63">
        <v>8</v>
      </c>
      <c r="N15" s="7"/>
      <c r="O15" s="49"/>
      <c r="P15" s="7"/>
      <c r="Q15" s="68"/>
      <c r="R15" s="13"/>
      <c r="S15" s="7"/>
      <c r="T15" s="7"/>
      <c r="U15" s="60"/>
      <c r="V15" s="96"/>
      <c r="W15" s="96"/>
      <c r="Y15" s="80"/>
      <c r="Z15" s="81"/>
      <c r="AA15" s="7"/>
      <c r="AB15" s="7"/>
      <c r="AC15" s="49"/>
      <c r="AD15" s="7"/>
      <c r="AE15" s="96"/>
      <c r="AF15" s="90"/>
      <c r="AG15" s="102" t="s">
        <v>53</v>
      </c>
      <c r="AM15" s="43"/>
    </row>
    <row r="16" customHeight="1" spans="1:39">
      <c r="A16" s="80"/>
      <c r="B16" s="49"/>
      <c r="C16" s="7"/>
      <c r="D16" s="51"/>
      <c r="E16" s="7"/>
      <c r="F16" s="7"/>
      <c r="G16" s="7"/>
      <c r="H16" s="7"/>
      <c r="I16" s="7"/>
      <c r="J16" s="7"/>
      <c r="K16" s="33"/>
      <c r="L16" s="67"/>
      <c r="M16" s="63">
        <v>9</v>
      </c>
      <c r="N16" s="7"/>
      <c r="O16" s="49"/>
      <c r="P16" s="7"/>
      <c r="Q16" s="68"/>
      <c r="R16" s="13"/>
      <c r="S16" s="7"/>
      <c r="T16" s="1"/>
      <c r="U16" s="1"/>
      <c r="V16" s="1"/>
      <c r="W16" s="7"/>
      <c r="Y16" s="103"/>
      <c r="Z16" s="1"/>
      <c r="AA16" s="7"/>
      <c r="AB16" s="96"/>
      <c r="AC16" s="49"/>
      <c r="AD16" s="7"/>
      <c r="AE16" s="96"/>
      <c r="AF16" s="90"/>
      <c r="AG16" s="3"/>
      <c r="AH16" s="3"/>
      <c r="AI16" s="3"/>
      <c r="AJ16" s="3"/>
      <c r="AK16" s="3"/>
      <c r="AL16" s="3"/>
      <c r="AM16" s="79"/>
    </row>
    <row r="17" customHeight="1" spans="1:39">
      <c r="A17" s="80"/>
      <c r="B17" s="49"/>
      <c r="C17" s="7"/>
      <c r="D17" s="51"/>
      <c r="E17" s="7"/>
      <c r="F17" s="7"/>
      <c r="G17" s="7"/>
      <c r="H17" s="7"/>
      <c r="I17" s="7"/>
      <c r="J17" s="7"/>
      <c r="K17" s="33"/>
      <c r="L17" s="67"/>
      <c r="M17" s="104">
        <v>10</v>
      </c>
      <c r="N17" s="7"/>
      <c r="O17" s="49"/>
      <c r="P17" s="7"/>
      <c r="Q17" s="68"/>
      <c r="R17" s="13"/>
      <c r="S17" s="105" t="s">
        <v>45</v>
      </c>
      <c r="T17" s="106">
        <f t="shared" ref="T17:U17" si="1">SUM(T11:T13)+V12+V11</f>
        <v>-6758.5</v>
      </c>
      <c r="U17" s="107">
        <f t="shared" si="1"/>
        <v>0</v>
      </c>
      <c r="V17" s="58"/>
      <c r="W17" s="77"/>
      <c r="Y17" s="103"/>
      <c r="Z17" s="60">
        <v>14</v>
      </c>
      <c r="AA17" s="64"/>
      <c r="AB17" s="64"/>
      <c r="AC17" s="61"/>
      <c r="AD17" s="108"/>
      <c r="AE17" s="109"/>
      <c r="AF17" s="90"/>
      <c r="AG17" s="103"/>
      <c r="AH17" s="31" t="s">
        <v>18</v>
      </c>
      <c r="AI17" s="110" t="s">
        <v>24</v>
      </c>
      <c r="AJ17" s="79"/>
      <c r="AK17" s="31" t="s">
        <v>25</v>
      </c>
      <c r="AL17" s="31" t="s">
        <v>14</v>
      </c>
      <c r="AM17" s="111" t="s">
        <v>21</v>
      </c>
    </row>
    <row r="18" customHeight="1" spans="1:39">
      <c r="A18" s="80"/>
      <c r="B18" s="49"/>
      <c r="C18" s="7"/>
      <c r="D18" s="91"/>
      <c r="E18" s="81"/>
      <c r="F18" s="7"/>
      <c r="G18" s="7"/>
      <c r="H18" s="7"/>
      <c r="I18" s="7"/>
      <c r="J18" s="7"/>
      <c r="K18" s="33"/>
      <c r="L18" s="67"/>
      <c r="M18" s="63">
        <v>11</v>
      </c>
      <c r="N18" s="7"/>
      <c r="O18" s="49"/>
      <c r="P18" s="7"/>
      <c r="Q18" s="68"/>
      <c r="R18" s="13"/>
      <c r="S18" s="31" t="s">
        <v>54</v>
      </c>
      <c r="T18" s="112"/>
      <c r="U18" s="113"/>
      <c r="V18" s="7"/>
      <c r="W18" s="7"/>
      <c r="Y18" s="103"/>
      <c r="Z18" s="60">
        <v>15</v>
      </c>
      <c r="AA18" s="7"/>
      <c r="AB18" s="7"/>
      <c r="AC18" s="49"/>
      <c r="AD18" s="7"/>
      <c r="AE18" s="96"/>
      <c r="AF18" s="90"/>
      <c r="AG18" s="114" t="s">
        <v>55</v>
      </c>
      <c r="AH18" s="60">
        <v>1</v>
      </c>
      <c r="AI18" s="64"/>
      <c r="AJ18" s="65"/>
      <c r="AK18" s="61"/>
      <c r="AL18" s="64"/>
      <c r="AM18" s="115"/>
    </row>
    <row r="19" customHeight="1" spans="1:39">
      <c r="A19" s="116"/>
      <c r="B19" s="117"/>
      <c r="C19" s="118" t="s">
        <v>56</v>
      </c>
      <c r="D19" s="119">
        <f>SUMIF(BAÑOS!KT2:KT238,C19,BAÑOS!KS2:KS238)+SUMIF(C4:C18,C19,D4:D18)</f>
        <v>0</v>
      </c>
      <c r="E19" s="120"/>
      <c r="F19" s="121" t="s">
        <v>57</v>
      </c>
      <c r="G19" s="3"/>
      <c r="H19" s="122"/>
      <c r="I19" s="123" t="s">
        <v>56</v>
      </c>
      <c r="J19" s="124">
        <f>SUMIF(SAYAUSI!LR2:LR144,I19,SAYAUSI!LQ2:LQ144)+SUMIF(G4:G18,I19,J4:J18)</f>
        <v>0</v>
      </c>
      <c r="K19" s="33"/>
      <c r="L19" s="67"/>
      <c r="M19" s="63">
        <v>12</v>
      </c>
      <c r="N19" s="7"/>
      <c r="O19" s="49"/>
      <c r="P19" s="7"/>
      <c r="Q19" s="68"/>
      <c r="R19" s="13"/>
      <c r="S19" s="105" t="s">
        <v>58</v>
      </c>
      <c r="T19" s="125">
        <f>T17+V17</f>
        <v>-6758.5</v>
      </c>
      <c r="U19" s="79"/>
      <c r="V19" s="7"/>
      <c r="W19" s="7"/>
      <c r="Y19" s="126"/>
      <c r="Z19" s="64"/>
      <c r="AA19" s="64"/>
      <c r="AB19" s="64"/>
      <c r="AC19" s="99"/>
      <c r="AD19" s="127" t="s">
        <v>56</v>
      </c>
      <c r="AE19" s="128">
        <f>SUMIF($AD$4:$AD$18,"Efectivo",$AE$4:AE18)</f>
        <v>0</v>
      </c>
      <c r="AF19" s="90"/>
      <c r="AG19" s="43"/>
      <c r="AH19" s="69">
        <v>2</v>
      </c>
      <c r="AI19" s="7"/>
      <c r="AK19" s="54"/>
      <c r="AL19" s="7"/>
      <c r="AM19" s="77"/>
    </row>
    <row r="20" customHeight="1" spans="1:39">
      <c r="A20" s="81"/>
      <c r="B20" s="56"/>
      <c r="C20" s="118" t="s">
        <v>23</v>
      </c>
      <c r="D20" s="119">
        <f>SUMIF(BAÑOS!KT2:KT238,C20,BAÑOS!KS2:KS238)+SUMIF(C4:C18,C20,D4:D18)</f>
        <v>0</v>
      </c>
      <c r="E20" s="129" t="s">
        <v>59</v>
      </c>
      <c r="F20" s="31" t="s">
        <v>13</v>
      </c>
      <c r="G20" s="31" t="s">
        <v>14</v>
      </c>
      <c r="H20" s="111" t="s">
        <v>15</v>
      </c>
      <c r="I20" s="130" t="s">
        <v>23</v>
      </c>
      <c r="J20" s="124">
        <f>SUMIF(SAYAUSI!LR2:LR144,I20,SAYAUSI!LQ2:LQ144)+SUMIF(G4:G18,I20,J4:J18)</f>
        <v>0</v>
      </c>
      <c r="K20" s="33"/>
      <c r="L20" s="67"/>
      <c r="M20" s="63">
        <v>13</v>
      </c>
      <c r="N20" s="7"/>
      <c r="O20" s="49"/>
      <c r="P20" s="7"/>
      <c r="Q20" s="68"/>
      <c r="R20" s="13"/>
      <c r="S20" s="56"/>
      <c r="T20" s="110" t="s">
        <v>60</v>
      </c>
      <c r="U20" s="58"/>
      <c r="V20" s="7"/>
      <c r="W20" s="7"/>
      <c r="Y20" s="80"/>
      <c r="Z20" s="7"/>
      <c r="AA20" s="96"/>
      <c r="AB20" s="96"/>
      <c r="AC20" s="49"/>
      <c r="AD20" s="127" t="s">
        <v>23</v>
      </c>
      <c r="AE20" s="128">
        <f>SUMIF($AD$4:$AD$18,"Pichincha",$AE$4:AE19)</f>
        <v>0</v>
      </c>
      <c r="AF20" s="90"/>
      <c r="AG20" s="43"/>
      <c r="AH20" s="69">
        <v>3</v>
      </c>
      <c r="AI20" s="131"/>
      <c r="AK20" s="132"/>
      <c r="AL20" s="47"/>
      <c r="AM20" s="133"/>
    </row>
    <row r="21" customHeight="1" spans="1:39">
      <c r="A21" s="81"/>
      <c r="B21" s="56"/>
      <c r="C21" s="118" t="s">
        <v>35</v>
      </c>
      <c r="D21" s="119">
        <f>SUMIF(BAÑOS!KT2:KT238,C21,BAÑOS!KS2:KS238)+SUMIF(C4:C18,C21,D4:D18)</f>
        <v>0</v>
      </c>
      <c r="E21" s="134"/>
      <c r="F21" s="135"/>
      <c r="G21" s="134"/>
      <c r="H21" s="136"/>
      <c r="I21" s="130" t="s">
        <v>35</v>
      </c>
      <c r="J21" s="124">
        <f>SUMIF(SAYAUSI!LR2:LR144,I21,SAYAUSI!LQ2:LQ144)+SUMIF(G4:G18,I21,J4:J18)</f>
        <v>0</v>
      </c>
      <c r="K21" s="33"/>
      <c r="L21" s="67"/>
      <c r="M21" s="63">
        <v>14</v>
      </c>
      <c r="N21" s="7"/>
      <c r="O21" s="49"/>
      <c r="P21" s="7"/>
      <c r="Q21" s="68"/>
      <c r="R21" s="13"/>
      <c r="S21" s="56"/>
      <c r="T21" s="110" t="s">
        <v>61</v>
      </c>
      <c r="U21" s="58"/>
      <c r="V21" s="7"/>
      <c r="W21" s="7"/>
      <c r="Y21" s="80"/>
      <c r="Z21" s="7"/>
      <c r="AA21" s="7"/>
      <c r="AB21" s="96"/>
      <c r="AC21" s="49"/>
      <c r="AD21" s="127" t="s">
        <v>35</v>
      </c>
      <c r="AE21" s="128">
        <f>SUMIF($AD$4:$AD$18,"JEP",$AE$4:AE20)</f>
        <v>0</v>
      </c>
      <c r="AF21" s="90"/>
      <c r="AG21" s="43"/>
      <c r="AH21" s="69">
        <v>4</v>
      </c>
      <c r="AI21" s="96"/>
      <c r="AK21" s="54"/>
      <c r="AL21" s="47"/>
      <c r="AM21" s="137"/>
    </row>
    <row r="22" customHeight="1" spans="1:39">
      <c r="A22" s="81"/>
      <c r="B22" s="56"/>
      <c r="C22" s="118" t="s">
        <v>62</v>
      </c>
      <c r="D22" s="119">
        <f>SUMIF(BAÑOS!KT2:KT238,C22,BAÑOS!KS2:KS238)+SUMIF(C4:C18,C22,D4:D18)</f>
        <v>0</v>
      </c>
      <c r="E22" s="134"/>
      <c r="F22" s="135"/>
      <c r="G22" s="134"/>
      <c r="H22" s="136"/>
      <c r="I22" s="130" t="s">
        <v>62</v>
      </c>
      <c r="J22" s="124">
        <f>SUMIF(SAYAUSI!LR2:LR144,I22,SAYAUSI!LQ2:LQ144)+SUMIF(G4:G18,I22,J4:J18)</f>
        <v>0</v>
      </c>
      <c r="K22" s="33"/>
      <c r="L22" s="138"/>
      <c r="M22" s="53">
        <v>1</v>
      </c>
      <c r="N22" s="7"/>
      <c r="O22" s="49"/>
      <c r="P22" s="7"/>
      <c r="Q22" s="68"/>
      <c r="R22" s="13"/>
      <c r="S22" s="7"/>
      <c r="T22" s="1"/>
      <c r="U22" s="1"/>
      <c r="V22" s="7"/>
      <c r="W22" s="7"/>
      <c r="Y22" s="80"/>
      <c r="Z22" s="7"/>
      <c r="AA22" s="7"/>
      <c r="AB22" s="7"/>
      <c r="AC22" s="49"/>
      <c r="AD22" s="139"/>
      <c r="AE22" s="58"/>
      <c r="AF22" s="90"/>
      <c r="AG22" s="43"/>
      <c r="AH22" s="60">
        <v>5</v>
      </c>
      <c r="AI22" s="7"/>
      <c r="AJ22" s="7"/>
      <c r="AK22" s="54"/>
      <c r="AL22" s="47"/>
      <c r="AM22" s="140"/>
    </row>
    <row r="23" customHeight="1" spans="1:39">
      <c r="A23" s="81"/>
      <c r="B23" s="56"/>
      <c r="C23" s="118" t="s">
        <v>63</v>
      </c>
      <c r="D23" s="119">
        <f>SUMIF(BAÑOS!KT2:KT238,C23,BAÑOS!KS2:KS238)+SUMIF(C4:C18,C23,D4:D18)</f>
        <v>0</v>
      </c>
      <c r="E23" s="134"/>
      <c r="F23" s="135"/>
      <c r="G23" s="134"/>
      <c r="H23" s="101"/>
      <c r="I23" s="130" t="s">
        <v>63</v>
      </c>
      <c r="J23" s="124">
        <f>SUMIF(SAYAUSI!LR2:LR144,I23,SAYAUSI!LQ2:LQ144)+SUMIF(G4:G18,I23,J4:J18)</f>
        <v>0</v>
      </c>
      <c r="K23" s="33"/>
      <c r="L23" s="71"/>
      <c r="M23" s="53">
        <v>2</v>
      </c>
      <c r="N23" s="64"/>
      <c r="O23" s="99"/>
      <c r="P23" s="64"/>
      <c r="Q23" s="141"/>
      <c r="R23" s="13"/>
      <c r="S23" s="34"/>
      <c r="T23" s="142" t="s">
        <v>64</v>
      </c>
      <c r="U23" s="31" t="s">
        <v>65</v>
      </c>
      <c r="V23" s="143" t="s">
        <v>66</v>
      </c>
      <c r="W23" s="143" t="s">
        <v>67</v>
      </c>
      <c r="Y23" s="120"/>
      <c r="Z23" s="120"/>
      <c r="AA23" s="121" t="s">
        <v>68</v>
      </c>
      <c r="AB23" s="120"/>
      <c r="AC23" s="120"/>
      <c r="AD23" s="120"/>
      <c r="AE23" s="144"/>
      <c r="AF23" s="90"/>
      <c r="AG23" s="43"/>
      <c r="AH23" s="60">
        <v>6</v>
      </c>
      <c r="AI23" s="7"/>
      <c r="AJ23" s="7"/>
      <c r="AK23" s="54"/>
      <c r="AL23" s="7"/>
      <c r="AM23" s="145"/>
    </row>
    <row r="24" customHeight="1" spans="1:39">
      <c r="A24" s="81"/>
      <c r="B24" s="56"/>
      <c r="C24" s="118" t="s">
        <v>69</v>
      </c>
      <c r="D24" s="119">
        <f>SUMIF(BAÑOS!KT2:KT238,C24,BAÑOS!KS2:KS238)+SUMIF(C4:C18,C24,D4:D18)</f>
        <v>0</v>
      </c>
      <c r="E24" s="134"/>
      <c r="F24" s="135"/>
      <c r="G24" s="134"/>
      <c r="H24" s="101"/>
      <c r="I24" s="130" t="s">
        <v>69</v>
      </c>
      <c r="J24" s="124">
        <f>SUMIF(SAYAUSI!LR2:LR144,I24,SAYAUSI!LQ2:LQ144)+SUMIF(G4:G18,I24,J4:J18)</f>
        <v>0</v>
      </c>
      <c r="K24" s="33"/>
      <c r="L24" s="146"/>
      <c r="M24" s="53">
        <v>3</v>
      </c>
      <c r="N24" s="7"/>
      <c r="O24" s="49"/>
      <c r="P24" s="7"/>
      <c r="Q24" s="68"/>
      <c r="R24" s="13"/>
      <c r="S24" s="31" t="s">
        <v>70</v>
      </c>
      <c r="T24" s="147">
        <f>SUM(BAÑOS!IY2:IY207)+SUM(BAÑOS!JA2:JA207)+SUM(BAÑOS!JB2:JB207)</f>
        <v>0</v>
      </c>
      <c r="U24" s="148">
        <f>COUNTIF(BAÑOS!JA2:JA207,"&lt;&gt;")</f>
        <v>0</v>
      </c>
      <c r="V24" s="149">
        <f>SUM(BAÑOS!HQ2:HQ185)+SUM(BAÑOS!HS2:HS185)</f>
        <v>0</v>
      </c>
      <c r="W24" s="150">
        <f ca="1">SUMIF(BAÑOS!HR2:HR185,"",BAÑOS!HU6:HU185)</f>
        <v>0</v>
      </c>
      <c r="Y24" s="34"/>
      <c r="Z24" s="31" t="s">
        <v>18</v>
      </c>
      <c r="AA24" s="31" t="s">
        <v>71</v>
      </c>
      <c r="AB24" s="1"/>
      <c r="AC24" s="31" t="s">
        <v>25</v>
      </c>
      <c r="AD24" s="31" t="s">
        <v>71</v>
      </c>
      <c r="AE24" s="32" t="s">
        <v>21</v>
      </c>
      <c r="AF24" s="90"/>
      <c r="AG24" s="43"/>
      <c r="AH24" s="60">
        <v>7</v>
      </c>
      <c r="AI24" s="7"/>
      <c r="AJ24" s="7"/>
      <c r="AK24" s="54"/>
      <c r="AL24" s="7"/>
      <c r="AM24" s="145"/>
    </row>
    <row r="25" customHeight="1" spans="1:39">
      <c r="A25" s="81"/>
      <c r="B25" s="56"/>
      <c r="C25" s="118" t="s">
        <v>72</v>
      </c>
      <c r="D25" s="119">
        <f>SUMIF(BAÑOS!KT2:KT238,C25,BAÑOS!KS2:KS238)+SUMIF(C4:C18,C25,D4:D18)</f>
        <v>0</v>
      </c>
      <c r="E25" s="7"/>
      <c r="F25" s="73"/>
      <c r="G25" s="7"/>
      <c r="H25" s="68"/>
      <c r="I25" s="151" t="s">
        <v>72</v>
      </c>
      <c r="J25" s="124">
        <f>SUMIF(SAYAUSI!LR2:LR144,I25,SAYAUSI!LQ2:LQ144)+SUMIF(G4:G18,I25,J4:J18)</f>
        <v>0</v>
      </c>
      <c r="K25" s="33"/>
      <c r="L25" s="152" t="s">
        <v>73</v>
      </c>
      <c r="M25" s="53">
        <v>1</v>
      </c>
      <c r="N25" s="7" t="s">
        <v>4134</v>
      </c>
      <c r="O25" s="54">
        <v>46006</v>
      </c>
      <c r="P25" s="7" t="s">
        <v>56</v>
      </c>
      <c r="Q25" s="55">
        <v>8</v>
      </c>
      <c r="R25" s="13"/>
      <c r="S25" s="31" t="s">
        <v>74</v>
      </c>
      <c r="T25" s="147">
        <f>SUM(SAYAUSI!JR2:JR115)+SUM(SAYAUSI!JT2:JT115)+SUM(SAYAUSI!JU2:JU115)</f>
        <v>0</v>
      </c>
      <c r="U25" s="148">
        <f>COUNTIF(SAYAUSI!JT2:JT115,"&lt;&gt;")</f>
        <v>0</v>
      </c>
      <c r="V25" s="149">
        <f>SUM(SAYAUSI!ID2:ID109)+SUM(SAYAUSI!IG2:IG109)</f>
        <v>0</v>
      </c>
      <c r="W25" s="150">
        <f>SUMIF(SAYAUSI!ID2:ID109,"",SAYAUSI!II2:II109)</f>
        <v>0</v>
      </c>
      <c r="Y25" s="153" t="s">
        <v>75</v>
      </c>
      <c r="Z25" s="69">
        <v>1</v>
      </c>
      <c r="AA25" s="7"/>
      <c r="AB25" s="7"/>
      <c r="AC25" s="54"/>
      <c r="AD25" s="7"/>
      <c r="AE25" s="72"/>
      <c r="AF25" s="90"/>
      <c r="AG25" s="43"/>
      <c r="AH25" s="60">
        <v>8</v>
      </c>
      <c r="AI25" s="7"/>
      <c r="AJ25" s="7"/>
      <c r="AK25" s="54"/>
      <c r="AL25" s="7"/>
      <c r="AM25" s="145"/>
    </row>
    <row r="26" customHeight="1" spans="1:39">
      <c r="A26" s="7"/>
      <c r="B26" s="56"/>
      <c r="C26" s="118" t="s">
        <v>76</v>
      </c>
      <c r="D26" s="119">
        <f>SUMIF(BAÑOS!KT2:KT238,C26,BAÑOS!KS2:KS238)+SUMIF(C4:C18,C26,D4:D18)</f>
        <v>0</v>
      </c>
      <c r="E26" s="7"/>
      <c r="F26" s="73"/>
      <c r="G26" s="7"/>
      <c r="H26" s="68"/>
      <c r="I26" s="154" t="s">
        <v>76</v>
      </c>
      <c r="J26" s="124">
        <f>SUMIF(SAYAUSI!LR2:LR144,I26,SAYAUSI!LQ2:LQ144)+SUMIF(G4:G18,I26,J4:J18)</f>
        <v>0</v>
      </c>
      <c r="K26" s="33"/>
      <c r="L26" s="43"/>
      <c r="M26" s="53">
        <v>2</v>
      </c>
      <c r="N26" s="7" t="s">
        <v>4135</v>
      </c>
      <c r="O26" s="54">
        <v>46006</v>
      </c>
      <c r="P26" s="7" t="s">
        <v>56</v>
      </c>
      <c r="Q26" s="55">
        <v>10</v>
      </c>
      <c r="R26" s="13"/>
      <c r="S26" s="143" t="s">
        <v>77</v>
      </c>
      <c r="T26" s="77">
        <f>SUM(D4:D18)+SUM(J4:J18)</f>
        <v>0</v>
      </c>
      <c r="U26" s="155"/>
      <c r="V26" s="156"/>
      <c r="W26" s="38"/>
      <c r="Y26" s="43"/>
      <c r="Z26" s="69">
        <v>2</v>
      </c>
      <c r="AA26" s="7"/>
      <c r="AB26" s="7"/>
      <c r="AC26" s="49"/>
      <c r="AD26" s="7"/>
      <c r="AE26" s="68"/>
      <c r="AF26" s="90"/>
      <c r="AG26" s="43"/>
      <c r="AH26" s="60">
        <v>9</v>
      </c>
      <c r="AI26" s="7"/>
      <c r="AJ26" s="7"/>
      <c r="AK26" s="54"/>
      <c r="AL26" s="7"/>
      <c r="AM26" s="157"/>
    </row>
    <row r="27" customHeight="1" spans="1:39">
      <c r="A27" s="12"/>
      <c r="B27" s="158"/>
      <c r="C27" s="159" t="s">
        <v>45</v>
      </c>
      <c r="D27" s="160">
        <f>SUM(D19:D26)</f>
        <v>0</v>
      </c>
      <c r="E27" s="7"/>
      <c r="F27" s="73"/>
      <c r="G27" s="7"/>
      <c r="H27" s="68"/>
      <c r="I27" s="161" t="s">
        <v>78</v>
      </c>
      <c r="J27" s="162">
        <f>SUM(J19:J26)</f>
        <v>0</v>
      </c>
      <c r="K27" s="33"/>
      <c r="L27" s="43"/>
      <c r="M27" s="163">
        <v>3</v>
      </c>
      <c r="N27" s="7"/>
      <c r="O27" s="49"/>
      <c r="P27" s="7"/>
      <c r="Q27" s="68"/>
      <c r="R27" s="13"/>
      <c r="S27" s="164" t="s">
        <v>79</v>
      </c>
      <c r="T27" s="165">
        <f>SUM(PLATAFORMA!BK2:BK38)</f>
        <v>0</v>
      </c>
      <c r="U27" s="98"/>
      <c r="V27" s="166"/>
      <c r="W27" s="38"/>
      <c r="Y27" s="43"/>
      <c r="Z27" s="69">
        <v>3</v>
      </c>
      <c r="AA27" s="7"/>
      <c r="AB27" s="7"/>
      <c r="AC27" s="49"/>
      <c r="AD27" s="7"/>
      <c r="AE27" s="68"/>
      <c r="AF27" s="29"/>
      <c r="AG27" s="43"/>
      <c r="AH27" s="60">
        <v>10</v>
      </c>
      <c r="AI27" s="7"/>
      <c r="AJ27" s="54"/>
      <c r="AK27" s="54"/>
      <c r="AL27" s="7"/>
      <c r="AM27" s="145"/>
    </row>
    <row r="28" customHeight="1" spans="1:39">
      <c r="A28" s="7"/>
      <c r="B28" s="49"/>
      <c r="C28" s="167"/>
      <c r="D28" s="51"/>
      <c r="E28" s="7"/>
      <c r="F28" s="73"/>
      <c r="G28" s="7"/>
      <c r="H28" s="68"/>
      <c r="I28" s="96"/>
      <c r="J28" s="96"/>
      <c r="K28" s="33"/>
      <c r="L28" s="168" t="s">
        <v>80</v>
      </c>
      <c r="M28" s="169">
        <v>1</v>
      </c>
      <c r="N28" s="7"/>
      <c r="O28" s="7"/>
      <c r="P28" s="7"/>
      <c r="Q28" s="7"/>
      <c r="R28" s="13"/>
      <c r="S28" s="7"/>
      <c r="T28" s="7"/>
      <c r="U28" s="7"/>
      <c r="V28" s="7"/>
      <c r="W28" s="7"/>
      <c r="Y28" s="43"/>
      <c r="Z28" s="69">
        <v>4</v>
      </c>
      <c r="AA28" s="7"/>
      <c r="AB28" s="7"/>
      <c r="AC28" s="49"/>
      <c r="AD28" s="7"/>
      <c r="AE28" s="68"/>
      <c r="AF28" s="90"/>
      <c r="AG28" s="43"/>
      <c r="AH28" s="60">
        <v>11</v>
      </c>
      <c r="AI28" s="7"/>
      <c r="AJ28" s="54"/>
      <c r="AK28" s="54"/>
      <c r="AL28" s="7"/>
      <c r="AM28" s="133"/>
    </row>
    <row r="29" customHeight="1" spans="1:39">
      <c r="A29" s="7"/>
      <c r="B29" s="49"/>
      <c r="C29" s="167"/>
      <c r="D29" s="51"/>
      <c r="E29" s="7"/>
      <c r="F29" s="73"/>
      <c r="G29" s="7"/>
      <c r="H29" s="68"/>
      <c r="I29" s="96"/>
      <c r="J29" s="96"/>
      <c r="K29" s="33"/>
      <c r="L29" s="43"/>
      <c r="M29" s="53">
        <v>2</v>
      </c>
      <c r="N29" s="7"/>
      <c r="O29" s="49"/>
      <c r="P29" s="7"/>
      <c r="Q29" s="68"/>
      <c r="R29" s="13"/>
      <c r="S29" s="7"/>
      <c r="T29" s="96"/>
      <c r="U29" s="7"/>
      <c r="V29" s="7"/>
      <c r="W29" s="7"/>
      <c r="Y29" s="43"/>
      <c r="Z29" s="69">
        <v>5</v>
      </c>
      <c r="AA29" s="7"/>
      <c r="AB29" s="7"/>
      <c r="AC29" s="49"/>
      <c r="AD29" s="7"/>
      <c r="AE29" s="68"/>
      <c r="AF29" s="29"/>
      <c r="AG29" s="43"/>
      <c r="AH29" s="60">
        <v>12</v>
      </c>
      <c r="AI29" s="7"/>
      <c r="AJ29" s="7"/>
      <c r="AK29" s="54"/>
      <c r="AL29" s="7"/>
      <c r="AM29" s="170"/>
    </row>
    <row r="30" customHeight="1" spans="1:39">
      <c r="A30" s="7"/>
      <c r="B30" s="49"/>
      <c r="C30" s="167"/>
      <c r="D30" s="51"/>
      <c r="E30" s="7"/>
      <c r="F30" s="73"/>
      <c r="G30" s="7"/>
      <c r="H30" s="68"/>
      <c r="I30" s="96"/>
      <c r="J30" s="96"/>
      <c r="K30" s="33"/>
      <c r="L30" s="79"/>
      <c r="M30" s="53">
        <v>3</v>
      </c>
      <c r="N30" s="7"/>
      <c r="O30" s="49"/>
      <c r="P30" s="7"/>
      <c r="Q30" s="68"/>
      <c r="R30" s="13"/>
      <c r="S30" s="171" t="s">
        <v>45</v>
      </c>
      <c r="T30" s="172">
        <f>SUM(T24:T29)</f>
        <v>0</v>
      </c>
      <c r="U30" s="173">
        <f>SUM(U24:U25)</f>
        <v>0</v>
      </c>
      <c r="V30" s="174"/>
      <c r="W30" s="7"/>
      <c r="Y30" s="43"/>
      <c r="Z30" s="69">
        <v>6</v>
      </c>
      <c r="AA30" s="7"/>
      <c r="AB30" s="12"/>
      <c r="AC30" s="49"/>
      <c r="AD30" s="7"/>
      <c r="AE30" s="68"/>
      <c r="AF30" s="29"/>
      <c r="AG30" s="43"/>
      <c r="AH30" s="60">
        <v>13</v>
      </c>
      <c r="AI30" s="7"/>
      <c r="AJ30" s="7"/>
      <c r="AK30" s="54"/>
      <c r="AL30" s="7"/>
      <c r="AM30" s="170"/>
    </row>
    <row r="31" customHeight="1" spans="1:39">
      <c r="A31" s="12"/>
      <c r="B31" s="73"/>
      <c r="C31" s="167"/>
      <c r="D31" s="51"/>
      <c r="E31" s="7"/>
      <c r="F31" s="73"/>
      <c r="G31" s="7"/>
      <c r="H31" s="68"/>
      <c r="I31" s="96"/>
      <c r="J31" s="96"/>
      <c r="K31" s="33"/>
      <c r="L31" s="152" t="s">
        <v>81</v>
      </c>
      <c r="M31" s="53">
        <v>1</v>
      </c>
      <c r="N31" s="64" t="s">
        <v>4136</v>
      </c>
      <c r="O31" s="61">
        <v>46017</v>
      </c>
      <c r="P31" s="7" t="s">
        <v>23</v>
      </c>
      <c r="Q31" s="115">
        <v>213.68</v>
      </c>
      <c r="R31" s="13"/>
      <c r="S31" s="143" t="s">
        <v>82</v>
      </c>
      <c r="T31" s="175">
        <f>SUM(Q4:Q100)+SUM(AE4:AE18)</f>
        <v>5142.15</v>
      </c>
      <c r="U31" s="34"/>
      <c r="V31" s="38"/>
      <c r="W31" s="7"/>
      <c r="Y31" s="43"/>
      <c r="Z31" s="69">
        <v>7</v>
      </c>
      <c r="AA31" s="7"/>
      <c r="AB31" s="12"/>
      <c r="AC31" s="49"/>
      <c r="AD31" s="7"/>
      <c r="AE31" s="68"/>
      <c r="AF31" s="41"/>
      <c r="AG31" s="43"/>
      <c r="AH31" s="60">
        <v>14</v>
      </c>
      <c r="AI31" s="176"/>
      <c r="AK31" s="54"/>
      <c r="AL31" s="7"/>
      <c r="AM31" s="55"/>
    </row>
    <row r="32" customHeight="1" spans="1:39">
      <c r="A32" s="7"/>
      <c r="B32" s="7"/>
      <c r="C32" s="167"/>
      <c r="D32" s="51"/>
      <c r="E32" s="7"/>
      <c r="F32" s="73"/>
      <c r="G32" s="7"/>
      <c r="H32" s="68"/>
      <c r="I32" s="96"/>
      <c r="J32" s="96"/>
      <c r="K32" s="33"/>
      <c r="L32" s="43"/>
      <c r="M32" s="53">
        <v>2</v>
      </c>
      <c r="N32" s="7" t="s">
        <v>4137</v>
      </c>
      <c r="O32" s="54">
        <v>46017</v>
      </c>
      <c r="P32" s="7" t="s">
        <v>23</v>
      </c>
      <c r="Q32" s="55">
        <v>30.33</v>
      </c>
      <c r="R32" s="13"/>
      <c r="S32" s="34"/>
      <c r="T32" s="34"/>
      <c r="U32" s="34"/>
      <c r="V32" s="38"/>
      <c r="W32" s="7"/>
      <c r="Y32" s="43"/>
      <c r="Z32" s="60">
        <v>8</v>
      </c>
      <c r="AA32" s="7"/>
      <c r="AB32" s="7"/>
      <c r="AC32" s="49"/>
      <c r="AD32" s="7"/>
      <c r="AE32" s="68"/>
      <c r="AF32" s="41"/>
      <c r="AG32" s="43"/>
      <c r="AH32" s="60">
        <v>15</v>
      </c>
      <c r="AI32" s="7"/>
      <c r="AJ32" s="7"/>
      <c r="AK32" s="54"/>
      <c r="AL32" s="7"/>
      <c r="AM32" s="60"/>
    </row>
    <row r="33" customHeight="1" spans="1:39">
      <c r="A33" s="7"/>
      <c r="B33" s="49"/>
      <c r="C33" s="167"/>
      <c r="D33" s="51"/>
      <c r="E33" s="7"/>
      <c r="F33" s="73"/>
      <c r="G33" s="7"/>
      <c r="H33" s="68"/>
      <c r="I33" s="96"/>
      <c r="J33" s="96"/>
      <c r="K33" s="33"/>
      <c r="L33" s="43"/>
      <c r="M33" s="53">
        <v>1</v>
      </c>
      <c r="N33" s="7"/>
      <c r="O33" s="49"/>
      <c r="P33" s="7"/>
      <c r="Q33" s="68"/>
      <c r="R33" s="13"/>
      <c r="S33" s="31" t="s">
        <v>83</v>
      </c>
      <c r="T33" s="177">
        <f>T30-T31</f>
        <v>-5142.15</v>
      </c>
      <c r="U33" s="34"/>
      <c r="V33" s="38"/>
      <c r="W33" s="7"/>
      <c r="Y33" s="79"/>
      <c r="Z33" s="178">
        <v>9</v>
      </c>
      <c r="AA33" s="1"/>
      <c r="AB33" s="1"/>
      <c r="AC33" s="7"/>
      <c r="AD33" s="1"/>
      <c r="AE33" s="179"/>
      <c r="AF33" s="41"/>
      <c r="AG33" s="43"/>
      <c r="AH33" s="60">
        <v>16</v>
      </c>
      <c r="AI33" s="64"/>
      <c r="AJ33" s="65"/>
      <c r="AK33" s="61"/>
      <c r="AL33" s="64"/>
      <c r="AM33" s="115"/>
    </row>
    <row r="34" customHeight="1" spans="1:39">
      <c r="A34" s="12"/>
      <c r="B34" s="73"/>
      <c r="C34" s="167"/>
      <c r="D34" s="51"/>
      <c r="E34" s="7"/>
      <c r="F34" s="73"/>
      <c r="G34" s="7"/>
      <c r="H34" s="68"/>
      <c r="I34" s="96"/>
      <c r="J34" s="96"/>
      <c r="K34" s="33"/>
      <c r="L34" s="43"/>
      <c r="M34" s="53">
        <v>2</v>
      </c>
      <c r="N34" s="7"/>
      <c r="O34" s="49"/>
      <c r="P34" s="7"/>
      <c r="Q34" s="91"/>
      <c r="R34" s="13"/>
      <c r="S34" s="7"/>
      <c r="T34" s="7"/>
      <c r="U34" s="7"/>
      <c r="V34" s="7"/>
      <c r="W34" s="7"/>
      <c r="Y34" s="153" t="s">
        <v>84</v>
      </c>
      <c r="Z34" s="69">
        <v>1</v>
      </c>
      <c r="AA34" s="7"/>
      <c r="AB34" s="7"/>
      <c r="AC34" s="180"/>
      <c r="AD34" s="7"/>
      <c r="AE34" s="68"/>
      <c r="AF34" s="41"/>
      <c r="AG34" s="43"/>
      <c r="AH34" s="181">
        <v>1</v>
      </c>
      <c r="AI34" s="7"/>
      <c r="AK34" s="54"/>
      <c r="AL34" s="7"/>
      <c r="AM34" s="77"/>
    </row>
    <row r="35" customHeight="1" spans="1:39">
      <c r="A35" s="12"/>
      <c r="B35" s="73"/>
      <c r="C35" s="167"/>
      <c r="D35" s="51"/>
      <c r="E35" s="7"/>
      <c r="F35" s="73"/>
      <c r="G35" s="7"/>
      <c r="H35" s="68"/>
      <c r="I35" s="96"/>
      <c r="J35" s="96"/>
      <c r="K35" s="33"/>
      <c r="L35" s="43"/>
      <c r="M35" s="53">
        <v>3</v>
      </c>
      <c r="N35" s="7"/>
      <c r="O35" s="49"/>
      <c r="P35" s="7"/>
      <c r="Q35" s="68"/>
      <c r="R35" s="13"/>
      <c r="S35" s="7"/>
      <c r="T35" s="7"/>
      <c r="U35" s="7"/>
      <c r="V35" s="7"/>
      <c r="W35" s="7"/>
      <c r="Y35" s="43"/>
      <c r="Z35" s="69">
        <v>2</v>
      </c>
      <c r="AA35" s="7"/>
      <c r="AB35" s="7"/>
      <c r="AC35" s="49"/>
      <c r="AD35" s="7"/>
      <c r="AE35" s="68"/>
      <c r="AF35" s="41"/>
      <c r="AG35" s="43"/>
      <c r="AH35" s="60">
        <v>2</v>
      </c>
      <c r="AI35" s="7"/>
      <c r="AJ35" s="7"/>
      <c r="AK35" s="54"/>
      <c r="AL35" s="7"/>
      <c r="AM35" s="55"/>
    </row>
    <row r="36" customHeight="1" spans="1:39">
      <c r="A36" s="12"/>
      <c r="B36" s="73"/>
      <c r="C36" s="167"/>
      <c r="D36" s="51"/>
      <c r="E36" s="7"/>
      <c r="F36" s="73"/>
      <c r="G36" s="7"/>
      <c r="H36" s="68"/>
      <c r="I36" s="96"/>
      <c r="J36" s="96"/>
      <c r="K36" s="33"/>
      <c r="L36" s="43"/>
      <c r="M36" s="53">
        <v>4</v>
      </c>
      <c r="N36" s="7"/>
      <c r="O36" s="49"/>
      <c r="P36" s="7"/>
      <c r="Q36" s="68"/>
      <c r="R36" s="13"/>
      <c r="S36" s="182"/>
      <c r="T36" s="40" t="s">
        <v>85</v>
      </c>
      <c r="U36" s="40" t="s">
        <v>86</v>
      </c>
      <c r="V36" s="39" t="s">
        <v>87</v>
      </c>
      <c r="W36" s="7" t="s">
        <v>88</v>
      </c>
      <c r="Y36" s="43"/>
      <c r="Z36" s="69">
        <v>3</v>
      </c>
      <c r="AA36" s="7"/>
      <c r="AB36" s="7"/>
      <c r="AC36" s="7"/>
      <c r="AD36" s="7"/>
      <c r="AE36" s="7"/>
      <c r="AF36" s="41"/>
      <c r="AG36" s="43"/>
      <c r="AH36" s="60">
        <v>3</v>
      </c>
      <c r="AI36" s="7"/>
      <c r="AJ36" s="7"/>
      <c r="AK36" s="54"/>
      <c r="AL36" s="7"/>
      <c r="AM36" s="55"/>
    </row>
    <row r="37" customHeight="1" spans="1:39">
      <c r="A37" s="12"/>
      <c r="B37" s="73"/>
      <c r="C37" s="167"/>
      <c r="D37" s="51"/>
      <c r="E37" s="1"/>
      <c r="F37" s="183"/>
      <c r="G37" s="7"/>
      <c r="H37" s="58"/>
      <c r="I37" s="96"/>
      <c r="J37" s="96"/>
      <c r="K37" s="33"/>
      <c r="L37" s="43"/>
      <c r="M37" s="53">
        <v>5</v>
      </c>
      <c r="N37" s="7"/>
      <c r="O37" s="49"/>
      <c r="P37" s="7"/>
      <c r="Q37" s="68"/>
      <c r="R37" s="13"/>
      <c r="S37" s="39" t="s">
        <v>89</v>
      </c>
      <c r="T37" s="184">
        <v>125</v>
      </c>
      <c r="U37" s="74">
        <v>40</v>
      </c>
      <c r="V37" s="68"/>
      <c r="W37" s="60">
        <v>2.75</v>
      </c>
      <c r="Y37" s="43"/>
      <c r="Z37" s="69">
        <v>4</v>
      </c>
      <c r="AA37" s="7"/>
      <c r="AB37" s="7"/>
      <c r="AC37" s="49"/>
      <c r="AD37" s="7"/>
      <c r="AE37" s="68"/>
      <c r="AF37" s="41"/>
      <c r="AG37" s="43"/>
      <c r="AH37" s="60">
        <v>4</v>
      </c>
      <c r="AI37" s="7"/>
      <c r="AJ37" s="7"/>
      <c r="AK37" s="54"/>
      <c r="AL37" s="7"/>
      <c r="AM37" s="55"/>
    </row>
    <row r="38" customHeight="1" spans="1:39">
      <c r="A38" s="7"/>
      <c r="B38" s="49"/>
      <c r="C38" s="167"/>
      <c r="D38" s="167"/>
      <c r="E38" s="7"/>
      <c r="F38" s="56"/>
      <c r="G38" s="185" t="s">
        <v>56</v>
      </c>
      <c r="H38" s="128">
        <f>SUMIF(G21:G37,"Efectivo",H21:H37)</f>
        <v>0</v>
      </c>
      <c r="I38" s="96"/>
      <c r="J38" s="96"/>
      <c r="K38" s="33"/>
      <c r="L38" s="43"/>
      <c r="M38" s="53">
        <v>6</v>
      </c>
      <c r="N38" s="7"/>
      <c r="O38" s="49"/>
      <c r="P38" s="7"/>
      <c r="Q38" s="7"/>
      <c r="R38" s="13"/>
      <c r="S38" s="40" t="s">
        <v>8</v>
      </c>
      <c r="T38" s="186">
        <v>225</v>
      </c>
      <c r="U38" s="74">
        <v>318</v>
      </c>
      <c r="V38" s="101">
        <v>360</v>
      </c>
      <c r="W38" s="7"/>
      <c r="Y38" s="43"/>
      <c r="Z38" s="69">
        <v>5</v>
      </c>
      <c r="AA38" s="7"/>
      <c r="AB38" s="7"/>
      <c r="AC38" s="49"/>
      <c r="AD38" s="7"/>
      <c r="AE38" s="68"/>
      <c r="AF38" s="41"/>
      <c r="AG38" s="43"/>
      <c r="AH38" s="60">
        <v>5</v>
      </c>
      <c r="AI38" s="7"/>
      <c r="AJ38" s="7"/>
      <c r="AK38" s="54"/>
      <c r="AL38" s="7"/>
      <c r="AM38" s="55"/>
    </row>
    <row r="39" customHeight="1" spans="1:39">
      <c r="A39" s="12"/>
      <c r="B39" s="73"/>
      <c r="C39" s="167"/>
      <c r="D39" s="167"/>
      <c r="E39" s="7"/>
      <c r="F39" s="56"/>
      <c r="G39" s="31" t="s">
        <v>90</v>
      </c>
      <c r="H39" s="128">
        <f>SUMIF(G21:G37,"Pichincha",H21:H37)</f>
        <v>0</v>
      </c>
      <c r="I39" s="96"/>
      <c r="J39" s="96"/>
      <c r="K39" s="33"/>
      <c r="L39" s="43"/>
      <c r="M39" s="53">
        <v>7</v>
      </c>
      <c r="N39" s="1"/>
      <c r="O39" s="187"/>
      <c r="P39" s="1"/>
      <c r="Q39" s="7"/>
      <c r="R39" s="13"/>
      <c r="S39" s="143" t="s">
        <v>91</v>
      </c>
      <c r="T39" s="188"/>
      <c r="U39" s="167"/>
      <c r="V39" s="68"/>
      <c r="W39" s="7"/>
      <c r="Y39" s="79"/>
      <c r="Z39" s="189">
        <v>6</v>
      </c>
      <c r="AA39" s="1"/>
      <c r="AB39" s="1"/>
      <c r="AC39" s="49"/>
      <c r="AD39" s="7"/>
      <c r="AE39" s="58"/>
      <c r="AF39" s="29"/>
      <c r="AG39" s="43"/>
      <c r="AH39" s="60">
        <v>6</v>
      </c>
      <c r="AI39" s="176"/>
      <c r="AK39" s="54"/>
      <c r="AL39" s="7"/>
      <c r="AM39" s="55"/>
    </row>
    <row r="40" customHeight="1" spans="1:39">
      <c r="A40" s="12"/>
      <c r="B40" s="73"/>
      <c r="C40" s="167"/>
      <c r="D40" s="167"/>
      <c r="E40" s="7"/>
      <c r="F40" s="56"/>
      <c r="G40" s="31" t="s">
        <v>92</v>
      </c>
      <c r="H40" s="128">
        <f>SUMIF(G21:G37,"JEP",H21:H37)</f>
        <v>0</v>
      </c>
      <c r="I40" s="96"/>
      <c r="J40" s="96"/>
      <c r="K40" s="33"/>
      <c r="L40" s="190" t="s">
        <v>93</v>
      </c>
      <c r="M40" s="191">
        <v>1</v>
      </c>
      <c r="N40" s="7"/>
      <c r="O40" s="49"/>
      <c r="P40" s="7"/>
      <c r="Q40" s="91"/>
      <c r="R40" s="13"/>
      <c r="S40" s="40" t="s">
        <v>94</v>
      </c>
      <c r="T40" s="192">
        <v>10</v>
      </c>
      <c r="U40" s="77">
        <v>2</v>
      </c>
      <c r="V40" s="68"/>
      <c r="W40" s="7"/>
      <c r="Y40" s="7"/>
      <c r="Z40" s="7"/>
      <c r="AA40" s="7"/>
      <c r="AB40" s="56"/>
      <c r="AC40" s="193"/>
      <c r="AD40" s="127" t="s">
        <v>95</v>
      </c>
      <c r="AE40" s="128">
        <f>SUMIF($AD$25:$AD$33,"Efectivo",$AE$25:$AE$33)</f>
        <v>0</v>
      </c>
      <c r="AF40" s="29"/>
      <c r="AG40" s="43"/>
      <c r="AH40" s="60">
        <v>1</v>
      </c>
      <c r="AI40" s="7"/>
      <c r="AJ40" s="7"/>
      <c r="AK40" s="54"/>
      <c r="AL40" s="7"/>
      <c r="AM40" s="55"/>
    </row>
    <row r="41" customHeight="1" spans="1:39">
      <c r="A41" s="12"/>
      <c r="B41" s="73"/>
      <c r="C41" s="167"/>
      <c r="D41" s="167"/>
      <c r="E41" s="7"/>
      <c r="F41" s="7"/>
      <c r="G41" s="194" t="s">
        <v>96</v>
      </c>
      <c r="H41" s="195">
        <f t="shared" ref="H41:H43" si="2">D19+H38+J19</f>
        <v>0</v>
      </c>
      <c r="I41" s="7"/>
      <c r="J41" s="51"/>
      <c r="K41" s="33"/>
      <c r="L41" s="43"/>
      <c r="M41" s="196">
        <v>2</v>
      </c>
      <c r="N41" s="7"/>
      <c r="O41" s="49"/>
      <c r="P41" s="7"/>
      <c r="Q41" s="91"/>
      <c r="R41" s="13"/>
      <c r="S41" s="40" t="s">
        <v>97</v>
      </c>
      <c r="T41" s="188"/>
      <c r="U41" s="96"/>
      <c r="V41" s="68"/>
      <c r="W41" s="7"/>
      <c r="Y41" s="7"/>
      <c r="Z41" s="7"/>
      <c r="AA41" s="7"/>
      <c r="AB41" s="56"/>
      <c r="AC41" s="193"/>
      <c r="AD41" s="127" t="s">
        <v>98</v>
      </c>
      <c r="AE41" s="128">
        <f>SUMIF($AD$25:$AD$33,"Pichincha",$AE$25:$AE$33)</f>
        <v>0</v>
      </c>
      <c r="AF41" s="41"/>
      <c r="AG41" s="43"/>
      <c r="AH41" s="60">
        <v>2</v>
      </c>
      <c r="AI41" s="7"/>
      <c r="AJ41" s="7"/>
      <c r="AK41" s="54"/>
      <c r="AL41" s="7"/>
      <c r="AM41" s="55"/>
    </row>
    <row r="42" customHeight="1" spans="1:39">
      <c r="A42" s="12"/>
      <c r="B42" s="73"/>
      <c r="C42" s="167"/>
      <c r="D42" s="167"/>
      <c r="E42" s="7"/>
      <c r="F42" s="56"/>
      <c r="G42" s="194" t="s">
        <v>99</v>
      </c>
      <c r="H42" s="195">
        <f t="shared" si="2"/>
        <v>0</v>
      </c>
      <c r="I42" s="50"/>
      <c r="J42" s="51"/>
      <c r="K42" s="33"/>
      <c r="L42" s="43"/>
      <c r="M42" s="196">
        <v>3</v>
      </c>
      <c r="N42" s="7"/>
      <c r="O42" s="49"/>
      <c r="P42" s="7"/>
      <c r="Q42" s="91"/>
      <c r="R42" s="13"/>
      <c r="S42" s="40" t="s">
        <v>100</v>
      </c>
      <c r="T42" s="197">
        <v>25</v>
      </c>
      <c r="U42" s="198"/>
      <c r="V42" s="115">
        <v>17.25</v>
      </c>
      <c r="W42" s="7"/>
      <c r="Y42" s="7"/>
      <c r="Z42" s="7"/>
      <c r="AA42" s="7"/>
      <c r="AB42" s="56"/>
      <c r="AC42" s="193"/>
      <c r="AD42" s="127" t="s">
        <v>101</v>
      </c>
      <c r="AE42" s="128">
        <f>SUMIF($AD$25:$AD$33,"JEP",$AE$25:$AE$33)</f>
        <v>0</v>
      </c>
      <c r="AF42" s="41"/>
      <c r="AG42" s="43"/>
      <c r="AH42" s="60">
        <v>3</v>
      </c>
      <c r="AI42" s="7"/>
      <c r="AJ42" s="7"/>
      <c r="AK42" s="54"/>
      <c r="AL42" s="7"/>
      <c r="AM42" s="55"/>
    </row>
    <row r="43" customHeight="1" spans="1:39">
      <c r="A43" s="12"/>
      <c r="B43" s="73"/>
      <c r="C43" s="167"/>
      <c r="D43" s="167"/>
      <c r="E43" s="7"/>
      <c r="F43" s="56"/>
      <c r="G43" s="194" t="s">
        <v>102</v>
      </c>
      <c r="H43" s="195">
        <f t="shared" si="2"/>
        <v>0</v>
      </c>
      <c r="I43" s="50"/>
      <c r="J43" s="51"/>
      <c r="K43" s="33"/>
      <c r="L43" s="43"/>
      <c r="M43" s="196">
        <v>4</v>
      </c>
      <c r="N43" s="7"/>
      <c r="O43" s="49"/>
      <c r="P43" s="7"/>
      <c r="Q43" s="68"/>
      <c r="R43" s="13"/>
      <c r="S43" s="40" t="s">
        <v>97</v>
      </c>
      <c r="T43" s="188"/>
      <c r="U43" s="96"/>
      <c r="V43" s="68"/>
      <c r="W43" s="7"/>
      <c r="Y43" s="7"/>
      <c r="Z43" s="7"/>
      <c r="AA43" s="7"/>
      <c r="AB43" s="56"/>
      <c r="AC43" s="199"/>
      <c r="AD43" s="130" t="s">
        <v>103</v>
      </c>
      <c r="AE43" s="128">
        <f>SUMIF($AD$34:$AD$39,"Efectivo",$AE$34:$AE$39)</f>
        <v>0</v>
      </c>
      <c r="AF43" s="41"/>
      <c r="AG43" s="43"/>
      <c r="AH43" s="60">
        <v>4</v>
      </c>
      <c r="AI43" s="7"/>
      <c r="AJ43" s="7"/>
      <c r="AK43" s="54"/>
      <c r="AL43" s="7"/>
      <c r="AM43" s="55"/>
    </row>
    <row r="44" customHeight="1" spans="1:39">
      <c r="A44" s="12"/>
      <c r="B44" s="73"/>
      <c r="C44" s="167"/>
      <c r="D44" s="167"/>
      <c r="E44" s="12"/>
      <c r="F44" s="73"/>
      <c r="G44" s="7"/>
      <c r="H44" s="73"/>
      <c r="I44" s="50"/>
      <c r="J44" s="51"/>
      <c r="K44" s="33"/>
      <c r="L44" s="43"/>
      <c r="M44" s="200">
        <v>5</v>
      </c>
      <c r="N44" s="7"/>
      <c r="O44" s="49"/>
      <c r="P44" s="7"/>
      <c r="Q44" s="7"/>
      <c r="R44" s="13"/>
      <c r="S44" s="40" t="s">
        <v>104</v>
      </c>
      <c r="T44" s="81"/>
      <c r="U44" s="96"/>
      <c r="V44" s="56"/>
      <c r="W44" s="7"/>
      <c r="Y44" s="7"/>
      <c r="Z44" s="7"/>
      <c r="AA44" s="7"/>
      <c r="AB44" s="56"/>
      <c r="AC44" s="199"/>
      <c r="AD44" s="130" t="s">
        <v>105</v>
      </c>
      <c r="AE44" s="128">
        <f>SUMIF($AD$34:$AD$39,"Pichincha",$AE$34:$AE$39)</f>
        <v>0</v>
      </c>
      <c r="AF44" s="41"/>
      <c r="AG44" s="43"/>
      <c r="AH44" s="60">
        <v>1</v>
      </c>
      <c r="AI44" s="7"/>
      <c r="AJ44" s="7"/>
      <c r="AK44" s="54"/>
      <c r="AL44" s="7"/>
      <c r="AM44" s="55"/>
    </row>
    <row r="45" customHeight="1" spans="1:39">
      <c r="A45" s="12"/>
      <c r="B45" s="73"/>
      <c r="C45" s="167"/>
      <c r="D45" s="167"/>
      <c r="E45" s="12"/>
      <c r="F45" s="73"/>
      <c r="G45" s="7"/>
      <c r="H45" s="73"/>
      <c r="I45" s="50"/>
      <c r="J45" s="51"/>
      <c r="K45" s="33"/>
      <c r="L45" s="43"/>
      <c r="M45" s="53">
        <v>6</v>
      </c>
      <c r="N45" s="7"/>
      <c r="O45" s="49"/>
      <c r="P45" s="7"/>
      <c r="Q45" s="68"/>
      <c r="R45" s="13"/>
      <c r="S45" s="40" t="s">
        <v>106</v>
      </c>
      <c r="T45" s="188"/>
      <c r="U45" s="96"/>
      <c r="V45" s="56"/>
      <c r="W45" s="7"/>
      <c r="Y45" s="1"/>
      <c r="Z45" s="1"/>
      <c r="AA45" s="1"/>
      <c r="AB45" s="34"/>
      <c r="AC45" s="201"/>
      <c r="AD45" s="130" t="s">
        <v>107</v>
      </c>
      <c r="AE45" s="128">
        <f>SUMIF($AD$34:$AD$39,"JEP",$AE$34:$AE$39)</f>
        <v>0</v>
      </c>
      <c r="AF45" s="41"/>
      <c r="AG45" s="43"/>
      <c r="AH45" s="60">
        <v>2</v>
      </c>
      <c r="AI45" s="7"/>
      <c r="AJ45" s="7"/>
      <c r="AK45" s="54"/>
      <c r="AL45" s="7"/>
      <c r="AM45" s="55"/>
    </row>
    <row r="46" customHeight="1" spans="1:39">
      <c r="A46" s="12"/>
      <c r="B46" s="73"/>
      <c r="C46" s="167"/>
      <c r="D46" s="167"/>
      <c r="E46" s="12"/>
      <c r="F46" s="73"/>
      <c r="G46" s="7"/>
      <c r="H46" s="73"/>
      <c r="I46" s="50"/>
      <c r="J46" s="51"/>
      <c r="K46" s="33"/>
      <c r="L46" s="43"/>
      <c r="M46" s="63">
        <v>7</v>
      </c>
      <c r="N46" s="7"/>
      <c r="O46" s="49"/>
      <c r="P46" s="7"/>
      <c r="Q46" s="68"/>
      <c r="R46" s="13"/>
      <c r="S46" s="40" t="s">
        <v>8</v>
      </c>
      <c r="T46" s="202"/>
      <c r="U46" s="1"/>
      <c r="V46" s="203"/>
      <c r="W46" s="7"/>
      <c r="Y46" s="96"/>
      <c r="Z46" s="68"/>
      <c r="AA46" s="204" t="s">
        <v>45</v>
      </c>
      <c r="AB46" s="205">
        <f>SUM(AE46:AE47)</f>
        <v>0</v>
      </c>
      <c r="AC46" s="206"/>
      <c r="AD46" s="194" t="s">
        <v>56</v>
      </c>
      <c r="AE46" s="128"/>
      <c r="AF46" s="41"/>
      <c r="AG46" s="43"/>
      <c r="AH46" s="60">
        <v>3</v>
      </c>
      <c r="AI46" s="7"/>
      <c r="AJ46" s="7"/>
      <c r="AK46" s="54"/>
      <c r="AL46" s="7"/>
      <c r="AM46" s="55"/>
    </row>
    <row r="47" customHeight="1" spans="1:39">
      <c r="A47" s="12"/>
      <c r="B47" s="73"/>
      <c r="C47" s="167"/>
      <c r="D47" s="167"/>
      <c r="E47" s="12"/>
      <c r="F47" s="73"/>
      <c r="G47" s="7"/>
      <c r="H47" s="73"/>
      <c r="I47" s="50"/>
      <c r="J47" s="51"/>
      <c r="K47" s="33"/>
      <c r="L47" s="43"/>
      <c r="M47" s="63">
        <v>8</v>
      </c>
      <c r="N47" s="7"/>
      <c r="O47" s="7"/>
      <c r="P47" s="7"/>
      <c r="Q47" s="7"/>
      <c r="R47" s="13"/>
      <c r="S47" s="7"/>
      <c r="T47" s="207">
        <f t="shared" ref="T47:V47" si="3">SUM(T37:T46)</f>
        <v>385</v>
      </c>
      <c r="U47" s="208">
        <f t="shared" si="3"/>
        <v>360</v>
      </c>
      <c r="V47" s="209">
        <f t="shared" si="3"/>
        <v>377.25</v>
      </c>
      <c r="W47" s="7"/>
      <c r="Y47" s="96"/>
      <c r="Z47" s="68"/>
      <c r="AA47" s="43"/>
      <c r="AB47" s="67"/>
      <c r="AC47" s="206"/>
      <c r="AD47" s="194" t="s">
        <v>23</v>
      </c>
      <c r="AE47" s="128"/>
      <c r="AF47" s="41"/>
      <c r="AG47" s="43"/>
      <c r="AH47" s="60">
        <v>1</v>
      </c>
      <c r="AI47" s="7"/>
      <c r="AJ47" s="7"/>
      <c r="AK47" s="54"/>
      <c r="AL47" s="7"/>
      <c r="AM47" s="55"/>
    </row>
    <row r="48" customHeight="1" spans="1:39">
      <c r="A48" s="12"/>
      <c r="B48" s="73"/>
      <c r="C48" s="167"/>
      <c r="D48" s="167"/>
      <c r="E48" s="12"/>
      <c r="F48" s="73"/>
      <c r="G48" s="7"/>
      <c r="H48" s="73"/>
      <c r="I48" s="50"/>
      <c r="J48" s="51"/>
      <c r="K48" s="33"/>
      <c r="L48" s="43"/>
      <c r="M48" s="53">
        <v>9</v>
      </c>
      <c r="N48" s="7"/>
      <c r="O48" s="7"/>
      <c r="P48" s="7"/>
      <c r="Q48" s="7"/>
      <c r="R48" s="13"/>
      <c r="S48" s="7"/>
      <c r="T48" s="7"/>
      <c r="U48" s="7"/>
      <c r="V48" s="7"/>
      <c r="W48" s="7"/>
      <c r="Y48" s="7"/>
      <c r="Z48" s="56"/>
      <c r="AA48" s="79"/>
      <c r="AB48" s="138"/>
      <c r="AC48" s="206"/>
      <c r="AD48" s="210" t="s">
        <v>35</v>
      </c>
      <c r="AE48" s="128"/>
      <c r="AF48" s="41"/>
      <c r="AG48" s="43"/>
      <c r="AH48" s="60">
        <v>2</v>
      </c>
      <c r="AI48" s="7"/>
      <c r="AJ48" s="7"/>
      <c r="AK48" s="54"/>
      <c r="AL48" s="7"/>
      <c r="AM48" s="55"/>
    </row>
    <row r="49" customHeight="1" spans="1:39">
      <c r="A49" s="12"/>
      <c r="B49" s="73"/>
      <c r="C49" s="167"/>
      <c r="D49" s="167"/>
      <c r="E49" s="12"/>
      <c r="F49" s="73"/>
      <c r="G49" s="7"/>
      <c r="H49" s="73"/>
      <c r="I49" s="50"/>
      <c r="J49" s="51"/>
      <c r="K49" s="33"/>
      <c r="L49" s="43"/>
      <c r="M49" s="211">
        <v>10</v>
      </c>
      <c r="N49" s="7"/>
      <c r="O49" s="7"/>
      <c r="P49" s="7"/>
      <c r="Q49" s="7"/>
      <c r="R49" s="13"/>
      <c r="S49" s="7"/>
      <c r="T49" s="7"/>
      <c r="U49" s="7"/>
      <c r="V49" s="7"/>
      <c r="W49" s="7"/>
      <c r="Y49" s="7"/>
      <c r="Z49" s="7"/>
      <c r="AA49" s="7"/>
      <c r="AB49" s="7"/>
      <c r="AC49" s="7"/>
      <c r="AD49" s="7"/>
      <c r="AE49" s="56"/>
      <c r="AF49" s="41"/>
      <c r="AG49" s="43"/>
      <c r="AH49" s="60">
        <v>3</v>
      </c>
      <c r="AI49" s="7"/>
      <c r="AJ49" s="7"/>
      <c r="AK49" s="54"/>
      <c r="AL49" s="7"/>
      <c r="AM49" s="55"/>
    </row>
    <row r="50" customHeight="1" spans="1:39">
      <c r="A50" s="12"/>
      <c r="B50" s="73"/>
      <c r="C50" s="167"/>
      <c r="D50" s="167"/>
      <c r="E50" s="12"/>
      <c r="F50" s="73"/>
      <c r="G50" s="7"/>
      <c r="H50" s="73"/>
      <c r="I50" s="50"/>
      <c r="J50" s="51"/>
      <c r="K50" s="33"/>
      <c r="L50" s="43"/>
      <c r="M50" s="53">
        <v>11</v>
      </c>
      <c r="N50" s="7"/>
      <c r="O50" s="7"/>
      <c r="P50" s="7"/>
      <c r="Q50" s="7"/>
      <c r="R50" s="13"/>
      <c r="S50" s="7"/>
      <c r="T50" s="7"/>
      <c r="U50" s="7"/>
      <c r="V50" s="7"/>
      <c r="W50" s="7"/>
      <c r="Y50" s="7"/>
      <c r="Z50" s="7"/>
      <c r="AA50" s="7"/>
      <c r="AB50" s="7"/>
      <c r="AC50" s="7"/>
      <c r="AD50" s="7"/>
      <c r="AE50" s="7"/>
      <c r="AF50" s="41"/>
      <c r="AG50" s="43"/>
      <c r="AH50" s="60">
        <v>4</v>
      </c>
      <c r="AI50" s="7"/>
      <c r="AJ50" s="7"/>
      <c r="AK50" s="54"/>
      <c r="AL50" s="7"/>
      <c r="AM50" s="55"/>
    </row>
    <row r="51" customHeight="1" spans="1:39">
      <c r="A51" s="7"/>
      <c r="B51" s="49"/>
      <c r="C51" s="167"/>
      <c r="D51" s="167"/>
      <c r="E51" s="12"/>
      <c r="F51" s="73"/>
      <c r="G51" s="7"/>
      <c r="H51" s="73"/>
      <c r="I51" s="50"/>
      <c r="J51" s="51"/>
      <c r="K51" s="33"/>
      <c r="L51" s="79"/>
      <c r="M51" s="38"/>
      <c r="N51" s="1"/>
      <c r="O51" s="1"/>
      <c r="P51" s="1"/>
      <c r="Q51" s="7"/>
      <c r="R51" s="13"/>
      <c r="S51" s="7"/>
      <c r="T51" s="7"/>
      <c r="U51" s="7"/>
      <c r="V51" s="7"/>
      <c r="W51" s="7"/>
      <c r="Y51" s="7"/>
      <c r="Z51" s="7"/>
      <c r="AA51" s="7"/>
      <c r="AB51" s="7"/>
      <c r="AC51" s="7"/>
      <c r="AD51" s="7"/>
      <c r="AE51" s="7"/>
      <c r="AF51" s="41"/>
      <c r="AG51" s="43"/>
      <c r="AH51" s="60">
        <v>5</v>
      </c>
      <c r="AI51" s="7"/>
      <c r="AJ51" s="7"/>
      <c r="AK51" s="54"/>
      <c r="AL51" s="7"/>
      <c r="AM51" s="55"/>
    </row>
    <row r="52" customHeight="1" spans="1:39">
      <c r="A52" s="7"/>
      <c r="B52" s="49"/>
      <c r="C52" s="167"/>
      <c r="D52" s="167"/>
      <c r="E52" s="12"/>
      <c r="F52" s="73"/>
      <c r="G52" s="7"/>
      <c r="H52" s="73"/>
      <c r="I52" s="50"/>
      <c r="J52" s="51"/>
      <c r="K52" s="33"/>
      <c r="L52" s="212" t="s">
        <v>108</v>
      </c>
      <c r="M52" s="63">
        <v>1</v>
      </c>
      <c r="N52" s="7"/>
      <c r="O52" s="49"/>
      <c r="P52" s="64"/>
      <c r="Q52" s="213"/>
      <c r="R52" s="13"/>
      <c r="S52" s="7"/>
      <c r="T52" s="7"/>
      <c r="U52" s="7"/>
      <c r="V52" s="7"/>
      <c r="W52" s="7"/>
      <c r="Y52" s="7"/>
      <c r="Z52" s="7"/>
      <c r="AA52" s="7"/>
      <c r="AB52" s="7"/>
      <c r="AC52" s="7"/>
      <c r="AD52" s="7"/>
      <c r="AE52" s="7"/>
      <c r="AF52" s="41"/>
      <c r="AG52" s="43"/>
      <c r="AH52" s="60">
        <v>2</v>
      </c>
      <c r="AI52" s="7"/>
      <c r="AJ52" s="7"/>
      <c r="AK52" s="54"/>
      <c r="AL52" s="7"/>
      <c r="AM52" s="55"/>
    </row>
    <row r="53" customHeight="1" spans="1:39">
      <c r="A53" s="12"/>
      <c r="B53" s="49"/>
      <c r="C53" s="167"/>
      <c r="D53" s="167"/>
      <c r="E53" s="12"/>
      <c r="F53" s="73"/>
      <c r="G53" s="7"/>
      <c r="H53" s="73"/>
      <c r="I53" s="50"/>
      <c r="J53" s="51"/>
      <c r="K53" s="33"/>
      <c r="L53" s="43"/>
      <c r="M53" s="63">
        <v>2</v>
      </c>
      <c r="N53" s="7"/>
      <c r="O53" s="49"/>
      <c r="P53" s="7"/>
      <c r="Q53" s="68"/>
      <c r="R53" s="13"/>
      <c r="S53" s="7"/>
      <c r="T53" s="7"/>
      <c r="U53" s="7"/>
      <c r="V53" s="7"/>
      <c r="W53" s="7"/>
      <c r="Y53" s="7"/>
      <c r="Z53" s="7"/>
      <c r="AA53" s="7"/>
      <c r="AB53" s="7"/>
      <c r="AC53" s="7"/>
      <c r="AD53" s="7"/>
      <c r="AE53" s="7"/>
      <c r="AF53" s="41"/>
      <c r="AG53" s="43"/>
      <c r="AH53" s="60">
        <v>6</v>
      </c>
      <c r="AI53" s="7"/>
      <c r="AJ53" s="7"/>
      <c r="AK53" s="54"/>
      <c r="AL53" s="7"/>
      <c r="AM53" s="55"/>
    </row>
    <row r="54" customHeight="1" spans="1:39">
      <c r="A54" s="12"/>
      <c r="B54" s="73"/>
      <c r="C54" s="167"/>
      <c r="D54" s="167"/>
      <c r="E54" s="12"/>
      <c r="F54" s="73"/>
      <c r="G54" s="7"/>
      <c r="H54" s="73"/>
      <c r="I54" s="50"/>
      <c r="J54" s="51"/>
      <c r="K54" s="33"/>
      <c r="L54" s="43"/>
      <c r="M54" s="63">
        <v>3</v>
      </c>
      <c r="N54" s="7"/>
      <c r="O54" s="49"/>
      <c r="P54" s="7"/>
      <c r="Q54" s="68"/>
      <c r="R54" s="13"/>
      <c r="S54" s="7"/>
      <c r="T54" s="7"/>
      <c r="U54" s="7"/>
      <c r="V54" s="7"/>
      <c r="W54" s="7"/>
      <c r="Y54" s="7"/>
      <c r="Z54" s="7"/>
      <c r="AA54" s="7"/>
      <c r="AB54" s="7"/>
      <c r="AC54" s="7"/>
      <c r="AD54" s="7"/>
      <c r="AE54" s="7"/>
      <c r="AF54" s="41"/>
      <c r="AG54" s="43"/>
      <c r="AH54" s="60">
        <v>7</v>
      </c>
      <c r="AI54" s="7"/>
      <c r="AK54" s="54"/>
      <c r="AL54" s="214"/>
      <c r="AM54" s="77"/>
    </row>
    <row r="55" customHeight="1" spans="1:39">
      <c r="A55" s="12"/>
      <c r="B55" s="73"/>
      <c r="C55" s="167"/>
      <c r="D55" s="167"/>
      <c r="E55" s="12"/>
      <c r="F55" s="73"/>
      <c r="G55" s="7"/>
      <c r="H55" s="73"/>
      <c r="I55" s="50"/>
      <c r="J55" s="51"/>
      <c r="K55" s="33"/>
      <c r="L55" s="43"/>
      <c r="M55" s="63">
        <v>4</v>
      </c>
      <c r="N55" s="7"/>
      <c r="O55" s="7"/>
      <c r="P55" s="7"/>
      <c r="Q55" s="68"/>
      <c r="R55" s="13"/>
      <c r="S55" s="7"/>
      <c r="T55" s="7"/>
      <c r="U55" s="7"/>
      <c r="V55" s="7"/>
      <c r="W55" s="7"/>
      <c r="Y55" s="7"/>
      <c r="Z55" s="7"/>
      <c r="AA55" s="7"/>
      <c r="AB55" s="7"/>
      <c r="AC55" s="7"/>
      <c r="AD55" s="7"/>
      <c r="AE55" s="7"/>
      <c r="AF55" s="41"/>
      <c r="AG55" s="43"/>
      <c r="AH55" s="60">
        <v>3</v>
      </c>
      <c r="AI55" s="7"/>
      <c r="AJ55" s="7"/>
      <c r="AK55" s="7"/>
      <c r="AL55" s="7"/>
      <c r="AM55" s="55"/>
    </row>
    <row r="56" customHeight="1" spans="1:39">
      <c r="A56" s="12"/>
      <c r="B56" s="73"/>
      <c r="C56" s="167"/>
      <c r="D56" s="167"/>
      <c r="E56" s="12"/>
      <c r="F56" s="73"/>
      <c r="G56" s="7"/>
      <c r="H56" s="73"/>
      <c r="I56" s="50"/>
      <c r="J56" s="51"/>
      <c r="K56" s="33"/>
      <c r="L56" s="43"/>
      <c r="M56" s="63">
        <v>5</v>
      </c>
      <c r="N56" s="7"/>
      <c r="O56" s="7"/>
      <c r="P56" s="7"/>
      <c r="Q56" s="68"/>
      <c r="R56" s="13"/>
      <c r="S56" s="7"/>
      <c r="T56" s="7"/>
      <c r="U56" s="7"/>
      <c r="V56" s="7"/>
      <c r="W56" s="7"/>
      <c r="Y56" s="7"/>
      <c r="Z56" s="7"/>
      <c r="AA56" s="7"/>
      <c r="AB56" s="7"/>
      <c r="AC56" s="7"/>
      <c r="AD56" s="7"/>
      <c r="AE56" s="7"/>
      <c r="AF56" s="41"/>
      <c r="AG56" s="79"/>
      <c r="AH56" s="60">
        <v>4</v>
      </c>
      <c r="AI56" s="7"/>
      <c r="AK56" s="54"/>
      <c r="AL56" s="47"/>
      <c r="AM56" s="77"/>
    </row>
    <row r="57" customHeight="1" spans="1:39">
      <c r="A57" s="12"/>
      <c r="B57" s="73"/>
      <c r="C57" s="167"/>
      <c r="D57" s="167"/>
      <c r="E57" s="12"/>
      <c r="F57" s="73"/>
      <c r="G57" s="7"/>
      <c r="H57" s="73"/>
      <c r="I57" s="50"/>
      <c r="J57" s="51"/>
      <c r="K57" s="33"/>
      <c r="L57" s="43"/>
      <c r="M57" s="63">
        <v>6</v>
      </c>
      <c r="N57" s="7"/>
      <c r="O57" s="7"/>
      <c r="P57" s="7"/>
      <c r="Q57" s="68"/>
      <c r="R57" s="13"/>
      <c r="S57" s="7"/>
      <c r="T57" s="7"/>
      <c r="U57" s="7"/>
      <c r="V57" s="7"/>
      <c r="W57" s="7"/>
      <c r="Y57" s="7"/>
      <c r="Z57" s="7"/>
      <c r="AA57" s="7"/>
      <c r="AB57" s="7"/>
      <c r="AC57" s="7"/>
      <c r="AD57" s="7"/>
      <c r="AE57" s="7"/>
      <c r="AF57" s="41"/>
      <c r="AG57" s="215" t="s">
        <v>109</v>
      </c>
      <c r="AH57" s="216">
        <v>1</v>
      </c>
      <c r="AI57" s="217"/>
      <c r="AJ57" s="218"/>
      <c r="AK57" s="219"/>
      <c r="AL57" s="220"/>
      <c r="AM57" s="221"/>
    </row>
    <row r="58" customHeight="1" spans="1:39">
      <c r="A58" s="12"/>
      <c r="B58" s="73"/>
      <c r="C58" s="167"/>
      <c r="D58" s="167"/>
      <c r="E58" s="12"/>
      <c r="F58" s="73"/>
      <c r="G58" s="7"/>
      <c r="H58" s="73"/>
      <c r="I58" s="50"/>
      <c r="J58" s="51"/>
      <c r="K58" s="33"/>
      <c r="L58" s="43"/>
      <c r="M58" s="63">
        <v>7</v>
      </c>
      <c r="N58" s="7"/>
      <c r="O58" s="7"/>
      <c r="P58" s="7"/>
      <c r="Q58" s="68"/>
      <c r="R58" s="13"/>
      <c r="S58" s="7"/>
      <c r="T58" s="7"/>
      <c r="U58" s="7"/>
      <c r="V58" s="7"/>
      <c r="W58" s="7"/>
      <c r="Y58" s="7"/>
      <c r="Z58" s="7"/>
      <c r="AA58" s="7"/>
      <c r="AB58" s="7"/>
      <c r="AC58" s="7"/>
      <c r="AD58" s="7"/>
      <c r="AE58" s="7"/>
      <c r="AF58" s="29"/>
      <c r="AH58" s="60">
        <v>2</v>
      </c>
      <c r="AI58" s="7"/>
      <c r="AK58" s="54"/>
      <c r="AL58" s="108"/>
      <c r="AM58" s="140"/>
    </row>
    <row r="59" customHeight="1" spans="1:39">
      <c r="A59" s="12"/>
      <c r="B59" s="73"/>
      <c r="C59" s="167"/>
      <c r="D59" s="167"/>
      <c r="E59" s="12"/>
      <c r="F59" s="73"/>
      <c r="G59" s="7"/>
      <c r="H59" s="73"/>
      <c r="I59" s="50"/>
      <c r="J59" s="51"/>
      <c r="K59" s="33"/>
      <c r="L59" s="43"/>
      <c r="M59" s="63">
        <v>8</v>
      </c>
      <c r="N59" s="7"/>
      <c r="O59" s="7"/>
      <c r="P59" s="7"/>
      <c r="Q59" s="68"/>
      <c r="R59" s="13"/>
      <c r="S59" s="7"/>
      <c r="T59" s="7"/>
      <c r="U59" s="7"/>
      <c r="V59" s="7"/>
      <c r="W59" s="7"/>
      <c r="Y59" s="7"/>
      <c r="Z59" s="7"/>
      <c r="AA59" s="7"/>
      <c r="AB59" s="7"/>
      <c r="AC59" s="7"/>
      <c r="AD59" s="7"/>
      <c r="AE59" s="7"/>
      <c r="AF59" s="41"/>
      <c r="AH59" s="60">
        <v>3</v>
      </c>
      <c r="AI59" s="7"/>
      <c r="AK59" s="54"/>
      <c r="AL59" s="47"/>
      <c r="AM59" s="137"/>
    </row>
    <row r="60" customHeight="1" spans="1:39">
      <c r="A60" s="12"/>
      <c r="B60" s="73"/>
      <c r="C60" s="167"/>
      <c r="D60" s="167"/>
      <c r="E60" s="12"/>
      <c r="F60" s="73"/>
      <c r="G60" s="7"/>
      <c r="H60" s="73"/>
      <c r="I60" s="50"/>
      <c r="J60" s="51"/>
      <c r="K60" s="33"/>
      <c r="L60" s="43"/>
      <c r="M60" s="63">
        <v>9</v>
      </c>
      <c r="N60" s="7"/>
      <c r="O60" s="7"/>
      <c r="P60" s="7"/>
      <c r="Q60" s="68"/>
      <c r="R60" s="13"/>
      <c r="S60" s="7"/>
      <c r="T60" s="7"/>
      <c r="U60" s="7"/>
      <c r="V60" s="7"/>
      <c r="W60" s="7"/>
      <c r="Y60" s="7"/>
      <c r="Z60" s="7"/>
      <c r="AA60" s="7"/>
      <c r="AB60" s="7"/>
      <c r="AC60" s="7"/>
      <c r="AD60" s="7"/>
      <c r="AE60" s="7"/>
      <c r="AF60" s="41"/>
      <c r="AH60" s="60">
        <v>4</v>
      </c>
      <c r="AI60" s="7"/>
      <c r="AK60" s="54"/>
      <c r="AL60" s="47"/>
      <c r="AM60" s="137"/>
    </row>
    <row r="61" customHeight="1" spans="1:39">
      <c r="A61" s="12"/>
      <c r="B61" s="73"/>
      <c r="C61" s="167"/>
      <c r="D61" s="167"/>
      <c r="E61" s="12"/>
      <c r="F61" s="73"/>
      <c r="G61" s="7"/>
      <c r="H61" s="73"/>
      <c r="I61" s="50"/>
      <c r="J61" s="51"/>
      <c r="K61" s="33"/>
      <c r="L61" s="43"/>
      <c r="M61" s="63">
        <v>10</v>
      </c>
      <c r="N61" s="7"/>
      <c r="O61" s="7"/>
      <c r="P61" s="7"/>
      <c r="Q61" s="68"/>
      <c r="R61" s="13"/>
      <c r="S61" s="7"/>
      <c r="T61" s="7"/>
      <c r="U61" s="7"/>
      <c r="V61" s="7"/>
      <c r="W61" s="7"/>
      <c r="Y61" s="7"/>
      <c r="Z61" s="7"/>
      <c r="AA61" s="7"/>
      <c r="AB61" s="7"/>
      <c r="AC61" s="7"/>
      <c r="AD61" s="7"/>
      <c r="AE61" s="7"/>
      <c r="AF61" s="41"/>
      <c r="AH61" s="60">
        <v>5</v>
      </c>
      <c r="AI61" s="7"/>
      <c r="AK61" s="54"/>
      <c r="AL61" s="7"/>
      <c r="AM61" s="77"/>
    </row>
    <row r="62" customHeight="1" spans="1:39">
      <c r="B62" s="73"/>
      <c r="C62" s="167"/>
      <c r="D62" s="167"/>
      <c r="E62" s="7"/>
      <c r="F62" s="73"/>
      <c r="G62" s="7"/>
      <c r="H62" s="49"/>
      <c r="I62" s="222"/>
      <c r="J62" s="51"/>
      <c r="K62" s="33"/>
      <c r="L62" s="79"/>
      <c r="M62" s="53">
        <v>11</v>
      </c>
      <c r="N62" s="223"/>
      <c r="O62" s="187"/>
      <c r="P62" s="1"/>
      <c r="Q62" s="68"/>
      <c r="R62" s="13"/>
      <c r="S62" s="7"/>
      <c r="T62" s="7"/>
      <c r="U62" s="7"/>
      <c r="V62" s="7"/>
      <c r="W62" s="7"/>
      <c r="Y62" s="7"/>
      <c r="Z62" s="7"/>
      <c r="AA62" s="7"/>
      <c r="AB62" s="7"/>
      <c r="AC62" s="7"/>
      <c r="AD62" s="7"/>
      <c r="AE62" s="7"/>
      <c r="AF62" s="41"/>
      <c r="AH62" s="60">
        <v>6</v>
      </c>
      <c r="AI62" s="7"/>
      <c r="AK62" s="54"/>
      <c r="AL62" s="7"/>
      <c r="AM62" s="77"/>
    </row>
    <row r="63" customHeight="1" spans="1:39">
      <c r="A63" s="12"/>
      <c r="B63" s="73"/>
      <c r="C63" s="167"/>
      <c r="D63" s="167"/>
      <c r="E63" s="12"/>
      <c r="F63" s="73"/>
      <c r="G63" s="7"/>
      <c r="H63" s="49"/>
      <c r="I63" s="50"/>
      <c r="J63" s="51"/>
      <c r="K63" s="33"/>
      <c r="L63" s="224" t="s">
        <v>110</v>
      </c>
      <c r="M63" s="148" t="s">
        <v>111</v>
      </c>
      <c r="N63" s="131" t="s">
        <v>112</v>
      </c>
      <c r="O63" s="132">
        <v>45999</v>
      </c>
      <c r="P63" s="47" t="s">
        <v>23</v>
      </c>
      <c r="Q63" s="66">
        <v>267.41</v>
      </c>
      <c r="R63" s="13"/>
      <c r="S63" s="7"/>
      <c r="T63" s="7"/>
      <c r="U63" s="7"/>
      <c r="V63" s="7"/>
      <c r="W63" s="7"/>
      <c r="Y63" s="7"/>
      <c r="Z63" s="7"/>
      <c r="AA63" s="7"/>
      <c r="AB63" s="7"/>
      <c r="AC63" s="7"/>
      <c r="AD63" s="7"/>
      <c r="AE63" s="7"/>
      <c r="AF63" s="41"/>
      <c r="AH63" s="60">
        <v>7</v>
      </c>
      <c r="AI63" s="7"/>
      <c r="AK63" s="54"/>
      <c r="AL63" s="7"/>
      <c r="AM63" s="77"/>
    </row>
    <row r="64" customHeight="1" spans="1:39">
      <c r="A64" s="12"/>
      <c r="B64" s="73"/>
      <c r="C64" s="167"/>
      <c r="D64" s="167"/>
      <c r="E64" s="12"/>
      <c r="F64" s="73"/>
      <c r="G64" s="7"/>
      <c r="H64" s="49"/>
      <c r="I64" s="50"/>
      <c r="J64" s="51"/>
      <c r="K64" s="33"/>
      <c r="L64" s="43"/>
      <c r="M64" s="148" t="s">
        <v>113</v>
      </c>
      <c r="N64" s="7" t="s">
        <v>114</v>
      </c>
      <c r="O64" s="54">
        <v>46003</v>
      </c>
      <c r="P64" s="47" t="s">
        <v>23</v>
      </c>
      <c r="Q64" s="101">
        <f>24.64+0.41</f>
        <v>25.05</v>
      </c>
      <c r="R64" s="13"/>
      <c r="S64" s="7"/>
      <c r="T64" s="7"/>
      <c r="U64" s="7"/>
      <c r="V64" s="7"/>
      <c r="W64" s="7"/>
      <c r="Y64" s="7"/>
      <c r="Z64" s="7"/>
      <c r="AA64" s="7"/>
      <c r="AB64" s="7"/>
      <c r="AC64" s="7"/>
      <c r="AD64" s="7"/>
      <c r="AE64" s="7"/>
      <c r="AF64" s="41"/>
      <c r="AH64" s="60">
        <v>8</v>
      </c>
      <c r="AI64" s="7"/>
      <c r="AK64" s="54"/>
      <c r="AL64" s="7"/>
      <c r="AM64" s="77"/>
    </row>
    <row r="65" customHeight="1" spans="1:39">
      <c r="A65" s="12"/>
      <c r="B65" s="73"/>
      <c r="C65" s="167"/>
      <c r="D65" s="167"/>
      <c r="E65" s="12"/>
      <c r="F65" s="73"/>
      <c r="G65" s="7"/>
      <c r="H65" s="73"/>
      <c r="I65" s="50"/>
      <c r="J65" s="51"/>
      <c r="K65" s="225"/>
      <c r="L65" s="43"/>
      <c r="M65" s="148" t="s">
        <v>115</v>
      </c>
      <c r="N65" s="81" t="s">
        <v>116</v>
      </c>
      <c r="O65" s="54">
        <v>46004</v>
      </c>
      <c r="P65" s="47" t="s">
        <v>23</v>
      </c>
      <c r="Q65" s="101">
        <v>76.08</v>
      </c>
      <c r="R65" s="13"/>
      <c r="S65" s="7"/>
      <c r="T65" s="7"/>
      <c r="U65" s="7"/>
      <c r="V65" s="7"/>
      <c r="W65" s="7"/>
      <c r="Y65" s="7"/>
      <c r="Z65" s="7"/>
      <c r="AA65" s="7"/>
      <c r="AB65" s="7"/>
      <c r="AC65" s="7"/>
      <c r="AD65" s="7"/>
      <c r="AE65" s="7"/>
      <c r="AF65" s="41"/>
      <c r="AH65" s="60">
        <v>9</v>
      </c>
      <c r="AI65" s="7"/>
      <c r="AK65" s="54"/>
      <c r="AL65" s="7"/>
      <c r="AM65" s="77"/>
    </row>
    <row r="66" customHeight="1" spans="1:39">
      <c r="A66" s="12"/>
      <c r="B66" s="73"/>
      <c r="C66" s="167"/>
      <c r="D66" s="167"/>
      <c r="E66" s="12"/>
      <c r="F66" s="73"/>
      <c r="G66" s="7"/>
      <c r="H66" s="73"/>
      <c r="I66" s="50"/>
      <c r="J66" s="51"/>
      <c r="K66" s="33"/>
      <c r="L66" s="43"/>
      <c r="M66" s="148" t="s">
        <v>117</v>
      </c>
      <c r="N66" s="81" t="s">
        <v>118</v>
      </c>
      <c r="O66" s="54">
        <v>46001</v>
      </c>
      <c r="P66" s="47" t="s">
        <v>23</v>
      </c>
      <c r="Q66" s="101">
        <v>150.41</v>
      </c>
      <c r="R66" s="13"/>
      <c r="S66" s="7"/>
      <c r="T66" s="7"/>
      <c r="U66" s="7"/>
      <c r="V66" s="7"/>
      <c r="W66" s="7"/>
      <c r="Y66" s="7"/>
      <c r="Z66" s="7"/>
      <c r="AA66" s="7"/>
      <c r="AB66" s="7"/>
      <c r="AC66" s="7"/>
      <c r="AD66" s="7"/>
      <c r="AE66" s="7"/>
      <c r="AF66" s="41"/>
      <c r="AH66" s="60">
        <v>10</v>
      </c>
      <c r="AI66" s="7"/>
      <c r="AK66" s="54"/>
      <c r="AL66" s="7"/>
      <c r="AM66" s="77"/>
    </row>
    <row r="67" customHeight="1" spans="1:39">
      <c r="A67" s="12"/>
      <c r="B67" s="73"/>
      <c r="C67" s="167"/>
      <c r="D67" s="167"/>
      <c r="E67" s="12"/>
      <c r="F67" s="73"/>
      <c r="G67" s="7"/>
      <c r="H67" s="73"/>
      <c r="I67" s="50"/>
      <c r="J67" s="51"/>
      <c r="K67" s="33"/>
      <c r="L67" s="43"/>
      <c r="M67" s="148" t="s">
        <v>119</v>
      </c>
      <c r="N67" s="81" t="s">
        <v>120</v>
      </c>
      <c r="O67" s="54">
        <v>46008</v>
      </c>
      <c r="P67" s="7" t="s">
        <v>35</v>
      </c>
      <c r="Q67" s="101">
        <v>200</v>
      </c>
      <c r="R67" s="13"/>
      <c r="S67" s="7"/>
      <c r="T67" s="7"/>
      <c r="U67" s="7"/>
      <c r="V67" s="7"/>
      <c r="W67" s="7"/>
      <c r="Y67" s="7"/>
      <c r="Z67" s="7"/>
      <c r="AA67" s="7"/>
      <c r="AB67" s="7"/>
      <c r="AC67" s="7"/>
      <c r="AD67" s="7"/>
      <c r="AE67" s="7"/>
      <c r="AF67" s="41"/>
      <c r="AH67" s="60">
        <v>11</v>
      </c>
      <c r="AI67" s="7"/>
      <c r="AJ67" s="7"/>
      <c r="AK67" s="54"/>
      <c r="AL67" s="7"/>
      <c r="AM67" s="77"/>
    </row>
    <row r="68" customHeight="1" spans="1:39">
      <c r="A68" s="7"/>
      <c r="B68" s="73"/>
      <c r="C68" s="167"/>
      <c r="D68" s="167"/>
      <c r="E68" s="7"/>
      <c r="F68" s="49"/>
      <c r="G68" s="7"/>
      <c r="H68" s="49"/>
      <c r="I68" s="222"/>
      <c r="J68" s="68"/>
      <c r="K68" s="33"/>
      <c r="L68" s="43"/>
      <c r="M68" s="148" t="s">
        <v>121</v>
      </c>
      <c r="N68" s="7"/>
      <c r="O68" s="49"/>
      <c r="P68" s="7"/>
      <c r="Q68" s="68"/>
      <c r="R68" s="13"/>
      <c r="S68" s="7"/>
      <c r="T68" s="7"/>
      <c r="U68" s="7"/>
      <c r="V68" s="7"/>
      <c r="W68" s="7"/>
      <c r="Y68" s="7"/>
      <c r="Z68" s="7"/>
      <c r="AA68" s="7"/>
      <c r="AB68" s="7"/>
      <c r="AC68" s="7"/>
      <c r="AD68" s="7"/>
      <c r="AE68" s="7"/>
      <c r="AF68" s="41"/>
      <c r="AH68" s="60">
        <v>5</v>
      </c>
      <c r="AI68" s="7"/>
      <c r="AJ68" s="7"/>
      <c r="AK68" s="54"/>
      <c r="AL68" s="7"/>
      <c r="AM68" s="77"/>
    </row>
    <row r="69" customHeight="1" spans="1:39">
      <c r="A69" s="7"/>
      <c r="B69" s="73"/>
      <c r="C69" s="167"/>
      <c r="D69" s="167"/>
      <c r="E69" s="7"/>
      <c r="F69" s="49"/>
      <c r="G69" s="7"/>
      <c r="H69" s="49"/>
      <c r="I69" s="222"/>
      <c r="J69" s="68"/>
      <c r="K69" s="33"/>
      <c r="L69" s="43"/>
      <c r="M69" s="148" t="s">
        <v>122</v>
      </c>
      <c r="N69" s="7"/>
      <c r="O69" s="7"/>
      <c r="P69" s="7"/>
      <c r="Q69" s="7"/>
      <c r="R69" s="13"/>
      <c r="S69" s="7"/>
      <c r="T69" s="7"/>
      <c r="U69" s="7"/>
      <c r="V69" s="7"/>
      <c r="W69" s="7"/>
      <c r="Y69" s="7"/>
      <c r="Z69" s="7"/>
      <c r="AA69" s="7"/>
      <c r="AB69" s="7"/>
      <c r="AC69" s="7"/>
      <c r="AD69" s="7"/>
      <c r="AE69" s="7"/>
      <c r="AF69" s="41"/>
      <c r="AH69" s="60">
        <v>6</v>
      </c>
      <c r="AI69" s="7"/>
      <c r="AJ69" s="7"/>
      <c r="AK69" s="54"/>
      <c r="AL69" s="7"/>
      <c r="AM69" s="77"/>
    </row>
    <row r="70" customHeight="1" spans="1:39">
      <c r="A70" s="7"/>
      <c r="B70" s="73"/>
      <c r="C70" s="167"/>
      <c r="D70" s="167"/>
      <c r="E70" s="7"/>
      <c r="F70" s="49"/>
      <c r="G70" s="7"/>
      <c r="H70" s="49"/>
      <c r="I70" s="222"/>
      <c r="J70" s="68"/>
      <c r="K70" s="33"/>
      <c r="L70" s="43"/>
      <c r="M70" s="148" t="s">
        <v>123</v>
      </c>
      <c r="N70" s="7" t="s">
        <v>124</v>
      </c>
      <c r="O70" s="54">
        <v>46006</v>
      </c>
      <c r="P70" s="7" t="s">
        <v>35</v>
      </c>
      <c r="Q70" s="60">
        <v>283.66</v>
      </c>
      <c r="R70" s="13"/>
      <c r="S70" s="7"/>
      <c r="T70" s="7"/>
      <c r="U70" s="7"/>
      <c r="V70" s="7"/>
      <c r="W70" s="7"/>
      <c r="Y70" s="7"/>
      <c r="Z70" s="7"/>
      <c r="AA70" s="7"/>
      <c r="AB70" s="7"/>
      <c r="AC70" s="7"/>
      <c r="AD70" s="7"/>
      <c r="AE70" s="7"/>
      <c r="AF70" s="41"/>
      <c r="AH70" s="60">
        <v>7</v>
      </c>
      <c r="AI70" s="7"/>
      <c r="AJ70" s="7"/>
      <c r="AK70" s="54"/>
      <c r="AL70" s="7"/>
      <c r="AM70" s="77"/>
    </row>
    <row r="71" customHeight="1" spans="1:39">
      <c r="A71" s="7"/>
      <c r="B71" s="73"/>
      <c r="C71" s="167"/>
      <c r="D71" s="167"/>
      <c r="E71" s="7"/>
      <c r="F71" s="49"/>
      <c r="G71" s="7"/>
      <c r="H71" s="49"/>
      <c r="I71" s="222"/>
      <c r="J71" s="68"/>
      <c r="K71" s="33"/>
      <c r="L71" s="43"/>
      <c r="M71" s="148" t="s">
        <v>125</v>
      </c>
      <c r="N71" s="7" t="s">
        <v>126</v>
      </c>
      <c r="O71" s="54">
        <v>46010</v>
      </c>
      <c r="P71" s="47" t="s">
        <v>23</v>
      </c>
      <c r="Q71" s="101">
        <v>476.38</v>
      </c>
      <c r="R71" s="13"/>
      <c r="S71" s="7"/>
      <c r="T71" s="7"/>
      <c r="U71" s="7"/>
      <c r="V71" s="7"/>
      <c r="W71" s="7"/>
      <c r="Y71" s="7"/>
      <c r="Z71" s="7"/>
      <c r="AA71" s="7"/>
      <c r="AB71" s="7"/>
      <c r="AC71" s="7"/>
      <c r="AD71" s="7"/>
      <c r="AE71" s="7"/>
      <c r="AF71" s="41"/>
      <c r="AH71" s="60">
        <v>8</v>
      </c>
      <c r="AI71" s="7"/>
      <c r="AJ71" s="7"/>
      <c r="AK71" s="54"/>
      <c r="AL71" s="7"/>
      <c r="AM71" s="77"/>
    </row>
    <row r="72" customHeight="1" spans="1:39">
      <c r="A72" s="7"/>
      <c r="B72" s="73"/>
      <c r="C72" s="167"/>
      <c r="D72" s="167"/>
      <c r="E72" s="7"/>
      <c r="F72" s="49"/>
      <c r="G72" s="7"/>
      <c r="H72" s="49"/>
      <c r="I72" s="222"/>
      <c r="J72" s="68"/>
      <c r="K72" s="33"/>
      <c r="L72" s="43"/>
      <c r="M72" s="148" t="s">
        <v>127</v>
      </c>
      <c r="N72" s="226" t="s">
        <v>86</v>
      </c>
      <c r="O72" s="54">
        <v>46003</v>
      </c>
      <c r="P72" s="47" t="s">
        <v>23</v>
      </c>
      <c r="Q72" s="101">
        <v>360</v>
      </c>
      <c r="R72" s="13"/>
      <c r="S72" s="7"/>
      <c r="T72" s="7"/>
      <c r="U72" s="7"/>
      <c r="V72" s="7"/>
      <c r="W72" s="7"/>
      <c r="Y72" s="7"/>
      <c r="Z72" s="7"/>
      <c r="AA72" s="7"/>
      <c r="AB72" s="7"/>
      <c r="AC72" s="7"/>
      <c r="AD72" s="7"/>
      <c r="AE72" s="7"/>
      <c r="AF72" s="29"/>
      <c r="AH72" s="60">
        <v>1</v>
      </c>
      <c r="AI72" s="7"/>
      <c r="AJ72" s="7"/>
      <c r="AK72" s="54"/>
      <c r="AL72" s="7"/>
      <c r="AM72" s="55"/>
    </row>
    <row r="73" customHeight="1" spans="1:39">
      <c r="A73" s="7"/>
      <c r="B73" s="73"/>
      <c r="C73" s="167"/>
      <c r="D73" s="167"/>
      <c r="E73" s="7"/>
      <c r="F73" s="49"/>
      <c r="G73" s="7"/>
      <c r="H73" s="49"/>
      <c r="I73" s="222"/>
      <c r="J73" s="68"/>
      <c r="K73" s="33"/>
      <c r="L73" s="43"/>
      <c r="M73" s="148" t="s">
        <v>128</v>
      </c>
      <c r="N73" s="227" t="s">
        <v>87</v>
      </c>
      <c r="O73" s="54">
        <v>46008</v>
      </c>
      <c r="P73" s="47" t="s">
        <v>23</v>
      </c>
      <c r="Q73" s="101">
        <v>360</v>
      </c>
      <c r="R73" s="13"/>
      <c r="S73" s="7"/>
      <c r="T73" s="7"/>
      <c r="U73" s="7"/>
      <c r="V73" s="7"/>
      <c r="W73" s="7"/>
      <c r="Y73" s="7"/>
      <c r="Z73" s="7"/>
      <c r="AA73" s="7"/>
      <c r="AB73" s="7"/>
      <c r="AC73" s="7"/>
      <c r="AD73" s="7"/>
      <c r="AE73" s="7"/>
      <c r="AF73" s="41"/>
      <c r="AH73" s="60">
        <v>2</v>
      </c>
      <c r="AI73" s="7"/>
      <c r="AJ73" s="7"/>
      <c r="AK73" s="54"/>
      <c r="AL73" s="7"/>
      <c r="AM73" s="55"/>
    </row>
    <row r="74" customHeight="1" spans="1:39">
      <c r="A74" s="7"/>
      <c r="B74" s="73"/>
      <c r="C74" s="167"/>
      <c r="D74" s="167"/>
      <c r="E74" s="7"/>
      <c r="F74" s="49"/>
      <c r="G74" s="7"/>
      <c r="H74" s="49"/>
      <c r="I74" s="222"/>
      <c r="J74" s="68"/>
      <c r="K74" s="33"/>
      <c r="L74" s="43"/>
      <c r="M74" s="148" t="s">
        <v>129</v>
      </c>
      <c r="N74" s="81" t="s">
        <v>85</v>
      </c>
      <c r="O74" s="54">
        <v>46006</v>
      </c>
      <c r="P74" s="47" t="s">
        <v>23</v>
      </c>
      <c r="Q74" s="101">
        <v>360</v>
      </c>
      <c r="R74" s="13"/>
      <c r="S74" s="7"/>
      <c r="T74" s="7"/>
      <c r="U74" s="7"/>
      <c r="V74" s="7"/>
      <c r="W74" s="7"/>
      <c r="Y74" s="7"/>
      <c r="Z74" s="7"/>
      <c r="AA74" s="7"/>
      <c r="AB74" s="7"/>
      <c r="AC74" s="7"/>
      <c r="AD74" s="7"/>
      <c r="AE74" s="7"/>
      <c r="AF74" s="41"/>
      <c r="AG74" s="25"/>
      <c r="AH74" s="60">
        <v>3</v>
      </c>
      <c r="AI74" s="7"/>
      <c r="AJ74" s="7"/>
      <c r="AK74" s="54"/>
      <c r="AL74" s="7"/>
      <c r="AM74" s="55"/>
    </row>
    <row r="75" customHeight="1" spans="1:39">
      <c r="A75" s="7"/>
      <c r="B75" s="73"/>
      <c r="C75" s="167"/>
      <c r="D75" s="167"/>
      <c r="E75" s="7"/>
      <c r="F75" s="49"/>
      <c r="G75" s="7"/>
      <c r="H75" s="49"/>
      <c r="I75" s="222"/>
      <c r="J75" s="68"/>
      <c r="K75" s="33"/>
      <c r="L75" s="43"/>
      <c r="M75" s="148" t="s">
        <v>130</v>
      </c>
      <c r="N75" s="7"/>
      <c r="O75" s="7"/>
      <c r="P75" s="7"/>
      <c r="Q75" s="7"/>
      <c r="R75" s="13"/>
      <c r="S75" s="7"/>
      <c r="T75" s="7"/>
      <c r="U75" s="7"/>
      <c r="V75" s="7"/>
      <c r="W75" s="7"/>
      <c r="Y75" s="7"/>
      <c r="Z75" s="7"/>
      <c r="AA75" s="7"/>
      <c r="AB75" s="7"/>
      <c r="AC75" s="7"/>
      <c r="AD75" s="7"/>
      <c r="AE75" s="7"/>
      <c r="AF75" s="41"/>
      <c r="AG75" s="228" t="s">
        <v>131</v>
      </c>
      <c r="AH75" s="181">
        <v>1</v>
      </c>
      <c r="AI75" s="64"/>
      <c r="AJ75" s="61"/>
      <c r="AK75" s="61"/>
      <c r="AL75" s="64"/>
      <c r="AM75" s="229"/>
    </row>
    <row r="76" customHeight="1" spans="1:39">
      <c r="A76" s="7"/>
      <c r="B76" s="73"/>
      <c r="C76" s="167"/>
      <c r="D76" s="167"/>
      <c r="E76" s="7"/>
      <c r="F76" s="49"/>
      <c r="G76" s="7"/>
      <c r="H76" s="49"/>
      <c r="I76" s="222"/>
      <c r="J76" s="68"/>
      <c r="K76" s="33"/>
      <c r="L76" s="43"/>
      <c r="M76" s="148" t="s">
        <v>132</v>
      </c>
      <c r="N76" s="7"/>
      <c r="O76" s="49"/>
      <c r="P76" s="7"/>
      <c r="Q76" s="68"/>
      <c r="R76" s="13"/>
      <c r="S76" s="7"/>
      <c r="T76" s="7"/>
      <c r="U76" s="7"/>
      <c r="V76" s="7"/>
      <c r="W76" s="7"/>
      <c r="Y76" s="7"/>
      <c r="Z76" s="7"/>
      <c r="AA76" s="7"/>
      <c r="AB76" s="7"/>
      <c r="AC76" s="7"/>
      <c r="AD76" s="7"/>
      <c r="AE76" s="7"/>
      <c r="AF76" s="41"/>
      <c r="AG76" s="230"/>
      <c r="AH76" s="60">
        <v>2</v>
      </c>
      <c r="AI76" s="198"/>
      <c r="AJ76" s="65"/>
      <c r="AK76" s="61"/>
      <c r="AL76" s="64"/>
      <c r="AM76" s="115"/>
    </row>
    <row r="77" customHeight="1" spans="1:39">
      <c r="A77" s="7"/>
      <c r="B77" s="73"/>
      <c r="C77" s="167"/>
      <c r="D77" s="167"/>
      <c r="E77" s="7"/>
      <c r="F77" s="49"/>
      <c r="G77" s="7"/>
      <c r="H77" s="49"/>
      <c r="I77" s="222"/>
      <c r="J77" s="68"/>
      <c r="K77" s="33"/>
      <c r="L77" s="43"/>
      <c r="M77" s="148" t="s">
        <v>133</v>
      </c>
      <c r="N77" s="7" t="s">
        <v>134</v>
      </c>
      <c r="O77" s="54">
        <v>46010</v>
      </c>
      <c r="P77" s="47" t="s">
        <v>23</v>
      </c>
      <c r="Q77" s="101">
        <v>70</v>
      </c>
      <c r="R77" s="13"/>
      <c r="S77" s="7"/>
      <c r="T77" s="7"/>
      <c r="U77" s="7"/>
      <c r="V77" s="7"/>
      <c r="W77" s="7"/>
      <c r="Y77" s="7"/>
      <c r="Z77" s="7"/>
      <c r="AA77" s="7"/>
      <c r="AB77" s="7"/>
      <c r="AC77" s="7"/>
      <c r="AD77" s="7"/>
      <c r="AE77" s="7"/>
      <c r="AF77" s="41"/>
      <c r="AG77" s="230"/>
      <c r="AH77" s="60">
        <v>3</v>
      </c>
      <c r="AI77" s="7"/>
      <c r="AK77" s="54"/>
      <c r="AL77" s="7"/>
      <c r="AM77" s="55"/>
    </row>
    <row r="78" customHeight="1" spans="1:39">
      <c r="A78" s="7"/>
      <c r="B78" s="73"/>
      <c r="C78" s="167"/>
      <c r="D78" s="167"/>
      <c r="E78" s="7"/>
      <c r="F78" s="49"/>
      <c r="G78" s="7"/>
      <c r="H78" s="49"/>
      <c r="I78" s="222"/>
      <c r="J78" s="68"/>
      <c r="K78" s="33"/>
      <c r="L78" s="43"/>
      <c r="M78" s="148" t="s">
        <v>135</v>
      </c>
      <c r="N78" s="7"/>
      <c r="O78" s="49"/>
      <c r="P78" s="7"/>
      <c r="Q78" s="68"/>
      <c r="R78" s="13"/>
      <c r="S78" s="7"/>
      <c r="T78" s="7"/>
      <c r="U78" s="7"/>
      <c r="V78" s="7"/>
      <c r="W78" s="7"/>
      <c r="Y78" s="7"/>
      <c r="Z78" s="7"/>
      <c r="AA78" s="7"/>
      <c r="AB78" s="7"/>
      <c r="AC78" s="7"/>
      <c r="AD78" s="7"/>
      <c r="AE78" s="7"/>
      <c r="AF78" s="41"/>
      <c r="AG78" s="230"/>
      <c r="AH78" s="60">
        <v>4</v>
      </c>
      <c r="AI78" s="1"/>
      <c r="AJ78" s="3"/>
      <c r="AK78" s="231"/>
      <c r="AL78" s="1"/>
      <c r="AM78" s="55"/>
    </row>
    <row r="79" customHeight="1" spans="1:39">
      <c r="A79" s="7"/>
      <c r="B79" s="73"/>
      <c r="C79" s="167"/>
      <c r="D79" s="167"/>
      <c r="E79" s="7"/>
      <c r="F79" s="232"/>
      <c r="G79" s="7"/>
      <c r="H79" s="232"/>
      <c r="I79" s="222"/>
      <c r="J79" s="68"/>
      <c r="K79" s="33"/>
      <c r="L79" s="43"/>
      <c r="M79" s="148" t="s">
        <v>136</v>
      </c>
      <c r="N79" s="227" t="s">
        <v>137</v>
      </c>
      <c r="O79" s="233">
        <v>46012</v>
      </c>
      <c r="P79" s="47" t="s">
        <v>23</v>
      </c>
      <c r="Q79" s="101">
        <v>906.75</v>
      </c>
      <c r="R79" s="13"/>
      <c r="S79" s="7"/>
      <c r="T79" s="7"/>
      <c r="U79" s="7"/>
      <c r="V79" s="7"/>
      <c r="W79" s="7"/>
      <c r="Y79" s="7"/>
      <c r="Z79" s="7"/>
      <c r="AA79" s="7"/>
      <c r="AB79" s="7"/>
      <c r="AC79" s="7"/>
      <c r="AD79" s="7"/>
      <c r="AE79" s="7"/>
      <c r="AF79" s="41"/>
      <c r="AG79" s="230"/>
      <c r="AH79" s="60">
        <v>5</v>
      </c>
      <c r="AI79" s="7"/>
      <c r="AK79" s="54"/>
      <c r="AL79" s="7"/>
      <c r="AM79" s="55"/>
    </row>
    <row r="80" customHeight="1" spans="1:39">
      <c r="A80" s="7"/>
      <c r="B80" s="73"/>
      <c r="C80" s="167"/>
      <c r="D80" s="167"/>
      <c r="E80" s="7"/>
      <c r="F80" s="49"/>
      <c r="G80" s="7"/>
      <c r="H80" s="49"/>
      <c r="I80" s="222"/>
      <c r="J80" s="68"/>
      <c r="K80" s="33"/>
      <c r="L80" s="43"/>
      <c r="M80" s="148" t="s">
        <v>138</v>
      </c>
      <c r="N80" s="7" t="s">
        <v>139</v>
      </c>
      <c r="O80" s="54">
        <v>46017</v>
      </c>
      <c r="P80" s="47" t="s">
        <v>35</v>
      </c>
      <c r="Q80" s="101">
        <v>42.58</v>
      </c>
      <c r="R80" s="13"/>
      <c r="S80" s="7"/>
      <c r="T80" s="7"/>
      <c r="U80" s="7"/>
      <c r="V80" s="7"/>
      <c r="W80" s="7"/>
      <c r="Y80" s="7"/>
      <c r="Z80" s="7"/>
      <c r="AA80" s="7"/>
      <c r="AB80" s="7"/>
      <c r="AC80" s="7"/>
      <c r="AD80" s="7"/>
      <c r="AE80" s="7"/>
      <c r="AF80" s="41"/>
      <c r="AG80" s="230"/>
      <c r="AH80" s="60">
        <v>6</v>
      </c>
      <c r="AI80" s="7"/>
      <c r="AK80" s="54"/>
      <c r="AL80" s="7"/>
      <c r="AM80" s="55"/>
    </row>
    <row r="81" customHeight="1" spans="1:39">
      <c r="A81" s="7"/>
      <c r="B81" s="73"/>
      <c r="C81" s="167"/>
      <c r="D81" s="167"/>
      <c r="E81" s="7"/>
      <c r="F81" s="49"/>
      <c r="G81" s="7"/>
      <c r="H81" s="49"/>
      <c r="I81" s="222"/>
      <c r="J81" s="68"/>
      <c r="K81" s="33"/>
      <c r="L81" s="43"/>
      <c r="M81" s="148" t="s">
        <v>140</v>
      </c>
      <c r="N81" s="7" t="s">
        <v>141</v>
      </c>
      <c r="O81" s="54">
        <v>46018</v>
      </c>
      <c r="P81" s="47" t="s">
        <v>23</v>
      </c>
      <c r="Q81" s="101">
        <v>53.88</v>
      </c>
      <c r="R81" s="13"/>
      <c r="S81" s="7"/>
      <c r="T81" s="7"/>
      <c r="U81" s="7"/>
      <c r="V81" s="7"/>
      <c r="W81" s="7"/>
      <c r="Y81" s="7"/>
      <c r="Z81" s="7"/>
      <c r="AA81" s="7"/>
      <c r="AB81" s="7"/>
      <c r="AC81" s="7"/>
      <c r="AD81" s="7"/>
      <c r="AE81" s="7"/>
      <c r="AF81" s="41"/>
      <c r="AG81" s="230"/>
      <c r="AH81" s="60">
        <v>7</v>
      </c>
      <c r="AI81" s="64"/>
      <c r="AJ81" s="64"/>
      <c r="AK81" s="61"/>
      <c r="AL81" s="7"/>
      <c r="AM81" s="115"/>
    </row>
    <row r="82" customHeight="1" spans="1:39">
      <c r="A82" s="7"/>
      <c r="B82" s="73"/>
      <c r="C82" s="167"/>
      <c r="D82" s="167"/>
      <c r="E82" s="7"/>
      <c r="F82" s="49"/>
      <c r="G82" s="7"/>
      <c r="H82" s="49"/>
      <c r="I82" s="222"/>
      <c r="J82" s="68"/>
      <c r="K82" s="33"/>
      <c r="L82" s="43"/>
      <c r="M82" s="148" t="s">
        <v>142</v>
      </c>
      <c r="N82" s="81" t="s">
        <v>87</v>
      </c>
      <c r="O82" s="54">
        <v>46021</v>
      </c>
      <c r="P82" s="7" t="s">
        <v>23</v>
      </c>
      <c r="Q82" s="101">
        <v>17.25</v>
      </c>
      <c r="R82" s="13"/>
      <c r="S82" s="7"/>
      <c r="T82" s="7"/>
      <c r="U82" s="7"/>
      <c r="V82" s="7"/>
      <c r="W82" s="7"/>
      <c r="Y82" s="7"/>
      <c r="Z82" s="7"/>
      <c r="AA82" s="7"/>
      <c r="AB82" s="7"/>
      <c r="AC82" s="7"/>
      <c r="AD82" s="7"/>
      <c r="AE82" s="7"/>
      <c r="AF82" s="90"/>
      <c r="AG82" s="230"/>
      <c r="AH82" s="60">
        <v>8</v>
      </c>
      <c r="AI82" s="234"/>
      <c r="AJ82" s="234"/>
      <c r="AK82" s="235"/>
      <c r="AL82" s="1"/>
      <c r="AM82" s="107"/>
    </row>
    <row r="83" customHeight="1" spans="1:39">
      <c r="A83" s="7"/>
      <c r="B83" s="73"/>
      <c r="C83" s="167"/>
      <c r="D83" s="167"/>
      <c r="E83" s="7"/>
      <c r="F83" s="7"/>
      <c r="G83" s="7"/>
      <c r="H83" s="96"/>
      <c r="I83" s="222"/>
      <c r="J83" s="68"/>
      <c r="K83" s="33"/>
      <c r="L83" s="43"/>
      <c r="M83" s="148" t="s">
        <v>143</v>
      </c>
      <c r="N83" s="227" t="s">
        <v>86</v>
      </c>
      <c r="O83" s="54">
        <v>46021</v>
      </c>
      <c r="P83" s="7"/>
      <c r="Q83" s="101">
        <v>360</v>
      </c>
      <c r="R83" s="13"/>
      <c r="S83" s="7"/>
      <c r="T83" s="7"/>
      <c r="U83" s="7"/>
      <c r="V83" s="7"/>
      <c r="W83" s="7"/>
      <c r="Y83" s="7"/>
      <c r="Z83" s="7"/>
      <c r="AA83" s="7"/>
      <c r="AB83" s="7"/>
      <c r="AC83" s="7"/>
      <c r="AD83" s="7"/>
      <c r="AE83" s="7"/>
      <c r="AF83" s="41"/>
      <c r="AG83" s="230"/>
      <c r="AH83" s="60">
        <v>9</v>
      </c>
      <c r="AI83" s="7"/>
      <c r="AJ83" s="7"/>
      <c r="AK83" s="54"/>
      <c r="AL83" s="7"/>
      <c r="AM83" s="55"/>
    </row>
    <row r="84" customHeight="1" spans="1:39">
      <c r="A84" s="7"/>
      <c r="B84" s="73"/>
      <c r="C84" s="167"/>
      <c r="D84" s="167"/>
      <c r="E84" s="7"/>
      <c r="F84" s="7"/>
      <c r="G84" s="7"/>
      <c r="H84" s="96"/>
      <c r="I84" s="222"/>
      <c r="J84" s="68"/>
      <c r="K84" s="33"/>
      <c r="L84" s="43"/>
      <c r="M84" s="189" t="s">
        <v>144</v>
      </c>
      <c r="N84" s="81" t="s">
        <v>145</v>
      </c>
      <c r="O84" s="54">
        <v>46021</v>
      </c>
      <c r="P84" s="7" t="s">
        <v>23</v>
      </c>
      <c r="Q84" s="74">
        <v>25</v>
      </c>
      <c r="R84" s="13"/>
      <c r="S84" s="7"/>
      <c r="T84" s="7"/>
      <c r="U84" s="7"/>
      <c r="V84" s="7"/>
      <c r="W84" s="7"/>
      <c r="Y84" s="7"/>
      <c r="Z84" s="7"/>
      <c r="AA84" s="7"/>
      <c r="AB84" s="7"/>
      <c r="AC84" s="7"/>
      <c r="AD84" s="7"/>
      <c r="AE84" s="7"/>
      <c r="AF84" s="41"/>
      <c r="AG84" s="230"/>
      <c r="AH84" s="60">
        <v>10</v>
      </c>
      <c r="AI84" s="7"/>
      <c r="AJ84" s="7"/>
      <c r="AK84" s="54"/>
      <c r="AL84" s="7"/>
      <c r="AM84" s="55"/>
    </row>
    <row r="85" customHeight="1" spans="1:39">
      <c r="A85" s="7"/>
      <c r="B85" s="73"/>
      <c r="C85" s="167"/>
      <c r="D85" s="167"/>
      <c r="E85" s="7"/>
      <c r="F85" s="7"/>
      <c r="G85" s="7"/>
      <c r="H85" s="96"/>
      <c r="I85" s="222"/>
      <c r="J85" s="68"/>
      <c r="K85" s="33"/>
      <c r="L85" s="43"/>
      <c r="M85" s="148" t="s">
        <v>146</v>
      </c>
      <c r="N85" s="81" t="s">
        <v>147</v>
      </c>
      <c r="O85" s="54">
        <v>46022</v>
      </c>
      <c r="P85" s="7"/>
      <c r="Q85" s="74">
        <v>600</v>
      </c>
      <c r="R85" s="13"/>
      <c r="S85" s="7"/>
      <c r="T85" s="7"/>
      <c r="U85" s="7"/>
      <c r="V85" s="7"/>
      <c r="W85" s="7"/>
      <c r="Y85" s="7"/>
      <c r="Z85" s="7"/>
      <c r="AA85" s="7"/>
      <c r="AB85" s="7"/>
      <c r="AC85" s="7"/>
      <c r="AD85" s="7"/>
      <c r="AE85" s="7"/>
      <c r="AF85" s="41"/>
      <c r="AG85" s="230"/>
      <c r="AH85" s="60">
        <v>11</v>
      </c>
      <c r="AI85" s="7"/>
      <c r="AJ85" s="7"/>
      <c r="AK85" s="54"/>
      <c r="AL85" s="7"/>
      <c r="AM85" s="55"/>
    </row>
    <row r="86" customHeight="1" spans="1:39">
      <c r="A86" s="7"/>
      <c r="B86" s="73"/>
      <c r="C86" s="167"/>
      <c r="D86" s="167"/>
      <c r="E86" s="7"/>
      <c r="F86" s="7"/>
      <c r="G86" s="7"/>
      <c r="H86" s="96"/>
      <c r="I86" s="222"/>
      <c r="J86" s="68"/>
      <c r="K86" s="33"/>
      <c r="L86" s="43"/>
      <c r="M86" s="148" t="s">
        <v>148</v>
      </c>
      <c r="N86" s="81"/>
      <c r="O86" s="49"/>
      <c r="P86" s="7"/>
      <c r="Q86" s="68"/>
      <c r="R86" s="13"/>
      <c r="S86" s="7"/>
      <c r="T86" s="7"/>
      <c r="U86" s="7"/>
      <c r="V86" s="7"/>
      <c r="W86" s="7"/>
      <c r="Y86" s="7"/>
      <c r="Z86" s="7"/>
      <c r="AA86" s="7"/>
      <c r="AB86" s="7"/>
      <c r="AC86" s="7"/>
      <c r="AD86" s="7"/>
      <c r="AE86" s="7"/>
      <c r="AF86" s="41"/>
      <c r="AG86" s="230"/>
      <c r="AH86" s="178">
        <v>13</v>
      </c>
      <c r="AI86" s="7"/>
      <c r="AJ86" s="7"/>
      <c r="AK86" s="54"/>
      <c r="AL86" s="7"/>
      <c r="AM86" s="55"/>
    </row>
    <row r="87" customHeight="1" spans="1:39">
      <c r="A87" s="7"/>
      <c r="B87" s="73"/>
      <c r="C87" s="167"/>
      <c r="D87" s="167"/>
      <c r="E87" s="7"/>
      <c r="F87" s="7"/>
      <c r="G87" s="7"/>
      <c r="H87" s="96"/>
      <c r="I87" s="222"/>
      <c r="J87" s="68"/>
      <c r="K87" s="33"/>
      <c r="L87" s="79"/>
      <c r="M87" s="236" t="s">
        <v>149</v>
      </c>
      <c r="N87" s="81"/>
      <c r="O87" s="49"/>
      <c r="P87" s="7"/>
      <c r="Q87" s="58"/>
      <c r="R87" s="13"/>
      <c r="S87" s="7"/>
      <c r="T87" s="7"/>
      <c r="U87" s="7"/>
      <c r="V87" s="7"/>
      <c r="W87" s="7"/>
      <c r="Y87" s="7"/>
      <c r="Z87" s="7"/>
      <c r="AA87" s="7"/>
      <c r="AB87" s="7"/>
      <c r="AC87" s="7"/>
      <c r="AD87" s="7"/>
      <c r="AE87" s="7"/>
      <c r="AF87" s="41"/>
      <c r="AG87" s="230"/>
      <c r="AH87" s="178">
        <v>14</v>
      </c>
      <c r="AI87" s="7"/>
      <c r="AJ87" s="7"/>
      <c r="AK87" s="54"/>
      <c r="AL87" s="7"/>
      <c r="AM87" s="55"/>
    </row>
    <row r="88" customHeight="1" spans="1:39">
      <c r="A88" s="7"/>
      <c r="B88" s="73"/>
      <c r="C88" s="167"/>
      <c r="D88" s="167"/>
      <c r="E88" s="7"/>
      <c r="F88" s="7"/>
      <c r="G88" s="7"/>
      <c r="H88" s="96"/>
      <c r="I88" s="222"/>
      <c r="J88" s="68"/>
      <c r="K88" s="33"/>
      <c r="L88" s="237" t="s">
        <v>150</v>
      </c>
      <c r="M88" s="53" t="s">
        <v>151</v>
      </c>
      <c r="N88" s="238" t="s">
        <v>152</v>
      </c>
      <c r="O88" s="61">
        <v>45992</v>
      </c>
      <c r="P88" s="64" t="s">
        <v>56</v>
      </c>
      <c r="Q88" s="101">
        <v>20</v>
      </c>
      <c r="R88" s="13"/>
      <c r="S88" s="7"/>
      <c r="T88" s="7"/>
      <c r="U88" s="7"/>
      <c r="V88" s="7"/>
      <c r="W88" s="7"/>
      <c r="Y88" s="7"/>
      <c r="Z88" s="7"/>
      <c r="AA88" s="7"/>
      <c r="AB88" s="7"/>
      <c r="AC88" s="7"/>
      <c r="AD88" s="7"/>
      <c r="AE88" s="7"/>
      <c r="AF88" s="41"/>
      <c r="AG88" s="230"/>
      <c r="AH88" s="178">
        <v>15</v>
      </c>
      <c r="AI88" s="7"/>
      <c r="AJ88" s="7"/>
      <c r="AK88" s="54"/>
      <c r="AL88" s="7"/>
      <c r="AM88" s="55"/>
    </row>
    <row r="89" customHeight="1" spans="1:39">
      <c r="A89" s="7"/>
      <c r="B89" s="73"/>
      <c r="C89" s="167"/>
      <c r="D89" s="167"/>
      <c r="E89" s="7"/>
      <c r="F89" s="7"/>
      <c r="G89" s="7"/>
      <c r="H89" s="96"/>
      <c r="I89" s="222"/>
      <c r="J89" s="68"/>
      <c r="K89" s="33"/>
      <c r="L89" s="43"/>
      <c r="M89" s="53" t="s">
        <v>153</v>
      </c>
      <c r="N89" s="7" t="s">
        <v>152</v>
      </c>
      <c r="O89" s="61">
        <v>45995</v>
      </c>
      <c r="P89" s="64" t="s">
        <v>56</v>
      </c>
      <c r="Q89" s="101">
        <v>20</v>
      </c>
      <c r="R89" s="13"/>
      <c r="S89" s="7"/>
      <c r="T89" s="7"/>
      <c r="U89" s="7"/>
      <c r="V89" s="7"/>
      <c r="W89" s="7"/>
      <c r="Y89" s="7"/>
      <c r="Z89" s="7"/>
      <c r="AA89" s="7"/>
      <c r="AB89" s="7"/>
      <c r="AC89" s="7"/>
      <c r="AD89" s="7"/>
      <c r="AE89" s="7"/>
      <c r="AF89" s="41"/>
      <c r="AG89" s="230"/>
      <c r="AH89" s="178">
        <v>16</v>
      </c>
      <c r="AI89" s="7"/>
      <c r="AK89" s="54"/>
      <c r="AL89" s="7"/>
      <c r="AM89" s="55"/>
    </row>
    <row r="90" customHeight="1" spans="1:39">
      <c r="A90" s="7"/>
      <c r="B90" s="73"/>
      <c r="C90" s="167"/>
      <c r="D90" s="167"/>
      <c r="E90" s="7"/>
      <c r="F90" s="7"/>
      <c r="G90" s="7"/>
      <c r="H90" s="96"/>
      <c r="I90" s="222"/>
      <c r="J90" s="68"/>
      <c r="K90" s="33"/>
      <c r="L90" s="43"/>
      <c r="M90" s="53" t="s">
        <v>154</v>
      </c>
      <c r="N90" s="238" t="s">
        <v>152</v>
      </c>
      <c r="O90" s="61">
        <v>45998</v>
      </c>
      <c r="P90" s="64" t="s">
        <v>56</v>
      </c>
      <c r="Q90" s="101">
        <v>20</v>
      </c>
      <c r="R90" s="13"/>
      <c r="S90" s="7"/>
      <c r="T90" s="7"/>
      <c r="U90" s="7"/>
      <c r="V90" s="7"/>
      <c r="W90" s="7"/>
      <c r="Y90" s="7"/>
      <c r="Z90" s="7"/>
      <c r="AA90" s="7"/>
      <c r="AB90" s="7"/>
      <c r="AC90" s="7"/>
      <c r="AD90" s="7"/>
      <c r="AE90" s="7"/>
      <c r="AF90" s="41"/>
      <c r="AG90" s="230"/>
      <c r="AH90" s="178">
        <v>17</v>
      </c>
      <c r="AI90" s="7"/>
      <c r="AJ90" s="7"/>
      <c r="AK90" s="54"/>
      <c r="AL90" s="7"/>
      <c r="AM90" s="55"/>
    </row>
    <row r="91" customHeight="1" spans="1:39">
      <c r="A91" s="7"/>
      <c r="B91" s="73"/>
      <c r="C91" s="167"/>
      <c r="D91" s="96"/>
      <c r="E91" s="7"/>
      <c r="F91" s="7"/>
      <c r="G91" s="7"/>
      <c r="H91" s="96"/>
      <c r="I91" s="222"/>
      <c r="J91" s="68"/>
      <c r="K91" s="33"/>
      <c r="L91" s="43"/>
      <c r="M91" s="53" t="s">
        <v>155</v>
      </c>
      <c r="N91" s="7" t="s">
        <v>152</v>
      </c>
      <c r="O91" s="61">
        <v>46001</v>
      </c>
      <c r="P91" s="64" t="s">
        <v>56</v>
      </c>
      <c r="Q91" s="101">
        <v>25</v>
      </c>
      <c r="R91" s="13"/>
      <c r="S91" s="7"/>
      <c r="T91" s="7"/>
      <c r="U91" s="7"/>
      <c r="V91" s="7"/>
      <c r="W91" s="7"/>
      <c r="Y91" s="7"/>
      <c r="Z91" s="7"/>
      <c r="AA91" s="7"/>
      <c r="AB91" s="7"/>
      <c r="AC91" s="7"/>
      <c r="AD91" s="7"/>
      <c r="AE91" s="7"/>
      <c r="AF91" s="41"/>
      <c r="AG91" s="230"/>
      <c r="AH91" s="60">
        <v>18</v>
      </c>
      <c r="AI91" s="7"/>
      <c r="AJ91" s="7"/>
      <c r="AK91" s="54"/>
      <c r="AL91" s="7"/>
      <c r="AM91" s="55"/>
    </row>
    <row r="92" customHeight="1" spans="1:39">
      <c r="A92" s="7"/>
      <c r="B92" s="73"/>
      <c r="C92" s="167"/>
      <c r="D92" s="96"/>
      <c r="E92" s="7"/>
      <c r="F92" s="7"/>
      <c r="G92" s="7"/>
      <c r="H92" s="96"/>
      <c r="I92" s="222"/>
      <c r="J92" s="68"/>
      <c r="K92" s="33"/>
      <c r="L92" s="43"/>
      <c r="M92" s="53" t="s">
        <v>156</v>
      </c>
      <c r="N92" s="64" t="s">
        <v>152</v>
      </c>
      <c r="O92" s="61">
        <v>46003</v>
      </c>
      <c r="P92" s="64" t="s">
        <v>56</v>
      </c>
      <c r="Q92" s="101">
        <v>25.23</v>
      </c>
      <c r="R92" s="13"/>
      <c r="S92" s="7"/>
      <c r="T92" s="7"/>
      <c r="U92" s="7"/>
      <c r="V92" s="7"/>
      <c r="W92" s="7"/>
      <c r="Y92" s="7"/>
      <c r="Z92" s="7"/>
      <c r="AA92" s="7"/>
      <c r="AB92" s="7"/>
      <c r="AC92" s="7"/>
      <c r="AD92" s="7"/>
      <c r="AE92" s="7"/>
      <c r="AF92" s="41"/>
      <c r="AG92" s="230"/>
      <c r="AH92" s="60">
        <v>19</v>
      </c>
      <c r="AI92" s="7"/>
      <c r="AJ92" s="7"/>
      <c r="AK92" s="54"/>
      <c r="AL92" s="7"/>
      <c r="AM92" s="55"/>
    </row>
    <row r="93" customHeight="1" spans="1:39">
      <c r="A93" s="7"/>
      <c r="B93" s="73"/>
      <c r="C93" s="167"/>
      <c r="D93" s="96"/>
      <c r="E93" s="7"/>
      <c r="F93" s="7"/>
      <c r="G93" s="7"/>
      <c r="H93" s="96"/>
      <c r="I93" s="222"/>
      <c r="J93" s="68"/>
      <c r="K93" s="33"/>
      <c r="L93" s="43"/>
      <c r="M93" s="53" t="s">
        <v>157</v>
      </c>
      <c r="N93" s="64" t="s">
        <v>152</v>
      </c>
      <c r="O93" s="61">
        <v>46004</v>
      </c>
      <c r="P93" s="64" t="s">
        <v>56</v>
      </c>
      <c r="Q93" s="101">
        <v>20</v>
      </c>
      <c r="R93" s="13"/>
      <c r="S93" s="7"/>
      <c r="T93" s="7"/>
      <c r="U93" s="7"/>
      <c r="V93" s="7"/>
      <c r="W93" s="7"/>
      <c r="Y93" s="7"/>
      <c r="Z93" s="7"/>
      <c r="AA93" s="7"/>
      <c r="AB93" s="7"/>
      <c r="AC93" s="7"/>
      <c r="AD93" s="7"/>
      <c r="AE93" s="7"/>
      <c r="AF93" s="41"/>
      <c r="AG93" s="230"/>
      <c r="AH93" s="60">
        <v>20</v>
      </c>
      <c r="AI93" s="7"/>
      <c r="AJ93" s="7"/>
      <c r="AK93" s="54"/>
      <c r="AL93" s="7"/>
      <c r="AM93" s="55"/>
    </row>
    <row r="94" customHeight="1" spans="1:39">
      <c r="A94" s="7"/>
      <c r="B94" s="73"/>
      <c r="C94" s="167"/>
      <c r="D94" s="96"/>
      <c r="E94" s="7"/>
      <c r="F94" s="7"/>
      <c r="G94" s="7"/>
      <c r="H94" s="96"/>
      <c r="I94" s="222"/>
      <c r="J94" s="68"/>
      <c r="K94" s="33"/>
      <c r="L94" s="43"/>
      <c r="M94" s="53" t="s">
        <v>158</v>
      </c>
      <c r="N94" s="64" t="s">
        <v>152</v>
      </c>
      <c r="O94" s="61">
        <v>46008</v>
      </c>
      <c r="P94" s="64" t="s">
        <v>56</v>
      </c>
      <c r="Q94" s="101">
        <v>25</v>
      </c>
      <c r="R94" s="13"/>
      <c r="S94" s="7"/>
      <c r="T94" s="7"/>
      <c r="U94" s="7"/>
      <c r="V94" s="7"/>
      <c r="W94" s="7"/>
      <c r="Y94" s="7"/>
      <c r="Z94" s="7"/>
      <c r="AA94" s="7"/>
      <c r="AB94" s="7"/>
      <c r="AC94" s="7"/>
      <c r="AD94" s="7"/>
      <c r="AE94" s="7"/>
      <c r="AF94" s="41"/>
      <c r="AG94" s="230"/>
      <c r="AH94" s="60">
        <v>21</v>
      </c>
      <c r="AI94" s="7"/>
      <c r="AJ94" s="7"/>
      <c r="AK94" s="54"/>
      <c r="AL94" s="7"/>
      <c r="AM94" s="55"/>
    </row>
    <row r="95" customHeight="1" spans="1:39">
      <c r="A95" s="7"/>
      <c r="B95" s="49"/>
      <c r="C95" s="167"/>
      <c r="D95" s="96"/>
      <c r="E95" s="7"/>
      <c r="F95" s="7"/>
      <c r="G95" s="7"/>
      <c r="H95" s="96"/>
      <c r="I95" s="222"/>
      <c r="J95" s="96"/>
      <c r="K95" s="33"/>
      <c r="L95" s="43"/>
      <c r="M95" s="53" t="s">
        <v>159</v>
      </c>
      <c r="N95" s="7" t="s">
        <v>152</v>
      </c>
      <c r="O95" s="61">
        <v>46010</v>
      </c>
      <c r="P95" s="64" t="s">
        <v>56</v>
      </c>
      <c r="Q95" s="101">
        <v>20</v>
      </c>
      <c r="R95" s="13"/>
      <c r="S95" s="7"/>
      <c r="T95" s="7"/>
      <c r="U95" s="7"/>
      <c r="V95" s="7"/>
      <c r="W95" s="7"/>
      <c r="Y95" s="7"/>
      <c r="Z95" s="7"/>
      <c r="AA95" s="7"/>
      <c r="AB95" s="7"/>
      <c r="AC95" s="7"/>
      <c r="AD95" s="7"/>
      <c r="AE95" s="7"/>
      <c r="AF95" s="41"/>
      <c r="AG95" s="230"/>
      <c r="AH95" s="60">
        <v>22</v>
      </c>
      <c r="AI95" s="7"/>
      <c r="AJ95" s="7"/>
      <c r="AK95" s="54"/>
      <c r="AL95" s="7"/>
      <c r="AM95" s="55"/>
    </row>
    <row r="96" customHeight="1" spans="1:39">
      <c r="A96" s="7"/>
      <c r="B96" s="7"/>
      <c r="C96" s="167"/>
      <c r="D96" s="7"/>
      <c r="E96" s="7"/>
      <c r="F96" s="7"/>
      <c r="G96" s="7"/>
      <c r="H96" s="7"/>
      <c r="I96" s="7"/>
      <c r="J96" s="7"/>
      <c r="K96" s="225"/>
      <c r="L96" s="43"/>
      <c r="M96" s="53" t="s">
        <v>160</v>
      </c>
      <c r="N96" s="64" t="s">
        <v>152</v>
      </c>
      <c r="O96" s="61">
        <v>46011</v>
      </c>
      <c r="P96" s="64" t="s">
        <v>56</v>
      </c>
      <c r="Q96" s="101">
        <v>20</v>
      </c>
      <c r="R96" s="13"/>
      <c r="S96" s="7"/>
      <c r="T96" s="7"/>
      <c r="U96" s="7"/>
      <c r="V96" s="7"/>
      <c r="W96" s="7"/>
      <c r="Y96" s="7"/>
      <c r="Z96" s="7"/>
      <c r="AA96" s="7"/>
      <c r="AB96" s="7"/>
      <c r="AC96" s="7"/>
      <c r="AD96" s="7"/>
      <c r="AE96" s="7"/>
      <c r="AF96" s="41"/>
      <c r="AG96" s="230"/>
      <c r="AH96" s="60">
        <v>23</v>
      </c>
      <c r="AI96" s="7"/>
      <c r="AJ96" s="7"/>
      <c r="AK96" s="54"/>
      <c r="AL96" s="7"/>
      <c r="AM96" s="55"/>
    </row>
    <row r="97" customHeight="1" spans="1:39">
      <c r="A97" s="7"/>
      <c r="B97" s="7"/>
      <c r="C97" s="167"/>
      <c r="D97" s="7"/>
      <c r="E97" s="7"/>
      <c r="F97" s="7"/>
      <c r="G97" s="7"/>
      <c r="H97" s="7"/>
      <c r="I97" s="7"/>
      <c r="J97" s="7"/>
      <c r="K97" s="225"/>
      <c r="L97" s="43"/>
      <c r="M97" s="53" t="s">
        <v>161</v>
      </c>
      <c r="N97" s="7" t="s">
        <v>152</v>
      </c>
      <c r="O97" s="61">
        <v>46015</v>
      </c>
      <c r="P97" s="64" t="s">
        <v>56</v>
      </c>
      <c r="Q97" s="101">
        <v>25.23</v>
      </c>
      <c r="R97" s="13"/>
      <c r="S97" s="7"/>
      <c r="T97" s="7"/>
      <c r="U97" s="7"/>
      <c r="V97" s="7"/>
      <c r="W97" s="7"/>
      <c r="Y97" s="7"/>
      <c r="Z97" s="7"/>
      <c r="AA97" s="7"/>
      <c r="AB97" s="7"/>
      <c r="AC97" s="7"/>
      <c r="AD97" s="7"/>
      <c r="AE97" s="7"/>
      <c r="AF97" s="41"/>
      <c r="AG97" s="230"/>
      <c r="AH97" s="60">
        <v>24</v>
      </c>
      <c r="AI97" s="7"/>
      <c r="AJ97" s="7"/>
      <c r="AK97" s="54"/>
      <c r="AL97" s="7"/>
      <c r="AM97" s="55"/>
    </row>
    <row r="98" customHeight="1" spans="1:39">
      <c r="A98" s="7"/>
      <c r="B98" s="7"/>
      <c r="C98" s="167"/>
      <c r="D98" s="7"/>
      <c r="E98" s="7"/>
      <c r="F98" s="7"/>
      <c r="G98" s="7"/>
      <c r="H98" s="7"/>
      <c r="I98" s="7"/>
      <c r="J98" s="7"/>
      <c r="K98" s="225"/>
      <c r="L98" s="43"/>
      <c r="M98" s="53" t="s">
        <v>162</v>
      </c>
      <c r="N98" s="7" t="s">
        <v>152</v>
      </c>
      <c r="O98" s="61">
        <v>46017</v>
      </c>
      <c r="P98" s="64" t="s">
        <v>56</v>
      </c>
      <c r="Q98" s="101">
        <v>25.23</v>
      </c>
      <c r="R98" s="13"/>
      <c r="S98" s="7"/>
      <c r="T98" s="7"/>
      <c r="U98" s="7"/>
      <c r="V98" s="7"/>
      <c r="W98" s="7"/>
      <c r="Y98" s="7"/>
      <c r="Z98" s="7"/>
      <c r="AA98" s="7"/>
      <c r="AB98" s="7"/>
      <c r="AC98" s="7"/>
      <c r="AD98" s="7"/>
      <c r="AE98" s="7"/>
      <c r="AF98" s="29"/>
      <c r="AG98" s="230"/>
      <c r="AH98" s="60">
        <v>25</v>
      </c>
      <c r="AI98" s="7"/>
      <c r="AJ98" s="7"/>
      <c r="AK98" s="54"/>
      <c r="AL98" s="7"/>
      <c r="AM98" s="55"/>
    </row>
    <row r="99" customHeight="1" spans="1:39">
      <c r="A99" s="7"/>
      <c r="B99" s="7"/>
      <c r="C99" s="167"/>
      <c r="D99" s="7"/>
      <c r="E99" s="7"/>
      <c r="F99" s="7"/>
      <c r="G99" s="7"/>
      <c r="H99" s="7"/>
      <c r="I99" s="7"/>
      <c r="J99" s="7"/>
      <c r="K99" s="33"/>
      <c r="L99" s="43"/>
      <c r="M99" s="53" t="s">
        <v>163</v>
      </c>
      <c r="N99" s="7" t="s">
        <v>152</v>
      </c>
      <c r="O99" s="7"/>
      <c r="P99" s="7"/>
      <c r="Q99" s="7"/>
      <c r="R99" s="13"/>
      <c r="S99" s="96"/>
      <c r="T99" s="96"/>
      <c r="U99" s="96"/>
      <c r="V99" s="96"/>
      <c r="W99" s="96"/>
      <c r="Y99" s="7"/>
      <c r="Z99" s="7"/>
      <c r="AA99" s="7"/>
      <c r="AB99" s="7"/>
      <c r="AC99" s="7"/>
      <c r="AD99" s="7"/>
      <c r="AE99" s="7"/>
      <c r="AF99" s="29"/>
      <c r="AG99" s="230"/>
      <c r="AH99" s="60">
        <v>26</v>
      </c>
      <c r="AI99" s="7"/>
      <c r="AJ99" s="7"/>
      <c r="AK99" s="54"/>
      <c r="AL99" s="7"/>
      <c r="AM99" s="55"/>
    </row>
    <row r="100" customHeight="1" spans="1:39">
      <c r="A100" s="7"/>
      <c r="B100" s="7"/>
      <c r="C100" s="167"/>
      <c r="D100" s="7"/>
      <c r="E100" s="7"/>
      <c r="F100" s="7"/>
      <c r="G100" s="7"/>
      <c r="H100" s="7"/>
      <c r="I100" s="7"/>
      <c r="J100" s="7"/>
      <c r="K100" s="33"/>
      <c r="L100" s="43"/>
      <c r="M100" s="53" t="s">
        <v>164</v>
      </c>
      <c r="N100" s="7"/>
      <c r="O100" s="49"/>
      <c r="P100" s="64"/>
      <c r="Q100" s="68"/>
      <c r="R100" s="13"/>
      <c r="S100" s="96"/>
      <c r="T100" s="96"/>
      <c r="U100" s="96"/>
      <c r="V100" s="96"/>
      <c r="W100" s="96"/>
      <c r="Y100" s="7"/>
      <c r="Z100" s="7"/>
      <c r="AA100" s="7"/>
      <c r="AB100" s="7"/>
      <c r="AC100" s="7"/>
      <c r="AD100" s="7"/>
      <c r="AE100" s="7"/>
      <c r="AF100" s="29"/>
      <c r="AG100" s="239" t="s">
        <v>165</v>
      </c>
      <c r="AH100" s="60">
        <v>27</v>
      </c>
      <c r="AI100" s="7"/>
      <c r="AJ100" s="7"/>
      <c r="AK100" s="54"/>
      <c r="AL100" s="7"/>
      <c r="AM100" s="55"/>
    </row>
    <row r="101" customHeight="1" spans="1:39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33"/>
      <c r="L101" s="56"/>
      <c r="M101" s="7"/>
      <c r="N101" s="7"/>
      <c r="O101" s="56"/>
      <c r="P101" s="240" t="s">
        <v>96</v>
      </c>
      <c r="Q101" s="124">
        <f>SUMIF(P4:P100,"Efectivo",Q4:Q100)</f>
        <v>263.69</v>
      </c>
      <c r="R101" s="13"/>
      <c r="S101" s="96"/>
      <c r="T101" s="96"/>
      <c r="U101" s="96"/>
      <c r="V101" s="96"/>
      <c r="W101" s="96"/>
      <c r="Y101" s="7"/>
      <c r="Z101" s="7"/>
      <c r="AA101" s="7"/>
      <c r="AB101" s="7"/>
      <c r="AC101" s="7"/>
      <c r="AD101" s="7"/>
      <c r="AE101" s="7"/>
      <c r="AF101" s="29"/>
      <c r="AG101" s="230"/>
      <c r="AH101" s="60">
        <v>28</v>
      </c>
      <c r="AI101" s="7"/>
      <c r="AJ101" s="7"/>
      <c r="AK101" s="54"/>
      <c r="AL101" s="7"/>
      <c r="AM101" s="55"/>
    </row>
    <row r="102" customHeight="1" spans="1:39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225"/>
      <c r="L102" s="56"/>
      <c r="M102" s="7"/>
      <c r="N102" s="7"/>
      <c r="O102" s="56"/>
      <c r="P102" s="127" t="s">
        <v>99</v>
      </c>
      <c r="Q102" s="128">
        <f>SUMIF(P4:P100,"Pichincha",Q4:Q100)</f>
        <v>3392.22</v>
      </c>
      <c r="R102" s="13"/>
      <c r="S102" s="96"/>
      <c r="T102" s="96"/>
      <c r="U102" s="96"/>
      <c r="V102" s="96"/>
      <c r="W102" s="96"/>
      <c r="Y102" s="7"/>
      <c r="Z102" s="7"/>
      <c r="AA102" s="7"/>
      <c r="AB102" s="7"/>
      <c r="AC102" s="7"/>
      <c r="AD102" s="7"/>
      <c r="AE102" s="7"/>
      <c r="AF102" s="29"/>
      <c r="AG102" s="230"/>
      <c r="AH102" s="181">
        <v>1</v>
      </c>
      <c r="AI102" s="64"/>
      <c r="AJ102" s="64"/>
      <c r="AK102" s="61"/>
      <c r="AL102" s="64"/>
      <c r="AM102" s="115"/>
    </row>
    <row r="103" customHeight="1" spans="1:39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33"/>
      <c r="L103" s="34"/>
      <c r="M103" s="1"/>
      <c r="N103" s="1"/>
      <c r="O103" s="34"/>
      <c r="P103" s="127" t="s">
        <v>102</v>
      </c>
      <c r="Q103" s="128">
        <f>SUMIF(P4:P100,"JEP",Q4:Q100)</f>
        <v>526.24</v>
      </c>
      <c r="R103" s="13"/>
      <c r="S103" s="96"/>
      <c r="T103" s="96"/>
      <c r="U103" s="96"/>
      <c r="V103" s="96"/>
      <c r="W103" s="96"/>
      <c r="Y103" s="7"/>
      <c r="Z103" s="7"/>
      <c r="AA103" s="7"/>
      <c r="AB103" s="7"/>
      <c r="AC103" s="7"/>
      <c r="AD103" s="7"/>
      <c r="AE103" s="7"/>
      <c r="AF103" s="29"/>
      <c r="AG103" s="230"/>
      <c r="AH103" s="60">
        <v>2</v>
      </c>
      <c r="AI103" s="7"/>
      <c r="AJ103" s="7"/>
      <c r="AK103" s="54"/>
      <c r="AL103" s="7"/>
      <c r="AM103" s="55"/>
    </row>
    <row r="104" customHeight="1" spans="1:39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33"/>
      <c r="L104" s="120"/>
      <c r="M104" s="120"/>
      <c r="N104" s="121" t="s">
        <v>68</v>
      </c>
      <c r="O104" s="120"/>
      <c r="P104" s="120"/>
      <c r="Q104" s="144"/>
      <c r="R104" s="13"/>
      <c r="S104" s="96"/>
      <c r="T104" s="96"/>
      <c r="U104" s="96"/>
      <c r="V104" s="96"/>
      <c r="W104" s="96"/>
      <c r="Y104" s="7"/>
      <c r="Z104" s="7"/>
      <c r="AA104" s="7"/>
      <c r="AB104" s="7"/>
      <c r="AC104" s="7"/>
      <c r="AD104" s="7"/>
      <c r="AE104" s="7"/>
      <c r="AF104" s="29"/>
      <c r="AG104" s="230"/>
      <c r="AH104" s="60">
        <v>3</v>
      </c>
      <c r="AI104" s="227"/>
      <c r="AK104" s="54"/>
      <c r="AL104" s="7"/>
      <c r="AM104" s="101"/>
    </row>
    <row r="105" customHeight="1" spans="1:39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33"/>
      <c r="L105" s="34"/>
      <c r="M105" s="31" t="s">
        <v>18</v>
      </c>
      <c r="N105" s="31" t="s">
        <v>166</v>
      </c>
      <c r="O105" s="31" t="s">
        <v>13</v>
      </c>
      <c r="P105" s="31" t="s">
        <v>14</v>
      </c>
      <c r="Q105" s="111" t="s">
        <v>15</v>
      </c>
      <c r="R105" s="13"/>
      <c r="S105" s="96"/>
      <c r="T105" s="96"/>
      <c r="U105" s="96"/>
      <c r="V105" s="96"/>
      <c r="W105" s="96"/>
      <c r="Y105" s="7"/>
      <c r="Z105" s="7"/>
      <c r="AA105" s="7"/>
      <c r="AB105" s="7"/>
      <c r="AC105" s="7"/>
      <c r="AD105" s="7"/>
      <c r="AE105" s="7"/>
      <c r="AF105" s="29"/>
      <c r="AG105" s="230"/>
      <c r="AH105" s="60">
        <v>4</v>
      </c>
      <c r="AI105" s="7"/>
      <c r="AJ105" s="7"/>
      <c r="AK105" s="54"/>
      <c r="AL105" s="7"/>
      <c r="AM105" s="101"/>
    </row>
    <row r="106" customHeight="1" spans="1:39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33"/>
      <c r="L106" s="152" t="s">
        <v>167</v>
      </c>
      <c r="M106" s="69">
        <v>1</v>
      </c>
      <c r="N106" s="47" t="s">
        <v>23</v>
      </c>
      <c r="O106" s="135">
        <v>46014</v>
      </c>
      <c r="P106" s="47" t="s">
        <v>56</v>
      </c>
      <c r="Q106" s="101">
        <v>1051.3</v>
      </c>
      <c r="R106" s="13"/>
      <c r="S106" s="96"/>
      <c r="T106" s="96"/>
      <c r="U106" s="96"/>
      <c r="V106" s="96"/>
      <c r="W106" s="96"/>
      <c r="Y106" s="7"/>
      <c r="Z106" s="7"/>
      <c r="AA106" s="7"/>
      <c r="AB106" s="7"/>
      <c r="AC106" s="7"/>
      <c r="AD106" s="7"/>
      <c r="AE106" s="7"/>
      <c r="AF106" s="29"/>
      <c r="AG106" s="241"/>
      <c r="AH106" s="60">
        <v>5</v>
      </c>
      <c r="AI106" s="7"/>
      <c r="AK106" s="54"/>
      <c r="AL106" s="7"/>
      <c r="AM106" s="101"/>
    </row>
    <row r="107" customHeight="1" spans="1:39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33"/>
      <c r="L107" s="43"/>
      <c r="M107" s="69">
        <v>2</v>
      </c>
      <c r="N107" s="47" t="s">
        <v>23</v>
      </c>
      <c r="O107" s="135">
        <v>46016</v>
      </c>
      <c r="P107" s="47" t="s">
        <v>35</v>
      </c>
      <c r="Q107" s="101">
        <v>965.11</v>
      </c>
      <c r="R107" s="13"/>
      <c r="S107" s="96"/>
      <c r="T107" s="96"/>
      <c r="U107" s="96"/>
      <c r="V107" s="96"/>
      <c r="W107" s="96"/>
      <c r="Y107" s="7"/>
      <c r="Z107" s="7"/>
      <c r="AA107" s="7"/>
      <c r="AB107" s="7"/>
      <c r="AC107" s="7"/>
      <c r="AD107" s="7"/>
      <c r="AE107" s="7"/>
      <c r="AF107" s="7"/>
      <c r="AG107" s="228" t="s">
        <v>168</v>
      </c>
      <c r="AH107" s="60">
        <v>6</v>
      </c>
      <c r="AI107" s="7"/>
      <c r="AK107" s="54"/>
      <c r="AL107" s="7"/>
      <c r="AM107" s="101"/>
    </row>
    <row r="108" customHeight="1" spans="1:39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33"/>
      <c r="L108" s="43"/>
      <c r="M108" s="69">
        <v>3</v>
      </c>
      <c r="N108" s="47" t="s">
        <v>35</v>
      </c>
      <c r="O108" s="135">
        <v>46020</v>
      </c>
      <c r="P108" s="47" t="s">
        <v>56</v>
      </c>
      <c r="Q108" s="101">
        <v>559.94</v>
      </c>
      <c r="R108" s="13"/>
      <c r="S108" s="7"/>
      <c r="T108" s="7"/>
      <c r="U108" s="7"/>
      <c r="V108" s="7"/>
      <c r="W108" s="7"/>
      <c r="Y108" s="7"/>
      <c r="Z108" s="7"/>
      <c r="AA108" s="7"/>
      <c r="AB108" s="7"/>
      <c r="AC108" s="7"/>
      <c r="AD108" s="7"/>
      <c r="AE108" s="7"/>
      <c r="AF108" s="7"/>
      <c r="AG108" s="230"/>
      <c r="AH108" s="181">
        <v>1</v>
      </c>
      <c r="AI108" s="64"/>
      <c r="AJ108" s="64"/>
      <c r="AK108" s="61"/>
      <c r="AL108" s="64"/>
      <c r="AM108" s="115"/>
    </row>
    <row r="109" customHeight="1" spans="1:3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33"/>
      <c r="L109" s="43"/>
      <c r="M109" s="69">
        <v>4</v>
      </c>
      <c r="N109" s="7"/>
      <c r="O109" s="73"/>
      <c r="P109" s="7"/>
      <c r="Q109" s="68"/>
      <c r="R109" s="13"/>
      <c r="S109" s="7"/>
      <c r="T109" s="7"/>
      <c r="U109" s="7"/>
      <c r="V109" s="7"/>
      <c r="W109" s="7"/>
      <c r="Y109" s="7"/>
      <c r="Z109" s="7"/>
      <c r="AA109" s="7"/>
      <c r="AB109" s="7"/>
      <c r="AC109" s="7"/>
      <c r="AD109" s="7"/>
      <c r="AE109" s="7"/>
      <c r="AF109" s="7"/>
      <c r="AG109" s="230"/>
      <c r="AH109" s="60">
        <v>2</v>
      </c>
      <c r="AI109" s="7"/>
      <c r="AJ109" s="7"/>
      <c r="AK109" s="54"/>
      <c r="AL109" s="7"/>
      <c r="AM109" s="55"/>
    </row>
    <row r="110" customHeight="1" spans="1:39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33"/>
      <c r="L110" s="43"/>
      <c r="M110" s="69">
        <v>5</v>
      </c>
      <c r="N110" s="7"/>
      <c r="O110" s="49"/>
      <c r="P110" s="7"/>
      <c r="Q110" s="68"/>
      <c r="R110" s="13"/>
      <c r="S110" s="7"/>
      <c r="T110" s="7"/>
      <c r="U110" s="7"/>
      <c r="V110" s="7"/>
      <c r="W110" s="7"/>
      <c r="Y110" s="7"/>
      <c r="Z110" s="7"/>
      <c r="AA110" s="7"/>
      <c r="AB110" s="7"/>
      <c r="AC110" s="7"/>
      <c r="AD110" s="7"/>
      <c r="AE110" s="7"/>
      <c r="AF110" s="7"/>
      <c r="AG110" s="230"/>
      <c r="AH110" s="60">
        <v>3</v>
      </c>
      <c r="AI110" s="7"/>
      <c r="AJ110" s="7"/>
      <c r="AK110" s="54"/>
      <c r="AL110" s="7"/>
      <c r="AM110" s="242"/>
    </row>
    <row r="111" customHeight="1" spans="1:39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33"/>
      <c r="L111" s="43"/>
      <c r="M111" s="69">
        <v>6</v>
      </c>
      <c r="N111" s="7"/>
      <c r="O111" s="49"/>
      <c r="P111" s="7"/>
      <c r="Q111" s="68"/>
      <c r="R111" s="13"/>
      <c r="S111" s="7"/>
      <c r="T111" s="7"/>
      <c r="U111" s="7"/>
      <c r="V111" s="7"/>
      <c r="W111" s="7"/>
      <c r="Y111" s="7"/>
      <c r="Z111" s="7"/>
      <c r="AA111" s="7"/>
      <c r="AB111" s="7"/>
      <c r="AC111" s="7"/>
      <c r="AD111" s="7"/>
      <c r="AE111" s="7"/>
      <c r="AF111" s="7"/>
      <c r="AG111" s="230"/>
      <c r="AH111" s="60">
        <v>4</v>
      </c>
      <c r="AI111" s="7"/>
      <c r="AJ111" s="7"/>
      <c r="AK111" s="54"/>
      <c r="AL111" s="7"/>
      <c r="AM111" s="55"/>
    </row>
    <row r="112" customHeight="1" spans="1:39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33"/>
      <c r="L112" s="43"/>
      <c r="M112" s="69">
        <v>7</v>
      </c>
      <c r="N112" s="7"/>
      <c r="O112" s="49"/>
      <c r="P112" s="7"/>
      <c r="Q112" s="68"/>
      <c r="R112" s="13"/>
      <c r="S112" s="7"/>
      <c r="T112" s="7"/>
      <c r="U112" s="7"/>
      <c r="V112" s="7"/>
      <c r="W112" s="7"/>
      <c r="Y112" s="7"/>
      <c r="Z112" s="7"/>
      <c r="AA112" s="7"/>
      <c r="AB112" s="7"/>
      <c r="AC112" s="7"/>
      <c r="AD112" s="7"/>
      <c r="AE112" s="7"/>
      <c r="AF112" s="7"/>
      <c r="AG112" s="230"/>
      <c r="AH112" s="60">
        <v>5</v>
      </c>
      <c r="AI112" s="7"/>
      <c r="AJ112" s="7"/>
      <c r="AK112" s="54"/>
      <c r="AL112" s="7"/>
      <c r="AM112" s="55"/>
    </row>
    <row r="113" customHeight="1" spans="1:39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33"/>
      <c r="L113" s="43"/>
      <c r="M113" s="69">
        <v>8</v>
      </c>
      <c r="N113" s="7"/>
      <c r="O113" s="49"/>
      <c r="P113" s="7"/>
      <c r="Q113" s="68"/>
      <c r="R113" s="13"/>
      <c r="S113" s="7"/>
      <c r="T113" s="7"/>
      <c r="U113" s="7"/>
      <c r="V113" s="7"/>
      <c r="W113" s="7"/>
      <c r="Y113" s="7"/>
      <c r="Z113" s="7"/>
      <c r="AA113" s="7"/>
      <c r="AB113" s="7"/>
      <c r="AC113" s="7"/>
      <c r="AD113" s="7"/>
      <c r="AE113" s="7"/>
      <c r="AF113" s="7"/>
      <c r="AG113" s="230"/>
      <c r="AH113" s="60">
        <v>6</v>
      </c>
      <c r="AI113" s="7"/>
      <c r="AJ113" s="7"/>
      <c r="AK113" s="54"/>
      <c r="AL113" s="7"/>
      <c r="AM113" s="55"/>
    </row>
    <row r="114" customHeight="1" spans="1:39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33"/>
      <c r="L114" s="43"/>
      <c r="M114" s="69">
        <v>9</v>
      </c>
      <c r="N114" s="7"/>
      <c r="O114" s="49"/>
      <c r="P114" s="7"/>
      <c r="Q114" s="68"/>
      <c r="R114" s="13"/>
      <c r="S114" s="96"/>
      <c r="T114" s="96"/>
      <c r="U114" s="96"/>
      <c r="V114" s="96"/>
      <c r="W114" s="96"/>
      <c r="Y114" s="7"/>
      <c r="Z114" s="7"/>
      <c r="AA114" s="7"/>
      <c r="AB114" s="7"/>
      <c r="AC114" s="7"/>
      <c r="AD114" s="7"/>
      <c r="AE114" s="7"/>
      <c r="AF114" s="7"/>
      <c r="AG114" s="241"/>
      <c r="AH114" s="60">
        <v>7</v>
      </c>
      <c r="AI114" s="7"/>
      <c r="AJ114" s="7"/>
      <c r="AK114" s="54"/>
      <c r="AL114" s="7"/>
      <c r="AM114" s="55"/>
    </row>
    <row r="115" customHeight="1" spans="1:39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33"/>
      <c r="L115" s="43"/>
      <c r="M115" s="69">
        <v>10</v>
      </c>
      <c r="N115" s="7"/>
      <c r="O115" s="49"/>
      <c r="P115" s="7"/>
      <c r="Q115" s="68"/>
      <c r="R115" s="13"/>
      <c r="S115" s="96"/>
      <c r="T115" s="96"/>
      <c r="U115" s="96"/>
      <c r="V115" s="96"/>
      <c r="W115" s="96"/>
      <c r="Y115" s="7"/>
      <c r="Z115" s="7"/>
      <c r="AA115" s="7"/>
      <c r="AB115" s="7"/>
      <c r="AC115" s="7"/>
      <c r="AD115" s="7"/>
      <c r="AE115" s="7"/>
      <c r="AF115" s="7"/>
      <c r="AG115" s="228" t="s">
        <v>169</v>
      </c>
      <c r="AH115" s="181">
        <v>1</v>
      </c>
      <c r="AI115" s="64"/>
      <c r="AJ115" s="64"/>
      <c r="AK115" s="61"/>
      <c r="AL115" s="108"/>
      <c r="AM115" s="243"/>
    </row>
    <row r="116" customHeight="1" spans="1:39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33"/>
      <c r="L116" s="43"/>
      <c r="M116" s="69">
        <v>11</v>
      </c>
      <c r="N116" s="7"/>
      <c r="O116" s="49"/>
      <c r="P116" s="7"/>
      <c r="Q116" s="68"/>
      <c r="R116" s="13"/>
      <c r="S116" s="96"/>
      <c r="T116" s="96"/>
      <c r="U116" s="96"/>
      <c r="V116" s="96"/>
      <c r="W116" s="96"/>
      <c r="Y116" s="7"/>
      <c r="Z116" s="7"/>
      <c r="AA116" s="7"/>
      <c r="AB116" s="7"/>
      <c r="AC116" s="7"/>
      <c r="AD116" s="7"/>
      <c r="AE116" s="7"/>
      <c r="AF116" s="7"/>
      <c r="AG116" s="230"/>
      <c r="AH116" s="60">
        <v>2</v>
      </c>
      <c r="AI116" s="7"/>
      <c r="AJ116" s="7"/>
      <c r="AK116" s="54"/>
      <c r="AL116" s="7"/>
      <c r="AM116" s="170"/>
    </row>
    <row r="117" customHeight="1" spans="1:39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33"/>
      <c r="L117" s="43"/>
      <c r="M117" s="69">
        <v>12</v>
      </c>
      <c r="N117" s="7"/>
      <c r="O117" s="49"/>
      <c r="P117" s="7"/>
      <c r="Q117" s="68"/>
      <c r="R117" s="13"/>
      <c r="S117" s="96"/>
      <c r="T117" s="96"/>
      <c r="U117" s="96"/>
      <c r="V117" s="96"/>
      <c r="W117" s="96"/>
      <c r="Y117" s="7"/>
      <c r="Z117" s="7"/>
      <c r="AA117" s="7"/>
      <c r="AB117" s="7"/>
      <c r="AC117" s="7"/>
      <c r="AD117" s="7"/>
      <c r="AE117" s="7"/>
      <c r="AF117" s="7"/>
      <c r="AG117" s="230"/>
      <c r="AH117" s="60">
        <v>3</v>
      </c>
      <c r="AI117" s="7"/>
      <c r="AJ117" s="7"/>
      <c r="AK117" s="54"/>
      <c r="AL117" s="7"/>
      <c r="AM117" s="55"/>
    </row>
    <row r="118" customHeight="1" spans="1:39">
      <c r="A118" s="7"/>
      <c r="B118" s="7"/>
      <c r="C118" s="7"/>
      <c r="D118" s="7"/>
      <c r="E118" s="7"/>
      <c r="F118" s="7"/>
      <c r="G118" s="7"/>
      <c r="H118" s="96"/>
      <c r="I118" s="96"/>
      <c r="J118" s="96"/>
      <c r="K118" s="33"/>
      <c r="L118" s="43"/>
      <c r="M118" s="69">
        <v>13</v>
      </c>
      <c r="N118" s="7"/>
      <c r="O118" s="232"/>
      <c r="P118" s="7"/>
      <c r="Q118" s="68"/>
      <c r="R118" s="13"/>
      <c r="S118" s="96"/>
      <c r="T118" s="96"/>
      <c r="U118" s="96"/>
      <c r="V118" s="96"/>
      <c r="W118" s="96"/>
      <c r="Y118" s="7"/>
      <c r="Z118" s="7"/>
      <c r="AA118" s="7"/>
      <c r="AB118" s="7"/>
      <c r="AC118" s="7"/>
      <c r="AD118" s="7"/>
      <c r="AE118" s="7"/>
      <c r="AF118" s="7"/>
      <c r="AG118" s="230"/>
      <c r="AH118" s="60">
        <v>4</v>
      </c>
      <c r="AI118" s="7"/>
      <c r="AJ118" s="7"/>
      <c r="AK118" s="54"/>
      <c r="AL118" s="7"/>
      <c r="AM118" s="55"/>
    </row>
    <row r="119" customHeight="1" spans="1:39">
      <c r="A119" s="7"/>
      <c r="B119" s="7"/>
      <c r="C119" s="7"/>
      <c r="D119" s="7"/>
      <c r="E119" s="7"/>
      <c r="F119" s="7"/>
      <c r="G119" s="7"/>
      <c r="H119" s="96"/>
      <c r="I119" s="96"/>
      <c r="J119" s="96"/>
      <c r="K119" s="33"/>
      <c r="L119" s="43"/>
      <c r="M119" s="69">
        <v>15</v>
      </c>
      <c r="N119" s="7"/>
      <c r="O119" s="232"/>
      <c r="P119" s="7"/>
      <c r="Q119" s="68"/>
      <c r="R119" s="13"/>
      <c r="S119" s="96"/>
      <c r="T119" s="96"/>
      <c r="U119" s="96"/>
      <c r="V119" s="96"/>
      <c r="W119" s="96"/>
      <c r="Y119" s="7"/>
      <c r="Z119" s="7"/>
      <c r="AA119" s="7"/>
      <c r="AB119" s="7"/>
      <c r="AC119" s="7"/>
      <c r="AD119" s="7"/>
      <c r="AE119" s="7"/>
      <c r="AF119" s="7"/>
      <c r="AG119" s="230"/>
      <c r="AH119" s="60">
        <v>5</v>
      </c>
      <c r="AI119" s="7"/>
      <c r="AJ119" s="7"/>
      <c r="AK119" s="54"/>
      <c r="AL119" s="7"/>
      <c r="AM119" s="55"/>
    </row>
    <row r="120" customHeight="1" spans="1:39">
      <c r="A120" s="7"/>
      <c r="B120" s="7"/>
      <c r="C120" s="7"/>
      <c r="D120" s="7"/>
      <c r="E120" s="7"/>
      <c r="F120" s="7"/>
      <c r="G120" s="7"/>
      <c r="H120" s="96"/>
      <c r="I120" s="96"/>
      <c r="J120" s="96"/>
      <c r="K120" s="33"/>
      <c r="L120" s="43"/>
      <c r="M120" s="60">
        <v>16</v>
      </c>
      <c r="N120" s="7"/>
      <c r="O120" s="49"/>
      <c r="P120" s="7"/>
      <c r="Q120" s="68"/>
      <c r="R120" s="13"/>
      <c r="S120" s="96"/>
      <c r="T120" s="96"/>
      <c r="U120" s="96"/>
      <c r="V120" s="96"/>
      <c r="W120" s="96"/>
      <c r="Y120" s="7"/>
      <c r="Z120" s="7"/>
      <c r="AA120" s="7"/>
      <c r="AB120" s="7"/>
      <c r="AC120" s="7"/>
      <c r="AD120" s="7"/>
      <c r="AE120" s="7"/>
      <c r="AF120" s="7"/>
      <c r="AG120" s="230"/>
      <c r="AH120" s="60">
        <v>6</v>
      </c>
      <c r="AI120" s="7"/>
      <c r="AJ120" s="7"/>
      <c r="AK120" s="75"/>
      <c r="AL120" s="7"/>
      <c r="AM120" s="55"/>
    </row>
    <row r="121" customHeight="1" spans="1:39">
      <c r="A121" s="7"/>
      <c r="B121" s="7"/>
      <c r="C121" s="7"/>
      <c r="D121" s="7"/>
      <c r="E121" s="7"/>
      <c r="F121" s="7"/>
      <c r="G121" s="7"/>
      <c r="H121" s="96"/>
      <c r="I121" s="96"/>
      <c r="J121" s="96"/>
      <c r="K121" s="33"/>
      <c r="L121" s="43"/>
      <c r="M121" s="60">
        <v>17</v>
      </c>
      <c r="N121" s="7"/>
      <c r="O121" s="49"/>
      <c r="P121" s="7"/>
      <c r="Q121" s="68"/>
      <c r="R121" s="13"/>
      <c r="S121" s="96"/>
      <c r="T121" s="96"/>
      <c r="U121" s="96"/>
      <c r="V121" s="96"/>
      <c r="W121" s="96"/>
      <c r="Y121" s="7"/>
      <c r="Z121" s="7"/>
      <c r="AA121" s="7"/>
      <c r="AB121" s="7"/>
      <c r="AC121" s="7"/>
      <c r="AD121" s="7"/>
      <c r="AE121" s="7"/>
      <c r="AF121" s="7"/>
      <c r="AG121" s="230"/>
      <c r="AH121" s="60">
        <v>7</v>
      </c>
      <c r="AI121" s="7"/>
      <c r="AJ121" s="7"/>
      <c r="AK121" s="54"/>
      <c r="AL121" s="7"/>
      <c r="AM121" s="55"/>
    </row>
    <row r="122" customHeight="1" spans="1:39">
      <c r="A122" s="7"/>
      <c r="B122" s="7"/>
      <c r="C122" s="7"/>
      <c r="D122" s="7"/>
      <c r="E122" s="7"/>
      <c r="F122" s="7"/>
      <c r="G122" s="7"/>
      <c r="H122" s="96"/>
      <c r="I122" s="96"/>
      <c r="J122" s="96"/>
      <c r="K122" s="33"/>
      <c r="L122" s="43"/>
      <c r="M122" s="60">
        <v>17</v>
      </c>
      <c r="N122" s="7"/>
      <c r="O122" s="49"/>
      <c r="P122" s="7"/>
      <c r="Q122" s="68"/>
      <c r="R122" s="13"/>
      <c r="S122" s="96"/>
      <c r="T122" s="96"/>
      <c r="U122" s="96"/>
      <c r="V122" s="96"/>
      <c r="W122" s="96"/>
      <c r="Y122" s="7"/>
      <c r="Z122" s="7"/>
      <c r="AA122" s="7"/>
      <c r="AB122" s="7"/>
      <c r="AC122" s="7"/>
      <c r="AD122" s="7"/>
      <c r="AE122" s="7"/>
      <c r="AF122" s="7"/>
      <c r="AG122" s="230"/>
      <c r="AH122" s="60">
        <v>8</v>
      </c>
      <c r="AI122" s="7"/>
      <c r="AJ122" s="7"/>
      <c r="AK122" s="54"/>
      <c r="AL122" s="7"/>
      <c r="AM122" s="55"/>
    </row>
    <row r="123" customHeight="1" spans="1:39">
      <c r="A123" s="7"/>
      <c r="B123" s="7"/>
      <c r="C123" s="7"/>
      <c r="D123" s="7"/>
      <c r="E123" s="7"/>
      <c r="F123" s="7"/>
      <c r="G123" s="7"/>
      <c r="H123" s="96"/>
      <c r="I123" s="96"/>
      <c r="J123" s="96"/>
      <c r="K123" s="33"/>
      <c r="L123" s="43"/>
      <c r="M123" s="7"/>
      <c r="N123" s="7"/>
      <c r="O123" s="7"/>
      <c r="P123" s="7"/>
      <c r="Q123" s="68"/>
      <c r="R123" s="13"/>
      <c r="S123" s="96"/>
      <c r="T123" s="96"/>
      <c r="U123" s="96"/>
      <c r="V123" s="96"/>
      <c r="W123" s="96"/>
      <c r="Y123" s="7"/>
      <c r="Z123" s="7"/>
      <c r="AA123" s="7"/>
      <c r="AB123" s="7"/>
      <c r="AC123" s="7"/>
      <c r="AD123" s="7"/>
      <c r="AE123" s="7"/>
      <c r="AF123" s="7"/>
      <c r="AG123" s="230"/>
      <c r="AH123" s="60">
        <v>9</v>
      </c>
      <c r="AI123" s="7"/>
      <c r="AJ123" s="7"/>
      <c r="AK123" s="54"/>
      <c r="AL123" s="7"/>
      <c r="AM123" s="55"/>
    </row>
    <row r="124" customHeight="1" spans="1:39">
      <c r="A124" s="7"/>
      <c r="B124" s="7"/>
      <c r="C124" s="7"/>
      <c r="D124" s="96"/>
      <c r="E124" s="7"/>
      <c r="F124" s="7"/>
      <c r="G124" s="7"/>
      <c r="H124" s="96"/>
      <c r="I124" s="96"/>
      <c r="J124" s="96"/>
      <c r="K124" s="33"/>
      <c r="L124" s="79"/>
      <c r="M124" s="7"/>
      <c r="N124" s="7"/>
      <c r="O124" s="7"/>
      <c r="P124" s="7"/>
      <c r="Q124" s="58"/>
      <c r="R124" s="244"/>
      <c r="S124" s="96"/>
      <c r="T124" s="96"/>
      <c r="U124" s="96"/>
      <c r="V124" s="96"/>
      <c r="W124" s="96"/>
      <c r="X124" s="3"/>
      <c r="Y124" s="7"/>
      <c r="Z124" s="7"/>
      <c r="AA124" s="7"/>
      <c r="AB124" s="7"/>
      <c r="AC124" s="7"/>
      <c r="AD124" s="7"/>
      <c r="AE124" s="7"/>
      <c r="AF124" s="7"/>
      <c r="AG124" s="230"/>
      <c r="AH124" s="60">
        <v>10</v>
      </c>
      <c r="AI124" s="7"/>
      <c r="AJ124" s="7"/>
      <c r="AK124" s="75"/>
      <c r="AL124" s="7"/>
      <c r="AM124" s="55"/>
    </row>
    <row r="125" customHeight="1" spans="1:39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80"/>
      <c r="M125" s="64"/>
      <c r="N125" s="64"/>
      <c r="O125" s="117"/>
      <c r="P125" s="245" t="s">
        <v>96</v>
      </c>
      <c r="Q125" s="119">
        <f>SUMIF(P106:P124,"Efectivo",Q106:Q124)</f>
        <v>1611.24</v>
      </c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230"/>
      <c r="AH125" s="60">
        <v>11</v>
      </c>
      <c r="AI125" s="7"/>
      <c r="AJ125" s="7"/>
      <c r="AK125" s="75"/>
      <c r="AL125" s="7"/>
      <c r="AM125" s="55"/>
    </row>
    <row r="126" customHeight="1" spans="1:39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56"/>
      <c r="P126" s="127" t="s">
        <v>99</v>
      </c>
      <c r="Q126" s="128">
        <f>SUMIF(P106:P124,"Pichincha",Q106:Q124)</f>
        <v>0</v>
      </c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230"/>
      <c r="AH126" s="60" t="s">
        <v>170</v>
      </c>
      <c r="AI126" s="1"/>
      <c r="AJ126" s="1"/>
      <c r="AK126" s="231"/>
      <c r="AL126" s="7"/>
      <c r="AM126" s="55"/>
    </row>
    <row r="127" customHeight="1" spans="1:39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56"/>
      <c r="P127" s="127" t="s">
        <v>102</v>
      </c>
      <c r="Q127" s="128">
        <f>SUMIF(P106:P124,"JEP",Q106:Q124)</f>
        <v>965.11</v>
      </c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230"/>
      <c r="AH127" s="181">
        <v>13</v>
      </c>
      <c r="AI127" s="7"/>
      <c r="AJ127" s="7"/>
      <c r="AK127" s="54"/>
      <c r="AL127" s="7"/>
      <c r="AM127" s="55"/>
    </row>
    <row r="128" customHeight="1" spans="1:39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56"/>
      <c r="P128" s="194" t="s">
        <v>96</v>
      </c>
      <c r="Q128" s="195">
        <f t="shared" ref="Q128:Q130" si="4">Q101+Q125</f>
        <v>1874.93</v>
      </c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230"/>
      <c r="AH128" s="60">
        <v>14</v>
      </c>
      <c r="AI128" s="1"/>
      <c r="AJ128" s="7"/>
      <c r="AK128" s="54"/>
      <c r="AL128" s="7"/>
      <c r="AM128" s="55"/>
    </row>
    <row r="129" customHeight="1" spans="1:3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56"/>
      <c r="P129" s="194" t="s">
        <v>99</v>
      </c>
      <c r="Q129" s="195">
        <f t="shared" si="4"/>
        <v>3392.22</v>
      </c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230"/>
      <c r="AH129" s="60">
        <v>15</v>
      </c>
      <c r="AI129" s="217"/>
      <c r="AJ129" s="7"/>
      <c r="AK129" s="54"/>
      <c r="AL129" s="7"/>
      <c r="AM129" s="55"/>
    </row>
    <row r="130" customHeight="1" spans="1:39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56"/>
      <c r="P130" s="194" t="s">
        <v>102</v>
      </c>
      <c r="Q130" s="195">
        <f t="shared" si="4"/>
        <v>1491.35</v>
      </c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230"/>
      <c r="AH130" s="60">
        <v>16</v>
      </c>
      <c r="AI130" s="7"/>
      <c r="AJ130" s="7"/>
      <c r="AK130" s="54"/>
      <c r="AL130" s="7"/>
      <c r="AM130" s="55"/>
    </row>
    <row r="131" customHeight="1" spans="1:39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230"/>
      <c r="AH131" s="1"/>
      <c r="AI131" s="7"/>
      <c r="AJ131" s="7"/>
      <c r="AK131" s="7"/>
      <c r="AL131" s="7"/>
      <c r="AM131" s="7"/>
    </row>
    <row r="132" customHeight="1" spans="1:39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230"/>
      <c r="AH132" s="7"/>
      <c r="AI132" s="7"/>
      <c r="AJ132" s="7"/>
      <c r="AK132" s="7"/>
      <c r="AL132" s="7"/>
      <c r="AM132" s="7"/>
    </row>
    <row r="133" customHeight="1" spans="1:39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230"/>
      <c r="AH133" s="7"/>
      <c r="AI133" s="7"/>
      <c r="AJ133" s="7"/>
      <c r="AK133" s="7"/>
      <c r="AL133" s="7"/>
      <c r="AM133" s="7"/>
    </row>
    <row r="134" customHeight="1" spans="1:39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230"/>
      <c r="AH134" s="7"/>
      <c r="AI134" s="7"/>
      <c r="AJ134" s="7"/>
      <c r="AK134" s="7"/>
      <c r="AL134" s="7"/>
      <c r="AM134" s="7"/>
    </row>
    <row r="135" customHeight="1" spans="1:39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230"/>
      <c r="AH135" s="7"/>
      <c r="AI135" s="1"/>
      <c r="AJ135" s="1"/>
      <c r="AK135" s="231"/>
      <c r="AL135" s="7"/>
      <c r="AM135" s="55"/>
    </row>
    <row r="136" customHeight="1" spans="1:39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230"/>
      <c r="AH136" s="7"/>
      <c r="AI136" s="7"/>
      <c r="AJ136" s="7"/>
      <c r="AK136" s="54"/>
      <c r="AL136" s="7"/>
      <c r="AM136" s="55"/>
    </row>
    <row r="137" customHeight="1" spans="1:39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230"/>
      <c r="AH137" s="7"/>
      <c r="AI137" s="7"/>
      <c r="AJ137" s="7"/>
      <c r="AK137" s="54"/>
      <c r="AL137" s="7"/>
      <c r="AM137" s="55"/>
    </row>
    <row r="138" customHeight="1" spans="1:39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230"/>
      <c r="AH138" s="7"/>
      <c r="AI138" s="7"/>
      <c r="AJ138" s="7"/>
      <c r="AK138" s="54"/>
      <c r="AL138" s="7"/>
      <c r="AM138" s="60"/>
    </row>
    <row r="139" customHeight="1" spans="1: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230"/>
      <c r="AH139" s="7"/>
      <c r="AI139" s="7"/>
      <c r="AJ139" s="7"/>
      <c r="AK139" s="54"/>
      <c r="AL139" s="7"/>
      <c r="AM139" s="60"/>
    </row>
    <row r="140" customHeight="1" spans="1:39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230"/>
      <c r="AH140" s="7"/>
      <c r="AI140" s="7"/>
      <c r="AJ140" s="7"/>
      <c r="AK140" s="54"/>
      <c r="AL140" s="7"/>
      <c r="AM140" s="60"/>
    </row>
    <row r="141" customHeight="1" spans="1:39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241"/>
      <c r="AH141" s="7"/>
      <c r="AI141" s="7"/>
      <c r="AJ141" s="7"/>
      <c r="AK141" s="7"/>
      <c r="AL141" s="7"/>
      <c r="AM141" s="7"/>
    </row>
    <row r="142" customHeight="1" spans="1:39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246" t="s">
        <v>171</v>
      </c>
      <c r="AH142" s="7"/>
      <c r="AI142" s="64"/>
      <c r="AJ142" s="64"/>
      <c r="AK142" s="61"/>
      <c r="AL142" s="64"/>
      <c r="AM142" s="243"/>
    </row>
    <row r="143" customHeight="1" spans="1:39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H143" s="7"/>
      <c r="AI143" s="7"/>
      <c r="AJ143" s="7"/>
      <c r="AK143" s="54"/>
      <c r="AL143" s="64"/>
      <c r="AM143" s="55"/>
    </row>
    <row r="144" customHeight="1" spans="1:39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H144" s="7"/>
      <c r="AI144" s="7"/>
      <c r="AJ144" s="7"/>
      <c r="AK144" s="54"/>
      <c r="AL144" s="64"/>
      <c r="AM144" s="115"/>
    </row>
    <row r="145" customHeight="1" spans="1:39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H145" s="7"/>
      <c r="AI145" s="7"/>
      <c r="AJ145" s="7"/>
      <c r="AK145" s="54"/>
      <c r="AL145" s="64"/>
      <c r="AM145" s="115"/>
    </row>
    <row r="146" customHeight="1" spans="1:39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H146" s="7"/>
      <c r="AI146" s="1"/>
      <c r="AJ146" s="1"/>
      <c r="AK146" s="231"/>
      <c r="AL146" s="64"/>
      <c r="AM146" s="115"/>
    </row>
    <row r="147" customHeight="1" spans="1:39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H147" s="7"/>
      <c r="AI147" s="7"/>
      <c r="AJ147" s="7"/>
      <c r="AK147" s="54"/>
      <c r="AL147" s="64"/>
      <c r="AM147" s="115"/>
    </row>
    <row r="148" customHeight="1" spans="1:39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H148" s="7"/>
      <c r="AI148" s="7"/>
      <c r="AJ148" s="7"/>
      <c r="AK148" s="54"/>
      <c r="AL148" s="64"/>
      <c r="AM148" s="115"/>
    </row>
    <row r="149" customHeight="1" spans="1:3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247"/>
      <c r="AJ149" s="7"/>
      <c r="AK149" s="54"/>
      <c r="AL149" s="7"/>
      <c r="AM149" s="55"/>
    </row>
    <row r="150" customHeight="1" spans="1:39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247"/>
      <c r="AJ150" s="7"/>
      <c r="AK150" s="54"/>
      <c r="AL150" s="7"/>
      <c r="AM150" s="55"/>
    </row>
    <row r="151" customHeight="1" spans="1:39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247"/>
      <c r="AJ151" s="7"/>
      <c r="AK151" s="54"/>
      <c r="AL151" s="7"/>
      <c r="AM151" s="55"/>
    </row>
    <row r="152" customHeight="1" spans="1:39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247"/>
      <c r="AJ152" s="1"/>
      <c r="AK152" s="54"/>
      <c r="AL152" s="7"/>
      <c r="AM152" s="55"/>
    </row>
    <row r="153" customHeight="1" spans="1:39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248" t="s">
        <v>172</v>
      </c>
      <c r="AM153" s="249">
        <f>AM14-SUMIF(AL18:AL152,"Pichincha",AM18:AM152)</f>
        <v>0</v>
      </c>
    </row>
    <row r="154" customHeight="1" spans="1:39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</row>
    <row r="155" customHeight="1" spans="1:39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60">
        <v>468.15</v>
      </c>
    </row>
    <row r="156" customHeight="1" spans="1:39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</row>
    <row r="157" customHeight="1" spans="1:39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</row>
    <row r="158" customHeight="1" spans="1:39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</row>
    <row r="159" customHeight="1" spans="1:3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</row>
    <row r="160" customHeight="1" spans="1:39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</row>
    <row r="161" customHeight="1" spans="1:39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</row>
    <row r="162" customHeight="1" spans="1:39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</row>
    <row r="163" customHeight="1" spans="1:39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</row>
    <row r="164" customHeight="1" spans="1:39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</row>
    <row r="165" customHeight="1" spans="1:39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</row>
    <row r="166" customHeight="1" spans="1:39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</row>
    <row r="167" customHeight="1" spans="1:39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</row>
    <row r="168" customHeight="1" spans="1:39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</row>
    <row r="169" customHeight="1" spans="1:3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</row>
    <row r="170" customHeight="1" spans="1:39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</row>
    <row r="171" customHeight="1" spans="1:39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</row>
    <row r="172" customHeight="1" spans="1:39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</row>
    <row r="173" customHeight="1" spans="1:39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</row>
    <row r="174" customHeight="1" spans="1:39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</row>
    <row r="175" customHeight="1" spans="1:39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</row>
    <row r="176" customHeight="1" spans="1:39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</row>
    <row r="177" customHeight="1" spans="1:39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</row>
    <row r="178" customHeight="1" spans="1:39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</row>
    <row r="179" customHeight="1" spans="1:3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</row>
    <row r="180" customHeight="1" spans="1:39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</row>
    <row r="181" customHeight="1" spans="1:39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</row>
    <row r="182" customHeight="1" spans="1:39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</row>
    <row r="183" customHeight="1" spans="1:39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</row>
    <row r="184" customHeight="1" spans="1:39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</row>
    <row r="185" customHeight="1" spans="1:39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</row>
    <row r="186" customHeight="1" spans="1:39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</row>
    <row r="187" customHeight="1" spans="1:39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</row>
    <row r="188" customHeight="1" spans="1:39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</row>
    <row r="189" customHeight="1" spans="1:3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</row>
    <row r="190" customHeight="1" spans="1:39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</row>
    <row r="191" customHeight="1" spans="1:39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</row>
    <row r="192" customHeight="1" spans="1:39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</row>
    <row r="193" customHeight="1" spans="1:39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</row>
    <row r="194" customHeight="1" spans="1:39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</row>
    <row r="195" customHeight="1" spans="1:39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</row>
    <row r="196" customHeight="1" spans="1:39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</row>
    <row r="197" customHeight="1" spans="1:39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</row>
    <row r="198" customHeight="1" spans="1:39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</row>
    <row r="199" customHeight="1" spans="1:3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</row>
    <row r="200" customHeight="1" spans="1:39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</row>
    <row r="201" customHeight="1" spans="1:39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</row>
    <row r="202" customHeight="1" spans="1:39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</row>
    <row r="203" customHeight="1" spans="1:39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</row>
    <row r="204" customHeight="1" spans="1:39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</row>
    <row r="205" customHeight="1" spans="1:39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</row>
    <row r="206" customHeight="1" spans="1:39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</row>
    <row r="207" customHeight="1" spans="1:39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</row>
    <row r="208" customHeight="1" spans="1:39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</row>
    <row r="209" customHeight="1" spans="1:3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</row>
    <row r="210" customHeight="1" spans="1:39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</row>
    <row r="211" customHeight="1" spans="1:39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</row>
    <row r="212" customHeight="1" spans="1:39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</row>
    <row r="213" customHeight="1" spans="1:39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</row>
    <row r="214" customHeight="1" spans="1:39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</row>
    <row r="215" customHeight="1" spans="1:39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</row>
    <row r="216" customHeight="1" spans="1:39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</row>
    <row r="217" customHeight="1" spans="1:39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</row>
    <row r="218" customHeight="1" spans="1:39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</row>
    <row r="219" customHeight="1" spans="1:3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</row>
    <row r="220" customHeight="1" spans="1:39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</row>
    <row r="221" customHeight="1" spans="1:39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</row>
    <row r="222" customHeight="1" spans="1:39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</row>
    <row r="223" customHeight="1" spans="1:39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</row>
    <row r="224" customHeight="1" spans="1:39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</row>
    <row r="225" customHeight="1" spans="1:39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</row>
    <row r="226" customHeight="1" spans="1:39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</row>
    <row r="227" customHeight="1" spans="1:39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</row>
    <row r="228" customHeight="1" spans="1:39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</row>
    <row r="229" customHeight="1" spans="1:3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</row>
    <row r="230" customHeight="1" spans="1:39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</row>
    <row r="231" customHeight="1" spans="1:39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</row>
    <row r="232" customHeight="1" spans="1:39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</row>
    <row r="233" customHeight="1" spans="1:39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</row>
    <row r="234" customHeight="1" spans="1:39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</row>
    <row r="235" customHeight="1" spans="1:39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</row>
    <row r="236" customHeight="1" spans="1:39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</row>
    <row r="237" customHeight="1" spans="1:39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</row>
    <row r="238" customHeight="1" spans="1:39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</row>
    <row r="239" customHeight="1" spans="1: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</row>
    <row r="240" customHeight="1" spans="1:39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</row>
    <row r="241" customHeight="1" spans="1:39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</row>
    <row r="242" customHeight="1" spans="1:39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</row>
    <row r="243" customHeight="1" spans="1:39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</row>
    <row r="244" customHeight="1" spans="1:39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</row>
    <row r="245" customHeight="1" spans="1:39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</row>
    <row r="246" customHeight="1" spans="1:39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</row>
    <row r="247" customHeight="1" spans="1:39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</row>
    <row r="248" customHeight="1" spans="1:39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</row>
    <row r="249" customHeight="1" spans="1:3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</row>
    <row r="250" customHeight="1" spans="1:39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</row>
    <row r="251" customHeight="1" spans="1:39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</row>
    <row r="252" customHeight="1" spans="1:39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</row>
    <row r="253" customHeight="1" spans="1:39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</row>
    <row r="254" customHeight="1" spans="1:39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</row>
    <row r="255" customHeight="1" spans="1:39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</row>
    <row r="256" customHeight="1" spans="1:39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</row>
    <row r="257" customHeight="1" spans="1:39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</row>
    <row r="258" customHeight="1" spans="1:39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</row>
    <row r="259" customHeight="1" spans="1:3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</row>
    <row r="260" customHeight="1" spans="1:39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</row>
    <row r="261" customHeight="1" spans="1:39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</row>
    <row r="262" customHeight="1" spans="1:39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</row>
    <row r="263" customHeight="1" spans="1:39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</row>
    <row r="264" customHeight="1" spans="1:39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</row>
    <row r="265" customHeight="1" spans="1:39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</row>
    <row r="266" customHeight="1" spans="1:39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</row>
    <row r="267" customHeight="1" spans="1:39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</row>
    <row r="268" customHeight="1" spans="1:39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</row>
    <row r="269" customHeight="1" spans="1:3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</row>
    <row r="270" customHeight="1" spans="1:39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</row>
    <row r="271" customHeight="1" spans="1:39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</row>
    <row r="272" customHeight="1" spans="1:39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</row>
    <row r="273" customHeight="1" spans="1:39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</row>
    <row r="274" customHeight="1" spans="1:39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</row>
    <row r="275" customHeight="1" spans="1:39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</row>
    <row r="276" customHeight="1" spans="1:39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</row>
    <row r="277" customHeight="1" spans="1:39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</row>
    <row r="278" customHeight="1" spans="1:39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</row>
    <row r="279" customHeight="1" spans="1:3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</row>
    <row r="280" customHeight="1" spans="1:39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</row>
    <row r="281" customHeight="1" spans="1:39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</row>
    <row r="282" customHeight="1" spans="1:39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</row>
    <row r="283" customHeight="1" spans="1:39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</row>
    <row r="284" customHeight="1" spans="1:39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</row>
    <row r="285" customHeight="1" spans="1:39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</row>
    <row r="286" customHeight="1" spans="1:39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</row>
    <row r="287" customHeight="1" spans="1:39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</row>
    <row r="288" customHeight="1" spans="1:39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</row>
    <row r="289" customHeight="1" spans="1:3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</row>
    <row r="290" customHeight="1" spans="1:39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</row>
    <row r="291" customHeight="1" spans="1:39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</row>
    <row r="292" customHeight="1" spans="1:39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</row>
    <row r="293" customHeight="1" spans="1:39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</row>
    <row r="294" customHeight="1" spans="1:39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</row>
    <row r="295" customHeight="1" spans="1:39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</row>
    <row r="296" customHeight="1" spans="1:39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</row>
    <row r="297" customHeight="1" spans="1:39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</row>
    <row r="298" customHeight="1" spans="1:39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</row>
    <row r="299" customHeight="1" spans="1:3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</row>
    <row r="300" customHeight="1" spans="1:39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</row>
    <row r="301" customHeight="1" spans="1:39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</row>
    <row r="302" customHeight="1" spans="1:39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</row>
    <row r="303" customHeight="1" spans="1:39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</row>
    <row r="304" customHeight="1" spans="1:39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</row>
    <row r="305" customHeight="1" spans="1:39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</row>
    <row r="306" customHeight="1" spans="1:39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</row>
    <row r="307" customHeight="1" spans="1:39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</row>
    <row r="308" customHeight="1" spans="1:39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</row>
    <row r="309" customHeight="1" spans="1:3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</row>
    <row r="310" customHeight="1" spans="1:39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</row>
    <row r="311" customHeight="1" spans="1:39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</row>
    <row r="312" customHeight="1" spans="1:39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</row>
    <row r="313" customHeight="1" spans="1:39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</row>
    <row r="314" customHeight="1" spans="1:39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</row>
    <row r="315" customHeight="1" spans="1:39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</row>
    <row r="316" customHeight="1" spans="1:39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</row>
    <row r="317" customHeight="1" spans="1:39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</row>
    <row r="318" customHeight="1" spans="1:39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</row>
    <row r="319" customHeight="1" spans="1:3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</row>
    <row r="320" customHeight="1" spans="1:39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</row>
    <row r="321" customHeight="1" spans="1:39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</row>
    <row r="322" customHeight="1" spans="1:39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</row>
    <row r="323" customHeight="1" spans="1:39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</row>
    <row r="324" customHeight="1" spans="1:39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</row>
    <row r="325" customHeight="1" spans="1:39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</row>
    <row r="326" customHeight="1" spans="1:39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</row>
    <row r="327" customHeight="1" spans="1:39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</row>
    <row r="328" customHeight="1" spans="1:39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</row>
    <row r="329" customHeight="1" spans="1:3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</row>
    <row r="330" customHeight="1" spans="1:39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</row>
    <row r="331" customHeight="1" spans="1:39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</row>
    <row r="332" customHeight="1" spans="1:39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</row>
    <row r="333" customHeight="1" spans="1:39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</row>
    <row r="334" customHeight="1" spans="1:39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</row>
    <row r="335" customHeight="1" spans="1:39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</row>
    <row r="336" customHeight="1" spans="1:39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</row>
    <row r="337" customHeight="1" spans="1:39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</row>
    <row r="338" customHeight="1" spans="1:39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</row>
    <row r="339" customHeight="1" spans="1: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</row>
    <row r="340" customHeight="1" spans="1:39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</row>
    <row r="341" customHeight="1" spans="1:39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</row>
    <row r="342" customHeight="1" spans="1:39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</row>
    <row r="343" customHeight="1" spans="1:39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</row>
    <row r="344" customHeight="1" spans="1:39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</row>
    <row r="345" customHeight="1" spans="1:39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</row>
    <row r="346" customHeight="1" spans="1:39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</row>
    <row r="347" customHeight="1" spans="1:39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</row>
    <row r="348" customHeight="1" spans="1:39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</row>
    <row r="349" customHeight="1" spans="1:3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</row>
    <row r="350" customHeight="1" spans="1:39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</row>
    <row r="351" customHeight="1" spans="1:39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</row>
    <row r="352" customHeight="1" spans="1:39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</row>
    <row r="353" customHeight="1" spans="1:39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</row>
    <row r="354" customHeight="1" spans="1:39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</row>
    <row r="355" customHeight="1" spans="1:39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</row>
    <row r="356" customHeight="1" spans="1:39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</row>
    <row r="357" customHeight="1" spans="1:39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</row>
    <row r="358" customHeight="1" spans="1:39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</row>
    <row r="359" customHeight="1" spans="1:3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</row>
    <row r="360" customHeight="1" spans="1:39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</row>
    <row r="361" customHeight="1" spans="1:39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</row>
    <row r="362" customHeight="1" spans="1:39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</row>
    <row r="363" customHeight="1" spans="1:39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</row>
    <row r="364" customHeight="1" spans="1:39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</row>
    <row r="365" customHeight="1" spans="1:39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</row>
    <row r="366" customHeight="1" spans="1:39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</row>
    <row r="367" customHeight="1" spans="1:39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</row>
    <row r="368" customHeight="1" spans="1:39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</row>
    <row r="369" customHeight="1" spans="1:3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</row>
    <row r="370" customHeight="1" spans="1:39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</row>
    <row r="371" customHeight="1" spans="1:39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</row>
    <row r="372" customHeight="1" spans="1:39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</row>
    <row r="373" customHeight="1" spans="1:39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</row>
    <row r="374" customHeight="1" spans="1:39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</row>
    <row r="375" customHeight="1" spans="1:39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</row>
    <row r="376" customHeight="1" spans="1:39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</row>
    <row r="377" customHeight="1" spans="1:39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</row>
    <row r="378" customHeight="1" spans="1:39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</row>
    <row r="379" customHeight="1" spans="1:3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</row>
    <row r="380" customHeight="1" spans="1:39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</row>
    <row r="381" customHeight="1" spans="1:39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</row>
    <row r="382" customHeight="1" spans="1:39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</row>
    <row r="383" customHeight="1" spans="1:39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</row>
    <row r="384" customHeight="1" spans="1:39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</row>
    <row r="385" customHeight="1" spans="1:39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</row>
    <row r="386" customHeight="1" spans="1:39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</row>
    <row r="387" customHeight="1" spans="1:39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</row>
    <row r="388" customHeight="1" spans="1:39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</row>
    <row r="389" customHeight="1" spans="1:3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</row>
    <row r="390" customHeight="1" spans="1:39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</row>
    <row r="391" customHeight="1" spans="1:39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</row>
    <row r="392" customHeight="1" spans="1:39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</row>
    <row r="393" customHeight="1" spans="1:39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</row>
    <row r="394" customHeight="1" spans="1:39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</row>
    <row r="395" customHeight="1" spans="1:39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</row>
    <row r="396" customHeight="1" spans="1:39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</row>
    <row r="397" customHeight="1" spans="1:39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</row>
    <row r="398" customHeight="1" spans="1:39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</row>
    <row r="399" customHeight="1" spans="1:3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</row>
    <row r="400" customHeight="1" spans="1:39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</row>
    <row r="401" customHeight="1" spans="1:39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</row>
    <row r="402" customHeight="1" spans="1:39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</row>
    <row r="403" customHeight="1" spans="1:39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</row>
    <row r="404" customHeight="1" spans="1:39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</row>
    <row r="405" customHeight="1" spans="1:39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</row>
    <row r="406" customHeight="1" spans="1:39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</row>
    <row r="407" customHeight="1" spans="1:39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</row>
    <row r="408" customHeight="1" spans="1:39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</row>
    <row r="409" customHeight="1" spans="1:3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</row>
    <row r="410" customHeight="1" spans="1:39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</row>
    <row r="411" customHeight="1" spans="1:39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</row>
    <row r="412" customHeight="1" spans="1:39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</row>
    <row r="413" customHeight="1" spans="1:39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</row>
    <row r="414" customHeight="1" spans="1:39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</row>
    <row r="415" customHeight="1" spans="1:39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</row>
    <row r="416" customHeight="1" spans="1:39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</row>
    <row r="417" customHeight="1" spans="1:39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</row>
    <row r="418" customHeight="1" spans="1:39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</row>
    <row r="419" customHeight="1" spans="1:3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</row>
    <row r="420" customHeight="1" spans="1:39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</row>
    <row r="421" customHeight="1" spans="1:39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</row>
    <row r="422" customHeight="1" spans="1:39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</row>
    <row r="423" customHeight="1" spans="1:39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</row>
    <row r="424" customHeight="1" spans="1:39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</row>
    <row r="425" customHeight="1" spans="1:39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</row>
    <row r="426" customHeight="1" spans="1:39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</row>
    <row r="427" customHeight="1" spans="1:39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</row>
    <row r="428" customHeight="1" spans="1:39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</row>
    <row r="429" customHeight="1" spans="1:3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</row>
    <row r="430" customHeight="1" spans="1:39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</row>
    <row r="431" customHeight="1" spans="1:39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</row>
    <row r="432" customHeight="1" spans="1:39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</row>
    <row r="433" customHeight="1" spans="1:39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</row>
    <row r="434" customHeight="1" spans="1:39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</row>
    <row r="435" customHeight="1" spans="1:39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</row>
    <row r="436" customHeight="1" spans="1:39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</row>
    <row r="437" customHeight="1" spans="1:39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</row>
    <row r="438" customHeight="1" spans="1:39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</row>
    <row r="439" customHeight="1" spans="1: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</row>
    <row r="440" customHeight="1" spans="1:39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</row>
    <row r="441" customHeight="1" spans="1:39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</row>
    <row r="442" customHeight="1" spans="1:39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</row>
    <row r="443" customHeight="1" spans="1:39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</row>
    <row r="444" customHeight="1" spans="1:39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</row>
    <row r="445" customHeight="1" spans="1:39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</row>
    <row r="446" customHeight="1" spans="1:39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</row>
    <row r="447" customHeight="1" spans="1:39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</row>
    <row r="448" customHeight="1" spans="1:39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</row>
    <row r="449" customHeight="1" spans="1:3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</row>
    <row r="450" customHeight="1" spans="1:39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</row>
    <row r="451" customHeight="1" spans="1:39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</row>
    <row r="452" customHeight="1" spans="1:39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</row>
    <row r="453" customHeight="1" spans="1:39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</row>
    <row r="454" customHeight="1" spans="1:39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</row>
    <row r="455" customHeight="1" spans="1:39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</row>
    <row r="456" customHeight="1" spans="1:39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</row>
    <row r="457" customHeight="1" spans="1:39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</row>
    <row r="458" customHeight="1" spans="1:39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</row>
    <row r="459" customHeight="1" spans="1:3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</row>
    <row r="460" customHeight="1" spans="1:39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</row>
    <row r="461" customHeight="1" spans="1:39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</row>
    <row r="462" customHeight="1" spans="1:39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</row>
    <row r="463" customHeight="1" spans="1:39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</row>
    <row r="464" customHeight="1" spans="1:39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</row>
    <row r="465" customHeight="1" spans="1:39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</row>
    <row r="466" customHeight="1" spans="1:39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</row>
    <row r="467" customHeight="1" spans="1:39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</row>
    <row r="468" customHeight="1" spans="1:39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</row>
    <row r="469" customHeight="1" spans="1:3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</row>
    <row r="470" customHeight="1" spans="1:39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</row>
    <row r="471" customHeight="1" spans="1:39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</row>
    <row r="472" customHeight="1" spans="1:39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</row>
    <row r="473" customHeight="1" spans="1:39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</row>
    <row r="474" customHeight="1" spans="1:39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</row>
    <row r="475" customHeight="1" spans="1:39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</row>
    <row r="476" customHeight="1" spans="1:39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</row>
    <row r="477" customHeight="1" spans="1:39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</row>
    <row r="478" customHeight="1" spans="1:39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</row>
    <row r="479" customHeight="1" spans="1:3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</row>
    <row r="480" customHeight="1" spans="1:39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</row>
    <row r="481" customHeight="1" spans="1:39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</row>
    <row r="482" customHeight="1" spans="1:39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</row>
    <row r="483" customHeight="1" spans="1:39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</row>
    <row r="484" customHeight="1" spans="1:39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</row>
    <row r="485" customHeight="1" spans="1:39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</row>
    <row r="486" customHeight="1" spans="1:39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</row>
    <row r="487" customHeight="1" spans="1:39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</row>
    <row r="488" customHeight="1" spans="1:39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</row>
    <row r="489" customHeight="1" spans="1:3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</row>
    <row r="490" customHeight="1" spans="1:39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</row>
    <row r="491" customHeight="1" spans="1:39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</row>
    <row r="492" customHeight="1" spans="1:39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</row>
    <row r="493" customHeight="1" spans="1:39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</row>
    <row r="494" customHeight="1" spans="1:39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</row>
    <row r="495" customHeight="1" spans="1:39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</row>
    <row r="496" customHeight="1" spans="1:39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</row>
    <row r="497" customHeight="1" spans="1:39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</row>
    <row r="498" customHeight="1" spans="1:39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</row>
    <row r="499" customHeight="1" spans="1:3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</row>
    <row r="500" customHeight="1" spans="1:39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</row>
    <row r="501" customHeight="1" spans="1:39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</row>
    <row r="502" customHeight="1" spans="1:39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</row>
    <row r="503" customHeight="1" spans="1:39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</row>
    <row r="504" customHeight="1" spans="1:39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</row>
    <row r="505" customHeight="1" spans="1:39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</row>
    <row r="506" customHeight="1" spans="1:39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</row>
    <row r="507" customHeight="1" spans="1:39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</row>
    <row r="508" customHeight="1" spans="1:39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</row>
    <row r="509" customHeight="1" spans="1:3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</row>
    <row r="510" customHeight="1" spans="1:39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</row>
    <row r="511" customHeight="1" spans="1:39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</row>
    <row r="512" customHeight="1" spans="1:39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</row>
    <row r="513" customHeight="1" spans="1:39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</row>
    <row r="514" customHeight="1" spans="1:39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</row>
    <row r="515" customHeight="1" spans="1:39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</row>
    <row r="516" customHeight="1" spans="1:39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</row>
    <row r="517" customHeight="1" spans="1:39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</row>
    <row r="518" customHeight="1" spans="1:39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</row>
    <row r="519" customHeight="1" spans="1:3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</row>
    <row r="520" customHeight="1" spans="1:39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</row>
    <row r="521" customHeight="1" spans="1:39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</row>
    <row r="522" customHeight="1" spans="1:39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</row>
    <row r="523" customHeight="1" spans="1:39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</row>
    <row r="524" customHeight="1" spans="1:39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</row>
    <row r="525" customHeight="1" spans="1:39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</row>
    <row r="526" customHeight="1" spans="1:39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</row>
    <row r="527" customHeight="1" spans="1:39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</row>
    <row r="528" customHeight="1" spans="1:39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</row>
    <row r="529" customHeight="1" spans="1:3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</row>
    <row r="530" customHeight="1" spans="1:39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</row>
    <row r="531" customHeight="1" spans="1:39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</row>
    <row r="532" customHeight="1" spans="1:39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</row>
    <row r="533" customHeight="1" spans="1:39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</row>
    <row r="534" customHeight="1" spans="1:39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</row>
    <row r="535" customHeight="1" spans="1:39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</row>
    <row r="536" customHeight="1" spans="1:39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</row>
    <row r="537" customHeight="1" spans="1:39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</row>
    <row r="538" customHeight="1" spans="1:39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</row>
    <row r="539" customHeight="1" spans="1: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</row>
    <row r="540" customHeight="1" spans="1:39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</row>
    <row r="541" customHeight="1" spans="1:39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</row>
    <row r="542" customHeight="1" spans="1:39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</row>
    <row r="543" customHeight="1" spans="1:39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</row>
    <row r="544" customHeight="1" spans="1:39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</row>
    <row r="545" customHeight="1" spans="1:39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</row>
    <row r="546" customHeight="1" spans="1:39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</row>
    <row r="547" customHeight="1" spans="1:39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</row>
    <row r="548" customHeight="1" spans="1:39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</row>
    <row r="549" customHeight="1" spans="1:3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</row>
    <row r="550" customHeight="1" spans="1:39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</row>
    <row r="551" customHeight="1" spans="1:39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</row>
    <row r="552" customHeight="1" spans="1:39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</row>
    <row r="553" customHeight="1" spans="1:39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</row>
    <row r="554" customHeight="1" spans="1:39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</row>
    <row r="555" customHeight="1" spans="1:39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</row>
    <row r="556" customHeight="1" spans="1:39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</row>
    <row r="557" customHeight="1" spans="1:39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</row>
    <row r="558" customHeight="1" spans="1:39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</row>
    <row r="559" customHeight="1" spans="1:3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</row>
    <row r="560" customHeight="1" spans="1:39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</row>
    <row r="561" customHeight="1" spans="1:39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</row>
    <row r="562" customHeight="1" spans="1:39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</row>
    <row r="563" customHeight="1" spans="1:39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</row>
    <row r="564" customHeight="1" spans="1:39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</row>
    <row r="565" customHeight="1" spans="1:39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</row>
    <row r="566" customHeight="1" spans="1:39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</row>
    <row r="567" customHeight="1" spans="1:39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</row>
    <row r="568" customHeight="1" spans="1:39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</row>
    <row r="569" customHeight="1" spans="1:3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</row>
    <row r="570" customHeight="1" spans="1:39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</row>
    <row r="571" customHeight="1" spans="1:39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</row>
    <row r="572" customHeight="1" spans="1:39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</row>
    <row r="573" customHeight="1" spans="1:39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</row>
    <row r="574" customHeight="1" spans="1:39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</row>
    <row r="575" customHeight="1" spans="1:39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</row>
    <row r="576" customHeight="1" spans="1:39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</row>
    <row r="577" customHeight="1" spans="1:39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</row>
    <row r="578" customHeight="1" spans="1:39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</row>
    <row r="579" customHeight="1" spans="1:3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</row>
    <row r="580" customHeight="1" spans="1:39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</row>
    <row r="581" customHeight="1" spans="1:39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</row>
    <row r="582" customHeight="1" spans="1:39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</row>
    <row r="583" customHeight="1" spans="1:39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</row>
    <row r="584" customHeight="1" spans="1:39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</row>
    <row r="585" customHeight="1" spans="1:39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</row>
    <row r="586" customHeight="1" spans="1:39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</row>
    <row r="587" customHeight="1" spans="1:39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</row>
    <row r="588" customHeight="1" spans="1:39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</row>
    <row r="589" customHeight="1" spans="1:3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</row>
    <row r="590" customHeight="1" spans="1:39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</row>
    <row r="591" customHeight="1" spans="1:39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</row>
    <row r="592" customHeight="1" spans="1:39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</row>
    <row r="593" customHeight="1" spans="1:39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</row>
    <row r="594" customHeight="1" spans="1:39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</row>
    <row r="595" customHeight="1" spans="1:39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</row>
    <row r="596" customHeight="1" spans="1:39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</row>
    <row r="597" customHeight="1" spans="1:39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</row>
    <row r="598" customHeight="1" spans="1:39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</row>
    <row r="599" customHeight="1" spans="1:3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</row>
    <row r="600" customHeight="1" spans="1:39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</row>
    <row r="601" customHeight="1" spans="1:39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</row>
    <row r="602" customHeight="1" spans="1:39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</row>
    <row r="603" customHeight="1" spans="1:39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</row>
    <row r="604" customHeight="1" spans="1:39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</row>
    <row r="605" customHeight="1" spans="1:39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</row>
    <row r="606" customHeight="1" spans="1:39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</row>
    <row r="607" customHeight="1" spans="1:39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</row>
    <row r="608" customHeight="1" spans="1:39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</row>
    <row r="609" customHeight="1" spans="1:3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</row>
    <row r="610" customHeight="1" spans="1:39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</row>
    <row r="611" customHeight="1" spans="1:39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</row>
    <row r="612" customHeight="1" spans="1:39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</row>
    <row r="613" customHeight="1" spans="1:39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</row>
    <row r="614" customHeight="1" spans="1:39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</row>
    <row r="615" customHeight="1" spans="1:39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</row>
    <row r="616" customHeight="1" spans="1:39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</row>
    <row r="617" customHeight="1" spans="1:39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</row>
    <row r="618" customHeight="1" spans="1:39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</row>
    <row r="619" customHeight="1" spans="1:3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</row>
    <row r="620" customHeight="1" spans="1:39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</row>
    <row r="621" customHeight="1" spans="1:39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</row>
    <row r="622" customHeight="1" spans="1:39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</row>
    <row r="623" customHeight="1" spans="1:39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</row>
    <row r="624" customHeight="1" spans="1:39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</row>
    <row r="625" customHeight="1" spans="1:39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</row>
    <row r="626" customHeight="1" spans="1:39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</row>
    <row r="627" customHeight="1" spans="1:39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</row>
    <row r="628" customHeight="1" spans="1:39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</row>
    <row r="629" customHeight="1" spans="1:3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</row>
    <row r="630" customHeight="1" spans="1:39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</row>
    <row r="631" customHeight="1" spans="1:39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</row>
    <row r="632" customHeight="1" spans="1:39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</row>
    <row r="633" customHeight="1" spans="1:39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</row>
    <row r="634" customHeight="1" spans="1:39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</row>
    <row r="635" customHeight="1" spans="1:39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</row>
    <row r="636" customHeight="1" spans="1:39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</row>
    <row r="637" customHeight="1" spans="1:39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</row>
    <row r="638" customHeight="1" spans="1:39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</row>
    <row r="639" customHeight="1" spans="1: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</row>
    <row r="640" customHeight="1" spans="1:39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</row>
    <row r="641" customHeight="1" spans="1:39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</row>
    <row r="642" customHeight="1" spans="1:39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</row>
    <row r="643" customHeight="1" spans="1:39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</row>
    <row r="644" customHeight="1" spans="1:39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</row>
    <row r="645" customHeight="1" spans="1:39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</row>
    <row r="646" customHeight="1" spans="1:39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</row>
    <row r="647" customHeight="1" spans="1:39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</row>
    <row r="648" customHeight="1" spans="1:39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</row>
    <row r="649" customHeight="1" spans="1:3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</row>
    <row r="650" customHeight="1" spans="1:39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</row>
    <row r="651" customHeight="1" spans="1:39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</row>
    <row r="652" customHeight="1" spans="1:39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</row>
    <row r="653" customHeight="1" spans="1:39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</row>
    <row r="654" customHeight="1" spans="1:39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</row>
    <row r="655" customHeight="1" spans="1:39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</row>
    <row r="656" customHeight="1" spans="1:39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</row>
    <row r="657" customHeight="1" spans="1:39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</row>
    <row r="658" customHeight="1" spans="1:39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</row>
    <row r="659" customHeight="1" spans="1:3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</row>
    <row r="660" customHeight="1" spans="1:39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</row>
    <row r="661" customHeight="1" spans="1:39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</row>
    <row r="662" customHeight="1" spans="1:39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</row>
    <row r="663" customHeight="1" spans="1:39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</row>
    <row r="664" customHeight="1" spans="1:39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</row>
    <row r="665" customHeight="1" spans="1:39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</row>
    <row r="666" customHeight="1" spans="1:39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</row>
    <row r="667" customHeight="1" spans="1:39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</row>
    <row r="668" customHeight="1" spans="1:39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</row>
    <row r="669" customHeight="1" spans="1:3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</row>
    <row r="670" customHeight="1" spans="1:39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</row>
    <row r="671" customHeight="1" spans="1:39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</row>
    <row r="672" customHeight="1" spans="1:39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</row>
    <row r="673" customHeight="1" spans="1:39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</row>
    <row r="674" customHeight="1" spans="1:39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</row>
    <row r="675" customHeight="1" spans="1:39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</row>
    <row r="676" customHeight="1" spans="1:39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</row>
    <row r="677" customHeight="1" spans="1:39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</row>
    <row r="678" customHeight="1" spans="1:39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</row>
    <row r="679" customHeight="1" spans="1:3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</row>
    <row r="680" customHeight="1" spans="1:39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</row>
    <row r="681" customHeight="1" spans="1:39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</row>
    <row r="682" customHeight="1" spans="1:39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</row>
    <row r="683" customHeight="1" spans="1:39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</row>
    <row r="684" customHeight="1" spans="1:39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</row>
    <row r="685" customHeight="1" spans="1:39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</row>
    <row r="686" customHeight="1" spans="1:39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</row>
    <row r="687" customHeight="1" spans="1:39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</row>
    <row r="688" customHeight="1" spans="1:39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</row>
    <row r="689" customHeight="1" spans="1:3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</row>
    <row r="690" customHeight="1" spans="1:39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</row>
    <row r="691" customHeight="1" spans="1:39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</row>
    <row r="692" customHeight="1" spans="1:39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</row>
    <row r="693" customHeight="1" spans="1:39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</row>
    <row r="694" customHeight="1" spans="1:39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</row>
    <row r="695" customHeight="1" spans="1:39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</row>
    <row r="696" customHeight="1" spans="1:39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</row>
    <row r="697" customHeight="1" spans="1:39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</row>
    <row r="698" customHeight="1" spans="1:39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</row>
    <row r="699" customHeight="1" spans="1:3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</row>
    <row r="700" customHeight="1" spans="1:39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</row>
    <row r="701" customHeight="1" spans="1:39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</row>
    <row r="702" customHeight="1" spans="1:39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</row>
    <row r="703" customHeight="1" spans="1:39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</row>
    <row r="704" customHeight="1" spans="1:39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</row>
    <row r="705" customHeight="1" spans="1:39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</row>
    <row r="706" customHeight="1" spans="1:39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</row>
    <row r="707" customHeight="1" spans="1:39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</row>
    <row r="708" customHeight="1" spans="1:39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</row>
    <row r="709" customHeight="1" spans="1:3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</row>
    <row r="710" customHeight="1" spans="1:39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</row>
    <row r="711" customHeight="1" spans="1:39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</row>
    <row r="712" customHeight="1" spans="1:39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</row>
    <row r="713" customHeight="1" spans="1:39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</row>
    <row r="714" customHeight="1" spans="1:39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</row>
    <row r="715" customHeight="1" spans="1:39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</row>
    <row r="716" customHeight="1" spans="1:39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</row>
    <row r="717" customHeight="1" spans="1:39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</row>
    <row r="718" customHeight="1" spans="1:39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</row>
    <row r="719" customHeight="1" spans="1:3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</row>
    <row r="720" customHeight="1" spans="1:39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</row>
    <row r="721" customHeight="1" spans="1:39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</row>
    <row r="722" customHeight="1" spans="1:39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</row>
    <row r="723" customHeight="1" spans="1:39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</row>
    <row r="724" customHeight="1" spans="1:39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</row>
    <row r="725" customHeight="1" spans="1:39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</row>
    <row r="726" customHeight="1" spans="1:39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</row>
    <row r="727" customHeight="1" spans="1:39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</row>
    <row r="728" customHeight="1" spans="1:39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</row>
    <row r="729" customHeight="1" spans="1:3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</row>
    <row r="730" customHeight="1" spans="1:39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</row>
    <row r="731" customHeight="1" spans="1:39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</row>
    <row r="732" customHeight="1" spans="1:39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</row>
    <row r="733" customHeight="1" spans="1:39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</row>
    <row r="734" customHeight="1" spans="1:39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</row>
    <row r="735" customHeight="1" spans="1:39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</row>
    <row r="736" customHeight="1" spans="1:39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</row>
    <row r="737" customHeight="1" spans="1:39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</row>
    <row r="738" customHeight="1" spans="1:39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</row>
    <row r="739" customHeight="1" spans="1: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</row>
    <row r="740" customHeight="1" spans="1:39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</row>
    <row r="741" customHeight="1" spans="1:39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</row>
    <row r="742" customHeight="1" spans="1:39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</row>
    <row r="743" customHeight="1" spans="1:39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</row>
    <row r="744" customHeight="1" spans="1:39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</row>
    <row r="745" customHeight="1" spans="1:39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</row>
    <row r="746" customHeight="1" spans="1:39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</row>
    <row r="747" customHeight="1" spans="1:39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</row>
    <row r="748" customHeight="1" spans="1:39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</row>
    <row r="749" customHeight="1" spans="1:3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</row>
    <row r="750" customHeight="1" spans="1:39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</row>
    <row r="751" customHeight="1" spans="1:39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</row>
    <row r="752" customHeight="1" spans="1:39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</row>
    <row r="753" customHeight="1" spans="1:39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</row>
    <row r="754" customHeight="1" spans="1:39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</row>
    <row r="755" customHeight="1" spans="1:39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</row>
    <row r="756" customHeight="1" spans="1:39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</row>
    <row r="757" customHeight="1" spans="1:39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</row>
    <row r="758" customHeight="1" spans="1:39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</row>
    <row r="759" customHeight="1" spans="1:3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</row>
    <row r="760" customHeight="1" spans="1:39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</row>
    <row r="761" customHeight="1" spans="1:39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</row>
    <row r="762" customHeight="1" spans="1:39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</row>
    <row r="763" customHeight="1" spans="1:39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</row>
    <row r="764" customHeight="1" spans="1:39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</row>
    <row r="765" customHeight="1" spans="1:39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</row>
    <row r="766" customHeight="1" spans="1:39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</row>
    <row r="767" customHeight="1" spans="1:39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</row>
    <row r="768" customHeight="1" spans="1:39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</row>
    <row r="769" customHeight="1" spans="1:3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</row>
    <row r="770" customHeight="1" spans="1:39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</row>
    <row r="771" customHeight="1" spans="1:39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</row>
    <row r="772" customHeight="1" spans="1:39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</row>
    <row r="773" customHeight="1" spans="1:39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</row>
    <row r="774" customHeight="1" spans="1:39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</row>
    <row r="775" customHeight="1" spans="1:39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</row>
    <row r="776" customHeight="1" spans="1:39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</row>
    <row r="777" customHeight="1" spans="1:39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</row>
    <row r="778" customHeight="1" spans="1:39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</row>
    <row r="779" customHeight="1" spans="1:3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</row>
    <row r="780" customHeight="1" spans="1:39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</row>
    <row r="781" customHeight="1" spans="1:39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</row>
    <row r="782" customHeight="1" spans="1:39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</row>
    <row r="783" customHeight="1" spans="1:39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</row>
    <row r="784" customHeight="1" spans="1:39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</row>
    <row r="785" customHeight="1" spans="1:39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</row>
    <row r="786" customHeight="1" spans="1:39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</row>
    <row r="787" customHeight="1" spans="1:39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</row>
    <row r="788" customHeight="1" spans="1:39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</row>
    <row r="789" customHeight="1" spans="1:3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</row>
    <row r="790" customHeight="1" spans="1:39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</row>
    <row r="791" customHeight="1" spans="1:39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</row>
    <row r="792" customHeight="1" spans="1:39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</row>
    <row r="793" customHeight="1" spans="1:39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</row>
    <row r="794" customHeight="1" spans="1:39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</row>
    <row r="795" customHeight="1" spans="1:39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</row>
    <row r="796" customHeight="1" spans="1:39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</row>
    <row r="797" customHeight="1" spans="1:39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</row>
    <row r="798" customHeight="1" spans="1:39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</row>
    <row r="799" customHeight="1" spans="1:3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</row>
    <row r="800" customHeight="1" spans="1:39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</row>
    <row r="801" customHeight="1" spans="1:39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</row>
    <row r="802" customHeight="1" spans="1:39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</row>
    <row r="803" customHeight="1" spans="1:39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</row>
    <row r="804" customHeight="1" spans="1:39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</row>
    <row r="805" customHeight="1" spans="1:39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</row>
    <row r="806" customHeight="1" spans="1:39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</row>
    <row r="807" customHeight="1" spans="1:39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</row>
    <row r="808" customHeight="1" spans="1:39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</row>
    <row r="809" customHeight="1" spans="1:3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</row>
    <row r="810" customHeight="1" spans="1:39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</row>
    <row r="811" customHeight="1" spans="1:39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</row>
    <row r="812" customHeight="1" spans="1:39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</row>
    <row r="813" customHeight="1" spans="1:39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</row>
    <row r="814" customHeight="1" spans="1:39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</row>
    <row r="815" customHeight="1" spans="1:39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</row>
    <row r="816" customHeight="1" spans="1:39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</row>
    <row r="817" customHeight="1" spans="1:39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</row>
    <row r="818" customHeight="1" spans="1:39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</row>
    <row r="819" customHeight="1" spans="1:3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</row>
    <row r="820" customHeight="1" spans="1:39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</row>
    <row r="821" customHeight="1" spans="1:39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</row>
    <row r="822" customHeight="1" spans="1:39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</row>
    <row r="823" customHeight="1" spans="1:39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</row>
    <row r="824" customHeight="1" spans="1:39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</row>
    <row r="825" customHeight="1" spans="1:39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</row>
    <row r="826" customHeight="1" spans="1:39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</row>
    <row r="827" customHeight="1" spans="1:39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</row>
    <row r="828" customHeight="1" spans="1:39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</row>
    <row r="829" customHeight="1" spans="1:3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</row>
    <row r="830" customHeight="1" spans="1:39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</row>
    <row r="831" customHeight="1" spans="1:39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</row>
    <row r="832" customHeight="1" spans="1:39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</row>
    <row r="833" customHeight="1" spans="1:39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</row>
    <row r="834" customHeight="1" spans="1:39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</row>
    <row r="835" customHeight="1" spans="1:39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</row>
    <row r="836" customHeight="1" spans="1:39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</row>
    <row r="837" customHeight="1" spans="1:39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</row>
    <row r="838" customHeight="1" spans="1:39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</row>
    <row r="839" customHeight="1" spans="1: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</row>
    <row r="840" customHeight="1" spans="1:39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</row>
    <row r="841" customHeight="1" spans="1:39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</row>
    <row r="842" customHeight="1" spans="1:39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</row>
    <row r="843" customHeight="1" spans="1:39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</row>
    <row r="844" customHeight="1" spans="1:39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</row>
    <row r="845" customHeight="1" spans="1:39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</row>
    <row r="846" customHeight="1" spans="1:39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</row>
    <row r="847" customHeight="1" spans="1:39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</row>
    <row r="848" customHeight="1" spans="1:39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</row>
    <row r="849" customHeight="1" spans="1:3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</row>
    <row r="850" customHeight="1" spans="1:39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</row>
    <row r="851" customHeight="1" spans="1:39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</row>
    <row r="852" customHeight="1" spans="1:39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</row>
    <row r="853" customHeight="1" spans="1:39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</row>
    <row r="854" customHeight="1" spans="1:39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</row>
    <row r="855" customHeight="1" spans="1:39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</row>
    <row r="856" customHeight="1" spans="1:39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</row>
    <row r="857" customHeight="1" spans="1:39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</row>
    <row r="858" customHeight="1" spans="1:39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</row>
    <row r="859" customHeight="1" spans="1:3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</row>
    <row r="860" customHeight="1" spans="1:39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</row>
    <row r="861" customHeight="1" spans="1:39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</row>
    <row r="862" customHeight="1" spans="1:39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</row>
    <row r="863" customHeight="1" spans="1:39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</row>
    <row r="864" customHeight="1" spans="1:39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</row>
    <row r="865" customHeight="1" spans="1:39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</row>
    <row r="866" customHeight="1" spans="1:39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</row>
    <row r="867" customHeight="1" spans="1:39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</row>
    <row r="868" customHeight="1" spans="1:39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</row>
    <row r="869" customHeight="1" spans="1:3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</row>
    <row r="870" customHeight="1" spans="1:39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</row>
    <row r="871" customHeight="1" spans="1:39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</row>
    <row r="872" customHeight="1" spans="1:39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</row>
    <row r="873" customHeight="1" spans="1:39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</row>
    <row r="874" customHeight="1" spans="1:39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</row>
    <row r="875" customHeight="1" spans="1:39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</row>
    <row r="876" customHeight="1" spans="1:39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</row>
    <row r="877" customHeight="1" spans="1:39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</row>
    <row r="878" customHeight="1" spans="1:39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</row>
    <row r="879" customHeight="1" spans="1:3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</row>
    <row r="880" customHeight="1" spans="1:39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</row>
    <row r="881" customHeight="1" spans="1:39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</row>
    <row r="882" customHeight="1" spans="1:39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</row>
    <row r="883" customHeight="1" spans="1:39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</row>
    <row r="884" customHeight="1" spans="1:39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</row>
    <row r="885" customHeight="1" spans="1:39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</row>
    <row r="886" customHeight="1" spans="1:39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</row>
    <row r="887" customHeight="1" spans="1:39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</row>
    <row r="888" customHeight="1" spans="1:39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</row>
    <row r="889" customHeight="1" spans="1:3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</row>
    <row r="890" customHeight="1" spans="1:39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</row>
    <row r="891" customHeight="1" spans="1:39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</row>
    <row r="892" customHeight="1" spans="1:39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</row>
    <row r="893" customHeight="1" spans="1:39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</row>
    <row r="894" customHeight="1" spans="1:39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</row>
    <row r="895" customHeight="1" spans="1:39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</row>
    <row r="896" customHeight="1" spans="1:39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</row>
    <row r="897" customHeight="1" spans="1:39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</row>
    <row r="898" customHeight="1" spans="1:39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</row>
    <row r="899" customHeight="1" spans="1:3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</row>
    <row r="900" customHeight="1" spans="1:39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</row>
    <row r="901" customHeight="1" spans="1:39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</row>
    <row r="902" customHeight="1" spans="1:39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</row>
    <row r="903" customHeight="1" spans="1:39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</row>
    <row r="904" customHeight="1" spans="1:39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</row>
    <row r="905" customHeight="1" spans="1:39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</row>
    <row r="906" customHeight="1" spans="1:39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</row>
    <row r="907" customHeight="1" spans="1:39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</row>
    <row r="908" customHeight="1" spans="1:39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</row>
    <row r="909" customHeight="1" spans="1:3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</row>
    <row r="910" customHeight="1" spans="1:39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</row>
    <row r="911" customHeight="1" spans="1:39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</row>
    <row r="912" customHeight="1" spans="1:39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</row>
    <row r="913" customHeight="1" spans="1:39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</row>
    <row r="914" customHeight="1" spans="1:39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</row>
    <row r="915" customHeight="1" spans="1:39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</row>
    <row r="916" customHeight="1" spans="1:39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</row>
    <row r="917" customHeight="1" spans="1:39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</row>
    <row r="918" customHeight="1" spans="1:39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</row>
    <row r="919" customHeight="1" spans="1:3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</row>
    <row r="920" customHeight="1" spans="1:39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</row>
    <row r="921" customHeight="1" spans="1:39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</row>
    <row r="922" customHeight="1" spans="1:39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</row>
    <row r="923" customHeight="1" spans="1:39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</row>
    <row r="924" customHeight="1" spans="1:39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</row>
    <row r="925" customHeight="1" spans="1:39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</row>
    <row r="926" customHeight="1" spans="1:39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</row>
    <row r="927" customHeight="1" spans="1:39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</row>
    <row r="928" customHeight="1" spans="1:39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</row>
    <row r="929" customHeight="1" spans="1:3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</row>
    <row r="930" customHeight="1" spans="1:39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</row>
    <row r="931" customHeight="1" spans="1:39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</row>
    <row r="932" customHeight="1" spans="1:39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</row>
    <row r="933" customHeight="1" spans="1:39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</row>
    <row r="934" customHeight="1" spans="1:39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</row>
    <row r="935" customHeight="1" spans="1:39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</row>
    <row r="936" customHeight="1" spans="1:39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</row>
    <row r="937" customHeight="1" spans="1:39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</row>
    <row r="938" customHeight="1" spans="1:39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</row>
    <row r="939" customHeight="1" spans="1: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</row>
    <row r="940" customHeight="1" spans="1:39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</row>
    <row r="941" customHeight="1" spans="1:39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</row>
    <row r="942" customHeight="1" spans="1:39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</row>
    <row r="943" customHeight="1" spans="1:39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</row>
    <row r="944" customHeight="1" spans="1:39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</row>
    <row r="945" customHeight="1" spans="1:39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</row>
    <row r="946" customHeight="1" spans="1:39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</row>
    <row r="947" customHeight="1" spans="1:39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</row>
    <row r="948" customHeight="1" spans="1:39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</row>
    <row r="949" customHeight="1" spans="1:3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</row>
    <row r="950" customHeight="1" spans="1:39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</row>
    <row r="951" customHeight="1" spans="1:39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</row>
    <row r="952" customHeight="1" spans="1:39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</row>
    <row r="953" customHeight="1" spans="1:39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</row>
    <row r="954" customHeight="1" spans="1:39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</row>
    <row r="955" customHeight="1" spans="1:39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</row>
    <row r="956" customHeight="1" spans="1:39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</row>
    <row r="957" customHeight="1" spans="1:39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</row>
    <row r="958" customHeight="1" spans="1:39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</row>
    <row r="959" customHeight="1" spans="1:3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</row>
    <row r="960" customHeight="1" spans="1:39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</row>
    <row r="961" customHeight="1" spans="1:39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</row>
    <row r="962" customHeight="1" spans="1:39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</row>
    <row r="963" customHeight="1" spans="1:39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</row>
    <row r="964" customHeight="1" spans="1:39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</row>
    <row r="965" customHeight="1" spans="1:39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</row>
    <row r="966" customHeight="1" spans="1:39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</row>
    <row r="967" customHeight="1" spans="1:39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</row>
    <row r="968" customHeight="1" spans="1:39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</row>
    <row r="969" customHeight="1" spans="1:3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</row>
    <row r="970" customHeight="1" spans="1:39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</row>
    <row r="971" customHeight="1" spans="1:39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</row>
    <row r="972" customHeight="1" spans="1:39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</row>
    <row r="973" customHeight="1" spans="1:39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</row>
    <row r="974" customHeight="1" spans="1:39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</row>
    <row r="975" customHeight="1" spans="1:39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</row>
    <row r="976" customHeight="1" spans="1:39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</row>
    <row r="977" customHeight="1" spans="1:39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</row>
    <row r="978" customHeight="1" spans="1:39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</row>
    <row r="979" customHeight="1" spans="1:3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</row>
    <row r="980" customHeight="1" spans="1:39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</row>
    <row r="981" customHeight="1" spans="1:39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</row>
    <row r="982" customHeight="1" spans="1:39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</row>
    <row r="983" customHeight="1" spans="1:39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</row>
    <row r="984" customHeight="1" spans="1:39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</row>
    <row r="985" customHeight="1" spans="1:39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</row>
    <row r="986" customHeight="1" spans="1:39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</row>
    <row r="987" customHeight="1" spans="1:39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</row>
    <row r="988" customHeight="1" spans="1:39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</row>
    <row r="989" customHeight="1" spans="1:3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</row>
    <row r="990" customHeight="1" spans="1:39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</row>
    <row r="991" customHeight="1" spans="1:39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</row>
    <row r="992" customHeight="1" spans="1:39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</row>
    <row r="993" customHeight="1" spans="1:39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</row>
    <row r="994" customHeight="1" spans="1:39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</row>
    <row r="995" customHeight="1" spans="1:39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</row>
    <row r="996" customHeight="1" spans="1:39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</row>
    <row r="997" customHeight="1" spans="1:39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</row>
    <row r="998" customHeight="1" spans="1:39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</row>
    <row r="999" customHeight="1" spans="1:3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</row>
    <row r="1000" customHeight="1" spans="1:39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</row>
  </sheetData>
  <mergeCells count="77">
    <mergeCell ref="D1:E1"/>
    <mergeCell ref="AA1:AE1"/>
    <mergeCell ref="AI1:AM1"/>
    <mergeCell ref="N2:P2"/>
    <mergeCell ref="Z2:AE2"/>
    <mergeCell ref="AH2:AM2"/>
    <mergeCell ref="AI3:AJ3"/>
    <mergeCell ref="AI4:AJ4"/>
    <mergeCell ref="AI5:AJ5"/>
    <mergeCell ref="AI6:AJ6"/>
    <mergeCell ref="AI7:AJ7"/>
    <mergeCell ref="U8:V8"/>
    <mergeCell ref="AI8:AJ8"/>
    <mergeCell ref="U9:V9"/>
    <mergeCell ref="AI9:AJ9"/>
    <mergeCell ref="T10:U10"/>
    <mergeCell ref="V10:W10"/>
    <mergeCell ref="AI10:AJ10"/>
    <mergeCell ref="AI11:AJ11"/>
    <mergeCell ref="AI13:AJ13"/>
    <mergeCell ref="AI17:AJ17"/>
    <mergeCell ref="AI18:AJ18"/>
    <mergeCell ref="F19:G19"/>
    <mergeCell ref="T19:U19"/>
    <mergeCell ref="AI19:AJ19"/>
    <mergeCell ref="AI20:AJ20"/>
    <mergeCell ref="AI21:AJ21"/>
    <mergeCell ref="AI31:AJ31"/>
    <mergeCell ref="AI33:AJ33"/>
    <mergeCell ref="AI34:AJ34"/>
    <mergeCell ref="AI39:AJ39"/>
    <mergeCell ref="AI54:AJ54"/>
    <mergeCell ref="AI56:AJ56"/>
    <mergeCell ref="AI57:AJ57"/>
    <mergeCell ref="AI58:AJ58"/>
    <mergeCell ref="AI59:AJ59"/>
    <mergeCell ref="AI60:AJ60"/>
    <mergeCell ref="AI61:AJ61"/>
    <mergeCell ref="AI62:AJ62"/>
    <mergeCell ref="AI63:AJ63"/>
    <mergeCell ref="AI64:AJ64"/>
    <mergeCell ref="AI65:AJ65"/>
    <mergeCell ref="AI66:AJ66"/>
    <mergeCell ref="AI76:AJ76"/>
    <mergeCell ref="AI77:AJ77"/>
    <mergeCell ref="AI78:AJ78"/>
    <mergeCell ref="AI79:AJ79"/>
    <mergeCell ref="AI80:AJ80"/>
    <mergeCell ref="AI89:AJ89"/>
    <mergeCell ref="AI104:AJ104"/>
    <mergeCell ref="AI106:AJ106"/>
    <mergeCell ref="AI107:AJ107"/>
    <mergeCell ref="A61:A62"/>
    <mergeCell ref="L4:L22"/>
    <mergeCell ref="L25:L27"/>
    <mergeCell ref="L28:L30"/>
    <mergeCell ref="L31:L39"/>
    <mergeCell ref="L40:L51"/>
    <mergeCell ref="L52:L62"/>
    <mergeCell ref="L63:L87"/>
    <mergeCell ref="L88:L100"/>
    <mergeCell ref="L106:L124"/>
    <mergeCell ref="R1:R124"/>
    <mergeCell ref="X1:X124"/>
    <mergeCell ref="Y4:Y14"/>
    <mergeCell ref="Y25:Y33"/>
    <mergeCell ref="Y34:Y39"/>
    <mergeCell ref="AA46:AA48"/>
    <mergeCell ref="AB46:AB48"/>
    <mergeCell ref="AG18:AG56"/>
    <mergeCell ref="AG57:AG74"/>
    <mergeCell ref="AG75:AG99"/>
    <mergeCell ref="AG100:AG106"/>
    <mergeCell ref="AG107:AG114"/>
    <mergeCell ref="AG115:AG141"/>
    <mergeCell ref="AG142:AG148"/>
    <mergeCell ref="AG15:AM16"/>
  </mergeCells>
  <dataValidations count="1">
    <dataValidation type="list" allowBlank="1" showErrorMessage="1" sqref="AD4 P36 P77 P100 AL140 C4:C18 G4:G18 N106:N124 P4:P27 P29:P34 P40:P46 P52:P54 P63:P67 P70:P74 P79:P85 P88:P98 P106:P124 AA25:AA35 AD6:AD11 AD17:AD18 AD25:AD35 AD37:AD39 AL4:AL13 AL18:AL130 AL135:AL137 AL142:AL152">
      <formula1>"JEP,Pichincha,Efectivo,Extra Efectivo,Extra JEP,Extra Pichincha,Reserva Pichincha,Reserva Efectivo"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BALANCE_MAYO_2026</vt:lpstr>
      <vt:lpstr>BAÑOS</vt:lpstr>
      <vt:lpstr>SAYAUSI</vt:lpstr>
      <vt:lpstr>PLATAFORMA</vt:lpstr>
      <vt:lpstr>BALANCE_FEBRERO_2026</vt:lpstr>
      <vt:lpstr>B_FORMATO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Dagumo</cp:lastModifiedBy>
  <dcterms:created xsi:type="dcterms:W3CDTF">2026-05-06T22:44:35Z</dcterms:created>
  <dcterms:modified xsi:type="dcterms:W3CDTF">2026-05-06T22:45:54Z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2F51F0A0BBEA44B997159D166BAC0C0B_12</vt:lpwstr>
  </property>
  <property fmtid="{D5CDD505-2E9C-101B-9397-08002B2CF9AE}" pid="3" name="KSOProductBuildVer">
    <vt:lpwstr>3082-12.1.0.25830</vt:lpwstr>
  </property>
  <property fmtid="{D5CDD505-2E9C-101B-9397-08002B2CF9AE}" pid="4" name="CalculationRule">
    <vt:i4>0</vt:i4>
  </property>
</Properties>
</file>